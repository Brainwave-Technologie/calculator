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fileSharing readOnlyRecommended="1" userName="Debartha Sengupta" algorithmName="SHA-512" hashValue="NCV5+V9uXJZz2QAVfd/oE00Q+2R6kYirlGNqZ8LUz79amDeSuw2AYOuPvsQ4t1K6QPUK6HcL5DGI3qGMpoNRGw==" saltValue="Nxx4U5/AVJZpf3/vA+t10w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bartha\All data\2026_Reports\Jan'26_Payroll &amp; Invoices\Onshore Payroll_Jan'26\"/>
    </mc:Choice>
  </mc:AlternateContent>
  <xr:revisionPtr revIDLastSave="0" documentId="8_{7117986E-F04C-4CEA-9B7E-3208CF3F56C5}" xr6:coauthVersionLast="47" xr6:coauthVersionMax="47" xr10:uidLastSave="{00000000-0000-0000-0000-000000000000}"/>
  <bookViews>
    <workbookView xWindow="-108" yWindow="-108" windowWidth="23256" windowHeight="12456" tabRatio="877" firstSheet="1" activeTab="9" xr2:uid="{1580746E-4340-47DA-9BFB-98465077C584}"/>
  </bookViews>
  <sheets>
    <sheet name="Final data to check" sheetId="19" state="hidden" r:id="rId1"/>
    <sheet name="Final payout" sheetId="9" r:id="rId2"/>
    <sheet name="Arrears_Nov'25" sheetId="10" r:id="rId3"/>
    <sheet name="Payroll Verisma" sheetId="2" r:id="rId4"/>
    <sheet name="Payroll MRO" sheetId="1" r:id="rId5"/>
    <sheet name="Index" sheetId="7" r:id="rId6"/>
    <sheet name="Datavant QC" sheetId="23" r:id="rId7"/>
    <sheet name="Payroll Datavant" sheetId="21" r:id="rId8"/>
    <sheet name="Datavant Data" sheetId="22" r:id="rId9"/>
    <sheet name="Payroll" sheetId="3" r:id="rId10"/>
    <sheet name="Release &amp; QC" sheetId="16" r:id="rId11"/>
    <sheet name="Processing Count" sheetId="18" r:id="rId12"/>
    <sheet name="Logging Payout count" sheetId="8" r:id="rId13"/>
    <sheet name="MRO Special Project data" sheetId="20" state="hidden" r:id="rId14"/>
    <sheet name="Locations Details (2)" sheetId="14" state="hidden" r:id="rId15"/>
    <sheet name="Sheet1" sheetId="15" state="hidden" r:id="rId16"/>
  </sheets>
  <externalReferences>
    <externalReference r:id="rId17"/>
  </externalReferences>
  <definedNames>
    <definedName name="_xlnm._FilterDatabase" localSheetId="5" hidden="1">Index!$A$1:$CB$8</definedName>
    <definedName name="_xlnm._FilterDatabase" localSheetId="14" hidden="1">'Locations Details (2)'!$A$1:$CM$18</definedName>
    <definedName name="_xlnm._FilterDatabase" localSheetId="12" hidden="1">'Logging Payout count'!$A$1:$DI$5</definedName>
    <definedName name="_xlnm._FilterDatabase" localSheetId="9" hidden="1">Payroll!$A$20:$AQ$20</definedName>
    <definedName name="_xlnm._FilterDatabase" localSheetId="11" hidden="1">'Processing Count'!$A$1:$FG$63</definedName>
    <definedName name="_xlnm._FilterDatabase" localSheetId="10" hidden="1">'Release &amp; QC'!$A$1:$J$50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H52" i="3"/>
  <c r="H22" i="3"/>
  <c r="A23" i="3"/>
  <c r="H6" i="7"/>
  <c r="GR2" i="9"/>
  <c r="A9" i="22" l="1"/>
  <c r="E50" i="16"/>
  <c r="CV25" i="18"/>
  <c r="GC25" i="18"/>
  <c r="GR10" i="7" l="1"/>
  <c r="GQ10" i="7"/>
  <c r="GP10" i="7"/>
  <c r="GO10" i="7"/>
  <c r="GN10" i="7"/>
  <c r="GM10" i="7"/>
  <c r="GL10" i="7"/>
  <c r="GK10" i="7"/>
  <c r="GJ10" i="7"/>
  <c r="GI10" i="7"/>
  <c r="GG10" i="7"/>
  <c r="GF10" i="7"/>
  <c r="GD10" i="7"/>
  <c r="GC10" i="7"/>
  <c r="GB10" i="7"/>
  <c r="GA10" i="7"/>
  <c r="FZ10" i="7"/>
  <c r="FY10" i="7"/>
  <c r="FX10" i="7"/>
  <c r="FW10" i="7"/>
  <c r="FV10" i="7"/>
  <c r="FU10" i="7"/>
  <c r="FT10" i="7"/>
  <c r="FS10" i="7"/>
  <c r="FR10" i="7"/>
  <c r="FQ10" i="7"/>
  <c r="FP10" i="7"/>
  <c r="FO10" i="7"/>
  <c r="FL10" i="7"/>
  <c r="FK10" i="7"/>
  <c r="FJ10" i="7"/>
  <c r="FI10" i="7"/>
  <c r="FH10" i="7"/>
  <c r="FG10" i="7"/>
  <c r="FF10" i="7"/>
  <c r="FC10" i="7"/>
  <c r="FB10" i="7"/>
  <c r="EY10" i="7"/>
  <c r="EW10" i="7"/>
  <c r="EV10" i="7"/>
  <c r="EU10" i="7"/>
  <c r="ET10" i="7"/>
  <c r="ES10" i="7"/>
  <c r="ER10" i="7"/>
  <c r="EQ10" i="7"/>
  <c r="EP10" i="7"/>
  <c r="EO10" i="7"/>
  <c r="EN10" i="7"/>
  <c r="EM10" i="7"/>
  <c r="EL10" i="7"/>
  <c r="EK10" i="7"/>
  <c r="EJ10" i="7"/>
  <c r="EI10" i="7"/>
  <c r="EH10" i="7"/>
  <c r="EG10" i="7"/>
  <c r="EF10" i="7"/>
  <c r="EE10" i="7"/>
  <c r="ED10" i="7"/>
  <c r="EC10" i="7"/>
  <c r="EB10" i="7"/>
  <c r="EA10" i="7"/>
  <c r="DZ10" i="7"/>
  <c r="DY10" i="7"/>
  <c r="DW10" i="7"/>
  <c r="DV10" i="7"/>
  <c r="DU10" i="7"/>
  <c r="DT10" i="7"/>
  <c r="DS10" i="7"/>
  <c r="DR10" i="7"/>
  <c r="DQ10" i="7"/>
  <c r="DP10" i="7"/>
  <c r="DN10" i="7"/>
  <c r="DL10" i="7"/>
  <c r="DK10" i="7"/>
  <c r="DJ10" i="7"/>
  <c r="DI10" i="7"/>
  <c r="DH10" i="7"/>
  <c r="DG10" i="7"/>
  <c r="DF10" i="7"/>
  <c r="DB10" i="7"/>
  <c r="DA10" i="7"/>
  <c r="CZ10" i="7"/>
  <c r="CX10" i="7"/>
  <c r="CW10" i="7"/>
  <c r="CV10" i="7"/>
  <c r="CT10" i="7"/>
  <c r="CS10" i="7"/>
  <c r="CR10" i="7"/>
  <c r="CQ10" i="7"/>
  <c r="CP10" i="7"/>
  <c r="CN10" i="7"/>
  <c r="CM10" i="7"/>
  <c r="CL10" i="7"/>
  <c r="CK10" i="7"/>
  <c r="CJ10" i="7"/>
  <c r="CI10" i="7"/>
  <c r="CG10" i="7"/>
  <c r="CF10" i="7"/>
  <c r="CE10" i="7"/>
  <c r="CC10" i="7"/>
  <c r="CB10" i="7"/>
  <c r="BZ10" i="7"/>
  <c r="BY10" i="7"/>
  <c r="BX10" i="7"/>
  <c r="BW10" i="7"/>
  <c r="BV10" i="7"/>
  <c r="BT10" i="7"/>
  <c r="BS10" i="7"/>
  <c r="BR10" i="7"/>
  <c r="BQ10" i="7"/>
  <c r="BP10" i="7"/>
  <c r="BO10" i="7"/>
  <c r="BN10" i="7"/>
  <c r="BM10" i="7"/>
  <c r="BL10" i="7"/>
  <c r="BK10" i="7"/>
  <c r="BJ10" i="7"/>
  <c r="BI10" i="7"/>
  <c r="BH10" i="7"/>
  <c r="BG10" i="7"/>
  <c r="BF10" i="7"/>
  <c r="BD10" i="7"/>
  <c r="BC10" i="7"/>
  <c r="BA10" i="7"/>
  <c r="AZ10" i="7"/>
  <c r="AY10" i="7"/>
  <c r="AX10" i="7"/>
  <c r="AW10" i="7"/>
  <c r="AV10" i="7"/>
  <c r="AU10" i="7"/>
  <c r="AT10" i="7"/>
  <c r="AP10" i="7"/>
  <c r="AO10" i="7"/>
  <c r="AN10" i="7"/>
  <c r="AM10" i="7"/>
  <c r="AL10" i="7"/>
  <c r="AJ10" i="7"/>
  <c r="AG10" i="7"/>
  <c r="AF10" i="7"/>
  <c r="AE10" i="7"/>
  <c r="AC10" i="7"/>
  <c r="AB10" i="7"/>
  <c r="AA10" i="7"/>
  <c r="Z10" i="7"/>
  <c r="Y10" i="7"/>
  <c r="X10" i="7"/>
  <c r="W10" i="7"/>
  <c r="U10" i="7"/>
  <c r="T10" i="7"/>
  <c r="S10" i="7"/>
  <c r="R10" i="7"/>
  <c r="Q10" i="7"/>
  <c r="P10" i="7"/>
  <c r="O10" i="7"/>
  <c r="N10" i="7"/>
  <c r="M10" i="7"/>
  <c r="K10" i="7"/>
  <c r="J10" i="7"/>
  <c r="H10" i="7"/>
  <c r="G10" i="7"/>
  <c r="F10" i="7"/>
  <c r="E10" i="7"/>
  <c r="C10" i="7"/>
  <c r="GH10" i="7"/>
  <c r="GE10" i="7"/>
  <c r="FN10" i="7"/>
  <c r="FM10" i="7"/>
  <c r="E3" i="23"/>
  <c r="FE10" i="7" s="1"/>
  <c r="FD10" i="7"/>
  <c r="FA10" i="7"/>
  <c r="EX10" i="7"/>
  <c r="DX10" i="7"/>
  <c r="DO10" i="7"/>
  <c r="DM10" i="7"/>
  <c r="DE10" i="7"/>
  <c r="DD10" i="7"/>
  <c r="DC10" i="7"/>
  <c r="CU10" i="7"/>
  <c r="CO10" i="7"/>
  <c r="CH10" i="7"/>
  <c r="CD10" i="7"/>
  <c r="D3" i="23"/>
  <c r="C3" i="23"/>
  <c r="BE10" i="7"/>
  <c r="BB10" i="7"/>
  <c r="AS10" i="7"/>
  <c r="AR10" i="7"/>
  <c r="AQ10" i="7"/>
  <c r="AK10" i="7"/>
  <c r="AI10" i="7"/>
  <c r="AH10" i="7"/>
  <c r="AD10" i="7"/>
  <c r="B3" i="23"/>
  <c r="V10" i="7" s="1"/>
  <c r="L10" i="7"/>
  <c r="I10" i="7"/>
  <c r="D10" i="7"/>
  <c r="A3" i="23"/>
  <c r="A4" i="23" s="1"/>
  <c r="B23" i="7" s="1"/>
  <c r="GU4" i="21"/>
  <c r="GT4" i="21"/>
  <c r="GS4" i="21"/>
  <c r="GR4" i="21"/>
  <c r="GQ4" i="21"/>
  <c r="GP4" i="21"/>
  <c r="GO4" i="21"/>
  <c r="GN4" i="21"/>
  <c r="GM4" i="21"/>
  <c r="GL4" i="21"/>
  <c r="GK4" i="21"/>
  <c r="GJ4" i="21"/>
  <c r="GI4" i="21"/>
  <c r="GH4" i="21"/>
  <c r="GG4" i="21"/>
  <c r="GF4" i="21"/>
  <c r="GE4" i="21"/>
  <c r="GD4" i="21"/>
  <c r="GC4" i="21"/>
  <c r="GB4" i="21"/>
  <c r="GA4" i="21"/>
  <c r="FZ4" i="21"/>
  <c r="FY4" i="21"/>
  <c r="FX4" i="21"/>
  <c r="FW4" i="21"/>
  <c r="FV4" i="21"/>
  <c r="FU4" i="21"/>
  <c r="FT4" i="21"/>
  <c r="FS4" i="21"/>
  <c r="FR4" i="21"/>
  <c r="FQ4" i="21"/>
  <c r="FP4" i="21"/>
  <c r="FO4" i="21"/>
  <c r="FN4" i="21"/>
  <c r="FM4" i="21"/>
  <c r="FL4" i="21"/>
  <c r="FK4" i="21"/>
  <c r="FJ4" i="21"/>
  <c r="FI4" i="21"/>
  <c r="FH4" i="21"/>
  <c r="FG4" i="21"/>
  <c r="FF4" i="21"/>
  <c r="FE4" i="21"/>
  <c r="FD4" i="21"/>
  <c r="FC4" i="21"/>
  <c r="FB4" i="21"/>
  <c r="FA4" i="21"/>
  <c r="EZ4" i="21"/>
  <c r="EY4" i="21"/>
  <c r="EX4" i="21"/>
  <c r="EW4" i="21"/>
  <c r="EV4" i="21"/>
  <c r="EU4" i="21"/>
  <c r="ET4" i="21"/>
  <c r="ES4" i="21"/>
  <c r="ER4" i="21"/>
  <c r="EQ4" i="21"/>
  <c r="EP4" i="21"/>
  <c r="EO4" i="21"/>
  <c r="EN4" i="21"/>
  <c r="EM4" i="21"/>
  <c r="EL4" i="21"/>
  <c r="EK4" i="21"/>
  <c r="EJ4" i="21"/>
  <c r="EI4" i="21"/>
  <c r="EH4" i="21"/>
  <c r="EG4" i="21"/>
  <c r="EF4" i="21"/>
  <c r="EE4" i="21"/>
  <c r="ED4" i="21"/>
  <c r="EC4" i="21"/>
  <c r="EB4" i="21"/>
  <c r="EA4" i="21"/>
  <c r="DZ4" i="21"/>
  <c r="DY4" i="21"/>
  <c r="DX4" i="21"/>
  <c r="DW4" i="21"/>
  <c r="DV4" i="21"/>
  <c r="DU4" i="21"/>
  <c r="DT4" i="21"/>
  <c r="DS4" i="21"/>
  <c r="DR4" i="21"/>
  <c r="DQ4" i="21"/>
  <c r="DP4" i="21"/>
  <c r="DO4" i="21"/>
  <c r="DN4" i="21"/>
  <c r="DM4" i="21"/>
  <c r="DL4" i="21"/>
  <c r="DK4" i="21"/>
  <c r="DJ4" i="21"/>
  <c r="DI4" i="21"/>
  <c r="DH4" i="21"/>
  <c r="DG4" i="21"/>
  <c r="DF4" i="21"/>
  <c r="DE4" i="21"/>
  <c r="DD4" i="21"/>
  <c r="DC4" i="21"/>
  <c r="DB4" i="21"/>
  <c r="DA4" i="21"/>
  <c r="CZ4" i="21"/>
  <c r="CY4" i="21"/>
  <c r="CX4" i="21"/>
  <c r="CW4" i="21"/>
  <c r="CV4" i="21"/>
  <c r="CU4" i="21"/>
  <c r="CT4" i="21"/>
  <c r="CS4" i="21"/>
  <c r="CR4" i="21"/>
  <c r="CQ4" i="21"/>
  <c r="CP4" i="21"/>
  <c r="CO4" i="21"/>
  <c r="CN4" i="21"/>
  <c r="CM4" i="21"/>
  <c r="CL4" i="21"/>
  <c r="CK4" i="21"/>
  <c r="CJ4" i="21"/>
  <c r="CI4" i="21"/>
  <c r="CH4" i="21"/>
  <c r="CG4" i="21"/>
  <c r="CF4" i="21"/>
  <c r="CE4" i="21"/>
  <c r="CD4" i="21"/>
  <c r="CC4" i="21"/>
  <c r="CB4" i="21"/>
  <c r="CA4" i="21"/>
  <c r="BZ4" i="21"/>
  <c r="BY4" i="21"/>
  <c r="BX4" i="21"/>
  <c r="BW4" i="21"/>
  <c r="BV4" i="21"/>
  <c r="BU4" i="21"/>
  <c r="BT4" i="21"/>
  <c r="BS4" i="21"/>
  <c r="BR4" i="21"/>
  <c r="BQ4" i="21"/>
  <c r="BP4" i="21"/>
  <c r="BO4" i="21"/>
  <c r="BN4" i="21"/>
  <c r="BM4" i="21"/>
  <c r="BL4" i="21"/>
  <c r="BK4" i="21"/>
  <c r="BJ4" i="21"/>
  <c r="BI4" i="21"/>
  <c r="BH4" i="21"/>
  <c r="BG4" i="21"/>
  <c r="BF4" i="21"/>
  <c r="BE4" i="21"/>
  <c r="BD4" i="21"/>
  <c r="BC4" i="21"/>
  <c r="BB4" i="21"/>
  <c r="BA4" i="21"/>
  <c r="AZ4" i="21"/>
  <c r="AY4" i="21"/>
  <c r="AX4" i="21"/>
  <c r="AW4" i="21"/>
  <c r="AV4" i="21"/>
  <c r="AU4" i="21"/>
  <c r="AT4" i="21"/>
  <c r="AS4" i="21"/>
  <c r="AR4" i="21"/>
  <c r="AQ4" i="21"/>
  <c r="AP4" i="21"/>
  <c r="AO4" i="21"/>
  <c r="AN4" i="21"/>
  <c r="AM4" i="21"/>
  <c r="AL4" i="21"/>
  <c r="AK4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GU2" i="21"/>
  <c r="GT2" i="21"/>
  <c r="GS2" i="21"/>
  <c r="GR2" i="21"/>
  <c r="GQ2" i="21"/>
  <c r="GP2" i="21"/>
  <c r="GO2" i="21"/>
  <c r="GN2" i="21"/>
  <c r="GM2" i="21"/>
  <c r="GL2" i="21"/>
  <c r="GK2" i="21"/>
  <c r="GJ2" i="21"/>
  <c r="GI2" i="21"/>
  <c r="GH2" i="21"/>
  <c r="GG2" i="21"/>
  <c r="GF2" i="21"/>
  <c r="GE2" i="21"/>
  <c r="GD2" i="21"/>
  <c r="GC2" i="21"/>
  <c r="GB2" i="21"/>
  <c r="GA2" i="21"/>
  <c r="FZ2" i="21"/>
  <c r="FY2" i="21"/>
  <c r="FX2" i="21"/>
  <c r="FW2" i="21"/>
  <c r="FV2" i="21"/>
  <c r="FU2" i="21"/>
  <c r="FT2" i="21"/>
  <c r="FS2" i="21"/>
  <c r="FR2" i="21"/>
  <c r="FQ2" i="21"/>
  <c r="FP2" i="21"/>
  <c r="FO2" i="21"/>
  <c r="FN2" i="21"/>
  <c r="FM2" i="21"/>
  <c r="FL2" i="21"/>
  <c r="FK2" i="21"/>
  <c r="FJ2" i="21"/>
  <c r="FI2" i="21"/>
  <c r="FH2" i="21"/>
  <c r="FG2" i="21"/>
  <c r="FF2" i="21"/>
  <c r="FE2" i="21"/>
  <c r="FD2" i="21"/>
  <c r="FC2" i="21"/>
  <c r="FB2" i="21"/>
  <c r="FA2" i="21"/>
  <c r="EZ2" i="21"/>
  <c r="EY2" i="21"/>
  <c r="EX2" i="21"/>
  <c r="EW2" i="21"/>
  <c r="EV2" i="21"/>
  <c r="EU2" i="21"/>
  <c r="ET2" i="21"/>
  <c r="ES2" i="21"/>
  <c r="ER2" i="21"/>
  <c r="EQ2" i="21"/>
  <c r="EP2" i="21"/>
  <c r="EO2" i="21"/>
  <c r="EN2" i="21"/>
  <c r="EM2" i="21"/>
  <c r="EL2" i="21"/>
  <c r="EK2" i="21"/>
  <c r="EJ2" i="21"/>
  <c r="EI2" i="21"/>
  <c r="EH2" i="21"/>
  <c r="EG2" i="21"/>
  <c r="EF2" i="21"/>
  <c r="EE2" i="21"/>
  <c r="ED2" i="21"/>
  <c r="EC2" i="21"/>
  <c r="EB2" i="21"/>
  <c r="EA2" i="21"/>
  <c r="DZ2" i="21"/>
  <c r="DY2" i="21"/>
  <c r="DX2" i="21"/>
  <c r="DW2" i="21"/>
  <c r="DV2" i="21"/>
  <c r="DU2" i="21"/>
  <c r="DT2" i="21"/>
  <c r="DS2" i="21"/>
  <c r="DR2" i="21"/>
  <c r="DQ2" i="21"/>
  <c r="DP2" i="21"/>
  <c r="DO2" i="21"/>
  <c r="DN2" i="21"/>
  <c r="DM2" i="21"/>
  <c r="DL2" i="21"/>
  <c r="DK2" i="21"/>
  <c r="DJ2" i="21"/>
  <c r="DI2" i="21"/>
  <c r="DH2" i="21"/>
  <c r="DG2" i="21"/>
  <c r="DF2" i="21"/>
  <c r="DE2" i="21"/>
  <c r="DD2" i="21"/>
  <c r="DC2" i="21"/>
  <c r="DB2" i="21"/>
  <c r="DA2" i="21"/>
  <c r="CZ2" i="21"/>
  <c r="CY2" i="21"/>
  <c r="CX2" i="21"/>
  <c r="CW2" i="21"/>
  <c r="CV2" i="21"/>
  <c r="CU2" i="21"/>
  <c r="CT2" i="21"/>
  <c r="CS2" i="21"/>
  <c r="CR2" i="21"/>
  <c r="CQ2" i="21"/>
  <c r="CP2" i="21"/>
  <c r="CO2" i="21"/>
  <c r="CN2" i="21"/>
  <c r="CM2" i="21"/>
  <c r="CL2" i="21"/>
  <c r="CK2" i="21"/>
  <c r="CJ2" i="21"/>
  <c r="CI2" i="21"/>
  <c r="CH2" i="21"/>
  <c r="CG2" i="21"/>
  <c r="CF2" i="21"/>
  <c r="CE2" i="21"/>
  <c r="CD2" i="21"/>
  <c r="CC2" i="21"/>
  <c r="CB2" i="21"/>
  <c r="CA2" i="21"/>
  <c r="BZ2" i="21"/>
  <c r="BY2" i="21"/>
  <c r="BX2" i="21"/>
  <c r="BW2" i="21"/>
  <c r="BV2" i="21"/>
  <c r="BU2" i="21"/>
  <c r="BT2" i="21"/>
  <c r="BS2" i="21"/>
  <c r="BR2" i="21"/>
  <c r="BQ2" i="21"/>
  <c r="BP2" i="21"/>
  <c r="BO2" i="21"/>
  <c r="BN2" i="21"/>
  <c r="BM2" i="21"/>
  <c r="BL2" i="21"/>
  <c r="BK2" i="21"/>
  <c r="BJ2" i="21"/>
  <c r="BI2" i="21"/>
  <c r="BH2" i="21"/>
  <c r="BG2" i="21"/>
  <c r="BF2" i="21"/>
  <c r="BE2" i="21"/>
  <c r="BD2" i="21"/>
  <c r="BC2" i="21"/>
  <c r="BB2" i="21"/>
  <c r="BA2" i="21"/>
  <c r="AZ2" i="21"/>
  <c r="AY2" i="21"/>
  <c r="AX2" i="21"/>
  <c r="AW2" i="21"/>
  <c r="AV2" i="21"/>
  <c r="AU2" i="21"/>
  <c r="AT2" i="21"/>
  <c r="AS2" i="21"/>
  <c r="AR2" i="21"/>
  <c r="AQ2" i="21"/>
  <c r="AP2" i="21"/>
  <c r="AO2" i="21"/>
  <c r="AN2" i="21"/>
  <c r="AM2" i="21"/>
  <c r="AL2" i="21"/>
  <c r="AK2" i="21"/>
  <c r="AJ2" i="21"/>
  <c r="AI2" i="21"/>
  <c r="AH2" i="21"/>
  <c r="AG2" i="21"/>
  <c r="AF2" i="21"/>
  <c r="AE2" i="21"/>
  <c r="AD2" i="21"/>
  <c r="AC2" i="21"/>
  <c r="AB2" i="21"/>
  <c r="AA2" i="21"/>
  <c r="Z2" i="21"/>
  <c r="Y2" i="21"/>
  <c r="X2" i="21"/>
  <c r="W2" i="21"/>
  <c r="V2" i="21"/>
  <c r="U2" i="21"/>
  <c r="T2" i="21"/>
  <c r="S2" i="21"/>
  <c r="R2" i="21"/>
  <c r="Q2" i="21"/>
  <c r="P2" i="21"/>
  <c r="O2" i="21"/>
  <c r="N2" i="21"/>
  <c r="M2" i="21"/>
  <c r="L2" i="21"/>
  <c r="K2" i="21"/>
  <c r="J2" i="21"/>
  <c r="I2" i="21"/>
  <c r="H2" i="21"/>
  <c r="G2" i="21"/>
  <c r="F2" i="21"/>
  <c r="E2" i="21"/>
  <c r="D2" i="21"/>
  <c r="C2" i="21"/>
  <c r="A6" i="22"/>
  <c r="A5" i="22"/>
  <c r="BF4" i="22"/>
  <c r="BF5" i="22"/>
  <c r="GR7" i="7"/>
  <c r="GQ7" i="7"/>
  <c r="GP7" i="7"/>
  <c r="GO7" i="7"/>
  <c r="GN7" i="7"/>
  <c r="GM7" i="7"/>
  <c r="GL7" i="7"/>
  <c r="GK7" i="7"/>
  <c r="GJ7" i="7"/>
  <c r="GI7" i="7"/>
  <c r="GH7" i="7"/>
  <c r="GG7" i="7"/>
  <c r="GF7" i="7"/>
  <c r="GE7" i="7"/>
  <c r="GD7" i="7"/>
  <c r="GC7" i="7"/>
  <c r="GB7" i="7"/>
  <c r="GA7" i="7"/>
  <c r="FZ7" i="7"/>
  <c r="FY7" i="7"/>
  <c r="FX7" i="7"/>
  <c r="FW7" i="7"/>
  <c r="FV7" i="7"/>
  <c r="FU7" i="7"/>
  <c r="FT7" i="7"/>
  <c r="FS7" i="7"/>
  <c r="FR7" i="7"/>
  <c r="FQ7" i="7"/>
  <c r="FP7" i="7"/>
  <c r="FO7" i="7"/>
  <c r="FN7" i="7"/>
  <c r="FM7" i="7"/>
  <c r="FL7" i="7"/>
  <c r="FK7" i="7"/>
  <c r="FJ7" i="7"/>
  <c r="FI7" i="7"/>
  <c r="FH7" i="7"/>
  <c r="FG7" i="7"/>
  <c r="FF7" i="7"/>
  <c r="FE7" i="7"/>
  <c r="FD7" i="7"/>
  <c r="FC7" i="7"/>
  <c r="FB7" i="7"/>
  <c r="FA7" i="7"/>
  <c r="EZ7" i="7"/>
  <c r="EY7" i="7"/>
  <c r="EX7" i="7"/>
  <c r="EW7" i="7"/>
  <c r="EV7" i="7"/>
  <c r="EU7" i="7"/>
  <c r="ET7" i="7"/>
  <c r="ES7" i="7"/>
  <c r="ER7" i="7"/>
  <c r="EQ7" i="7"/>
  <c r="EP7" i="7"/>
  <c r="EO7" i="7"/>
  <c r="EN7" i="7"/>
  <c r="EM7" i="7"/>
  <c r="EL7" i="7"/>
  <c r="EK7" i="7"/>
  <c r="EJ7" i="7"/>
  <c r="EI7" i="7"/>
  <c r="EH7" i="7"/>
  <c r="EG7" i="7"/>
  <c r="EF7" i="7"/>
  <c r="EE7" i="7"/>
  <c r="ED7" i="7"/>
  <c r="EC7" i="7"/>
  <c r="EB7" i="7"/>
  <c r="EA7" i="7"/>
  <c r="DZ7" i="7"/>
  <c r="DY7" i="7"/>
  <c r="DX7" i="7"/>
  <c r="DW7" i="7"/>
  <c r="DV7" i="7"/>
  <c r="DU7" i="7"/>
  <c r="DT7" i="7"/>
  <c r="DS7" i="7"/>
  <c r="DR7" i="7"/>
  <c r="DQ7" i="7"/>
  <c r="DP7" i="7"/>
  <c r="DO7" i="7"/>
  <c r="DN7" i="7"/>
  <c r="DM7" i="7"/>
  <c r="DL7" i="7"/>
  <c r="DK7" i="7"/>
  <c r="DJ7" i="7"/>
  <c r="DI7" i="7"/>
  <c r="DH7" i="7"/>
  <c r="DG7" i="7"/>
  <c r="DF7" i="7"/>
  <c r="DE7" i="7"/>
  <c r="DD7" i="7"/>
  <c r="DC7" i="7"/>
  <c r="DB7" i="7"/>
  <c r="DA7" i="7"/>
  <c r="CZ7" i="7"/>
  <c r="CY7" i="7"/>
  <c r="CX7" i="7"/>
  <c r="CW7" i="7"/>
  <c r="CV7" i="7"/>
  <c r="CU7" i="7"/>
  <c r="CT7" i="7"/>
  <c r="CS7" i="7"/>
  <c r="CR7" i="7"/>
  <c r="CQ7" i="7"/>
  <c r="CP7" i="7"/>
  <c r="CO7" i="7"/>
  <c r="CN7" i="7"/>
  <c r="CM7" i="7"/>
  <c r="CL7" i="7"/>
  <c r="CK7" i="7"/>
  <c r="CJ7" i="7"/>
  <c r="CI7" i="7"/>
  <c r="CH7" i="7"/>
  <c r="CG7" i="7"/>
  <c r="CF7" i="7"/>
  <c r="CE7" i="7"/>
  <c r="CD7" i="7"/>
  <c r="CC7" i="7"/>
  <c r="CB7" i="7"/>
  <c r="CA7" i="7"/>
  <c r="BZ7" i="7"/>
  <c r="BY7" i="7"/>
  <c r="BX7" i="7"/>
  <c r="BW7" i="7"/>
  <c r="BV7" i="7"/>
  <c r="BU7" i="7"/>
  <c r="BT7" i="7"/>
  <c r="BS7" i="7"/>
  <c r="BR7" i="7"/>
  <c r="BQ7" i="7"/>
  <c r="BP7" i="7"/>
  <c r="BO7" i="7"/>
  <c r="BN7" i="7"/>
  <c r="BM7" i="7"/>
  <c r="BL7" i="7"/>
  <c r="BK7" i="7"/>
  <c r="BJ7" i="7"/>
  <c r="BI7" i="7"/>
  <c r="BH7" i="7"/>
  <c r="BG7" i="7"/>
  <c r="BF7" i="7"/>
  <c r="BE7" i="7"/>
  <c r="BD7" i="7"/>
  <c r="BC7" i="7"/>
  <c r="BB7" i="7"/>
  <c r="BA7" i="7"/>
  <c r="AZ7" i="7"/>
  <c r="AY7" i="7"/>
  <c r="AX7" i="7"/>
  <c r="AW7" i="7"/>
  <c r="AV7" i="7"/>
  <c r="AU7" i="7"/>
  <c r="AT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V30" i="8"/>
  <c r="GU30" i="8"/>
  <c r="GT30" i="8"/>
  <c r="GS30" i="8"/>
  <c r="GR30" i="8"/>
  <c r="GQ30" i="8"/>
  <c r="GP30" i="8"/>
  <c r="GO30" i="8"/>
  <c r="GN30" i="8"/>
  <c r="GM30" i="8"/>
  <c r="GL30" i="8"/>
  <c r="GK30" i="8"/>
  <c r="GJ30" i="8"/>
  <c r="GI30" i="8"/>
  <c r="GH30" i="8"/>
  <c r="GG30" i="8"/>
  <c r="GF30" i="8"/>
  <c r="GE30" i="8"/>
  <c r="GD30" i="8"/>
  <c r="GC30" i="8"/>
  <c r="GB30" i="8"/>
  <c r="GA30" i="8"/>
  <c r="FZ30" i="8"/>
  <c r="FY30" i="8"/>
  <c r="FX30" i="8"/>
  <c r="FW30" i="8"/>
  <c r="FV30" i="8"/>
  <c r="FU30" i="8"/>
  <c r="FT30" i="8"/>
  <c r="FS30" i="8"/>
  <c r="FR30" i="8"/>
  <c r="FQ30" i="8"/>
  <c r="FP30" i="8"/>
  <c r="FO30" i="8"/>
  <c r="FN30" i="8"/>
  <c r="FM30" i="8"/>
  <c r="FL30" i="8"/>
  <c r="FK30" i="8"/>
  <c r="FJ30" i="8"/>
  <c r="FI30" i="8"/>
  <c r="FH30" i="8"/>
  <c r="FG30" i="8"/>
  <c r="FF30" i="8"/>
  <c r="FE30" i="8"/>
  <c r="FD30" i="8"/>
  <c r="FC30" i="8"/>
  <c r="FB30" i="8"/>
  <c r="FA30" i="8"/>
  <c r="EZ30" i="8"/>
  <c r="EY30" i="8"/>
  <c r="EX30" i="8"/>
  <c r="EW30" i="8"/>
  <c r="EV30" i="8"/>
  <c r="EU30" i="8"/>
  <c r="ET30" i="8"/>
  <c r="ES30" i="8"/>
  <c r="ER30" i="8"/>
  <c r="EQ30" i="8"/>
  <c r="EP30" i="8"/>
  <c r="EO30" i="8"/>
  <c r="EN30" i="8"/>
  <c r="EM30" i="8"/>
  <c r="EL30" i="8"/>
  <c r="EK30" i="8"/>
  <c r="EJ30" i="8"/>
  <c r="EI30" i="8"/>
  <c r="EH30" i="8"/>
  <c r="EG30" i="8"/>
  <c r="EF30" i="8"/>
  <c r="EE30" i="8"/>
  <c r="ED30" i="8"/>
  <c r="EC30" i="8"/>
  <c r="EB30" i="8"/>
  <c r="EA30" i="8"/>
  <c r="DZ30" i="8"/>
  <c r="DY30" i="8"/>
  <c r="DX30" i="8"/>
  <c r="DW30" i="8"/>
  <c r="DV30" i="8"/>
  <c r="DU30" i="8"/>
  <c r="DT30" i="8"/>
  <c r="DS30" i="8"/>
  <c r="DR30" i="8"/>
  <c r="DQ30" i="8"/>
  <c r="DP30" i="8"/>
  <c r="DO30" i="8"/>
  <c r="DN30" i="8"/>
  <c r="DM30" i="8"/>
  <c r="DL30" i="8"/>
  <c r="DK30" i="8"/>
  <c r="DJ30" i="8"/>
  <c r="DI30" i="8"/>
  <c r="DH30" i="8"/>
  <c r="DG30" i="8"/>
  <c r="DF30" i="8"/>
  <c r="DE30" i="8"/>
  <c r="DD30" i="8"/>
  <c r="DC30" i="8"/>
  <c r="DB30" i="8"/>
  <c r="DA30" i="8"/>
  <c r="CZ30" i="8"/>
  <c r="CY30" i="8"/>
  <c r="CX30" i="8"/>
  <c r="CW30" i="8"/>
  <c r="CV30" i="8"/>
  <c r="CU30" i="8"/>
  <c r="CT30" i="8"/>
  <c r="CS30" i="8"/>
  <c r="CR30" i="8"/>
  <c r="CQ30" i="8"/>
  <c r="CP30" i="8"/>
  <c r="CO30" i="8"/>
  <c r="CN30" i="8"/>
  <c r="CM30" i="8"/>
  <c r="CL30" i="8"/>
  <c r="CK30" i="8"/>
  <c r="CJ30" i="8"/>
  <c r="CI30" i="8"/>
  <c r="CH30" i="8"/>
  <c r="CG30" i="8"/>
  <c r="CF30" i="8"/>
  <c r="CE30" i="8"/>
  <c r="CD30" i="8"/>
  <c r="CC30" i="8"/>
  <c r="CB30" i="8"/>
  <c r="CA30" i="8"/>
  <c r="BZ30" i="8"/>
  <c r="BY30" i="8"/>
  <c r="BX30" i="8"/>
  <c r="BW30" i="8"/>
  <c r="BV30" i="8"/>
  <c r="BU30" i="8"/>
  <c r="BT30" i="8"/>
  <c r="BS30" i="8"/>
  <c r="BR30" i="8"/>
  <c r="BQ30" i="8"/>
  <c r="BP30" i="8"/>
  <c r="BO30" i="8"/>
  <c r="BN30" i="8"/>
  <c r="BM30" i="8"/>
  <c r="BL30" i="8"/>
  <c r="BK30" i="8"/>
  <c r="BJ30" i="8"/>
  <c r="BI30" i="8"/>
  <c r="BH30" i="8"/>
  <c r="BG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T30" i="8"/>
  <c r="AS30" i="8"/>
  <c r="AR30" i="8"/>
  <c r="AQ30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C25" i="8"/>
  <c r="C24" i="8"/>
  <c r="GV25" i="8"/>
  <c r="GU25" i="8"/>
  <c r="GT25" i="8"/>
  <c r="GS25" i="8"/>
  <c r="GR25" i="8"/>
  <c r="GQ25" i="8"/>
  <c r="GP25" i="8"/>
  <c r="GO25" i="8"/>
  <c r="GN25" i="8"/>
  <c r="GM25" i="8"/>
  <c r="GL25" i="8"/>
  <c r="GK25" i="8"/>
  <c r="GJ25" i="8"/>
  <c r="GI25" i="8"/>
  <c r="GH25" i="8"/>
  <c r="GG25" i="8"/>
  <c r="GF25" i="8"/>
  <c r="GE25" i="8"/>
  <c r="GD25" i="8"/>
  <c r="GC25" i="8"/>
  <c r="GB25" i="8"/>
  <c r="GA25" i="8"/>
  <c r="FZ25" i="8"/>
  <c r="FY25" i="8"/>
  <c r="FX25" i="8"/>
  <c r="FW25" i="8"/>
  <c r="FV25" i="8"/>
  <c r="FU25" i="8"/>
  <c r="FT25" i="8"/>
  <c r="FS25" i="8"/>
  <c r="FR25" i="8"/>
  <c r="FQ25" i="8"/>
  <c r="FP25" i="8"/>
  <c r="FO25" i="8"/>
  <c r="FN25" i="8"/>
  <c r="FM25" i="8"/>
  <c r="FL25" i="8"/>
  <c r="FK25" i="8"/>
  <c r="FJ25" i="8"/>
  <c r="FI25" i="8"/>
  <c r="FH25" i="8"/>
  <c r="FG25" i="8"/>
  <c r="FF25" i="8"/>
  <c r="FE25" i="8"/>
  <c r="FD25" i="8"/>
  <c r="FC25" i="8"/>
  <c r="FB25" i="8"/>
  <c r="FA25" i="8"/>
  <c r="EZ25" i="8"/>
  <c r="EY25" i="8"/>
  <c r="EX25" i="8"/>
  <c r="EW25" i="8"/>
  <c r="EV25" i="8"/>
  <c r="EU25" i="8"/>
  <c r="ET25" i="8"/>
  <c r="ES25" i="8"/>
  <c r="ER25" i="8"/>
  <c r="EQ25" i="8"/>
  <c r="EP25" i="8"/>
  <c r="EO25" i="8"/>
  <c r="EN25" i="8"/>
  <c r="EM25" i="8"/>
  <c r="EL25" i="8"/>
  <c r="EK25" i="8"/>
  <c r="EJ25" i="8"/>
  <c r="EI25" i="8"/>
  <c r="EH25" i="8"/>
  <c r="EG25" i="8"/>
  <c r="EF25" i="8"/>
  <c r="EE25" i="8"/>
  <c r="ED25" i="8"/>
  <c r="EC25" i="8"/>
  <c r="EB25" i="8"/>
  <c r="EA25" i="8"/>
  <c r="DZ25" i="8"/>
  <c r="DY25" i="8"/>
  <c r="DX25" i="8"/>
  <c r="DW25" i="8"/>
  <c r="DV25" i="8"/>
  <c r="DU25" i="8"/>
  <c r="DT25" i="8"/>
  <c r="DS25" i="8"/>
  <c r="DR25" i="8"/>
  <c r="DQ25" i="8"/>
  <c r="DP25" i="8"/>
  <c r="DO25" i="8"/>
  <c r="DN25" i="8"/>
  <c r="DM25" i="8"/>
  <c r="DL25" i="8"/>
  <c r="DK25" i="8"/>
  <c r="DJ25" i="8"/>
  <c r="DI25" i="8"/>
  <c r="DH25" i="8"/>
  <c r="DG25" i="8"/>
  <c r="DF25" i="8"/>
  <c r="DE25" i="8"/>
  <c r="DD25" i="8"/>
  <c r="DC25" i="8"/>
  <c r="DB25" i="8"/>
  <c r="DA25" i="8"/>
  <c r="CZ25" i="8"/>
  <c r="CY25" i="8"/>
  <c r="CX25" i="8"/>
  <c r="CW25" i="8"/>
  <c r="CV25" i="8"/>
  <c r="CU25" i="8"/>
  <c r="CT25" i="8"/>
  <c r="CS25" i="8"/>
  <c r="CR25" i="8"/>
  <c r="CQ25" i="8"/>
  <c r="CP25" i="8"/>
  <c r="CO25" i="8"/>
  <c r="CN25" i="8"/>
  <c r="CM25" i="8"/>
  <c r="CL25" i="8"/>
  <c r="CK25" i="8"/>
  <c r="CJ25" i="8"/>
  <c r="CI25" i="8"/>
  <c r="CH25" i="8"/>
  <c r="CG25" i="8"/>
  <c r="CF25" i="8"/>
  <c r="CE25" i="8"/>
  <c r="CD25" i="8"/>
  <c r="CC25" i="8"/>
  <c r="CB25" i="8"/>
  <c r="CA25" i="8"/>
  <c r="BZ25" i="8"/>
  <c r="BY25" i="8"/>
  <c r="BX25" i="8"/>
  <c r="BW25" i="8"/>
  <c r="BV25" i="8"/>
  <c r="BU25" i="8"/>
  <c r="BT25" i="8"/>
  <c r="BS25" i="8"/>
  <c r="BR25" i="8"/>
  <c r="BQ25" i="8"/>
  <c r="BP25" i="8"/>
  <c r="BO25" i="8"/>
  <c r="BN25" i="8"/>
  <c r="BM25" i="8"/>
  <c r="BL25" i="8"/>
  <c r="BK25" i="8"/>
  <c r="BJ25" i="8"/>
  <c r="BI25" i="8"/>
  <c r="BH25" i="8"/>
  <c r="BG25" i="8"/>
  <c r="BF25" i="8"/>
  <c r="BE25" i="8"/>
  <c r="BD25" i="8"/>
  <c r="BC25" i="8"/>
  <c r="BB25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H24" i="18"/>
  <c r="I24" i="18"/>
  <c r="J24" i="18"/>
  <c r="K24" i="18"/>
  <c r="L24" i="18"/>
  <c r="M24" i="18"/>
  <c r="N24" i="18"/>
  <c r="O24" i="18"/>
  <c r="P24" i="18"/>
  <c r="Q24" i="18"/>
  <c r="R24" i="18"/>
  <c r="S24" i="18"/>
  <c r="T24" i="18"/>
  <c r="U24" i="18"/>
  <c r="V24" i="18"/>
  <c r="W24" i="18"/>
  <c r="X24" i="18"/>
  <c r="Y24" i="18"/>
  <c r="Z24" i="18"/>
  <c r="AA24" i="18"/>
  <c r="AB24" i="18"/>
  <c r="AC24" i="18"/>
  <c r="AD24" i="18"/>
  <c r="AE24" i="18"/>
  <c r="AF24" i="18"/>
  <c r="AG24" i="18"/>
  <c r="AH24" i="18"/>
  <c r="AI24" i="18"/>
  <c r="AJ24" i="18"/>
  <c r="AK24" i="18"/>
  <c r="AL24" i="18"/>
  <c r="AM24" i="18"/>
  <c r="AN24" i="18"/>
  <c r="AO24" i="18"/>
  <c r="AP24" i="18"/>
  <c r="AQ24" i="18"/>
  <c r="AR24" i="18"/>
  <c r="AS24" i="18"/>
  <c r="AT24" i="18"/>
  <c r="AU24" i="18"/>
  <c r="AV24" i="18"/>
  <c r="AW24" i="18"/>
  <c r="AX24" i="18"/>
  <c r="AY24" i="18"/>
  <c r="AZ24" i="18"/>
  <c r="BA24" i="18"/>
  <c r="BB24" i="18"/>
  <c r="BC24" i="18"/>
  <c r="BD24" i="18"/>
  <c r="BE24" i="18"/>
  <c r="BF24" i="18"/>
  <c r="BG24" i="18"/>
  <c r="BH24" i="18"/>
  <c r="BI24" i="18"/>
  <c r="BJ24" i="18"/>
  <c r="BK24" i="18"/>
  <c r="BL24" i="18"/>
  <c r="BM24" i="18"/>
  <c r="BN24" i="18"/>
  <c r="BO24" i="18"/>
  <c r="BP24" i="18"/>
  <c r="BQ24" i="18"/>
  <c r="BR24" i="18"/>
  <c r="BS24" i="18"/>
  <c r="BT24" i="18"/>
  <c r="BU24" i="18"/>
  <c r="BV24" i="18"/>
  <c r="BW24" i="18"/>
  <c r="BX24" i="18"/>
  <c r="BY24" i="18"/>
  <c r="BZ24" i="18"/>
  <c r="CA24" i="18"/>
  <c r="CB24" i="18"/>
  <c r="CC24" i="18"/>
  <c r="CD24" i="18"/>
  <c r="CE24" i="18"/>
  <c r="CF24" i="18"/>
  <c r="CG24" i="18"/>
  <c r="CH24" i="18"/>
  <c r="CI24" i="18"/>
  <c r="CJ24" i="18"/>
  <c r="CK24" i="18"/>
  <c r="CL24" i="18"/>
  <c r="CM24" i="18"/>
  <c r="CN24" i="18"/>
  <c r="CO24" i="18"/>
  <c r="CP24" i="18"/>
  <c r="CQ24" i="18"/>
  <c r="CR24" i="18"/>
  <c r="CS24" i="18"/>
  <c r="CT24" i="18"/>
  <c r="CU24" i="18"/>
  <c r="CV24" i="18"/>
  <c r="CW24" i="18"/>
  <c r="CX24" i="18"/>
  <c r="CY24" i="18"/>
  <c r="CZ24" i="18"/>
  <c r="DA24" i="18"/>
  <c r="DB24" i="18"/>
  <c r="DC24" i="18"/>
  <c r="DD24" i="18"/>
  <c r="DE24" i="18"/>
  <c r="DF24" i="18"/>
  <c r="DG24" i="18"/>
  <c r="DH24" i="18"/>
  <c r="DI24" i="18"/>
  <c r="DJ24" i="18"/>
  <c r="DK24" i="18"/>
  <c r="DL24" i="18"/>
  <c r="DM24" i="18"/>
  <c r="DN24" i="18"/>
  <c r="DO24" i="18"/>
  <c r="DP24" i="18"/>
  <c r="DQ24" i="18"/>
  <c r="DR24" i="18"/>
  <c r="DS24" i="18"/>
  <c r="DT24" i="18"/>
  <c r="DU24" i="18"/>
  <c r="DV24" i="18"/>
  <c r="DW24" i="18"/>
  <c r="DX24" i="18"/>
  <c r="DY24" i="18"/>
  <c r="DZ24" i="18"/>
  <c r="EA24" i="18"/>
  <c r="EB24" i="18"/>
  <c r="EC24" i="18"/>
  <c r="ED24" i="18"/>
  <c r="EE24" i="18"/>
  <c r="EF24" i="18"/>
  <c r="EG24" i="18"/>
  <c r="EH24" i="18"/>
  <c r="EI24" i="18"/>
  <c r="EJ24" i="18"/>
  <c r="EK24" i="18"/>
  <c r="EL24" i="18"/>
  <c r="EM24" i="18"/>
  <c r="EN24" i="18"/>
  <c r="EO24" i="18"/>
  <c r="EP24" i="18"/>
  <c r="EQ24" i="18"/>
  <c r="ER24" i="18"/>
  <c r="ES24" i="18"/>
  <c r="ET24" i="18"/>
  <c r="EU24" i="18"/>
  <c r="EV24" i="18"/>
  <c r="EW24" i="18"/>
  <c r="EX24" i="18"/>
  <c r="EY24" i="18"/>
  <c r="EZ24" i="18"/>
  <c r="FA24" i="18"/>
  <c r="FB24" i="18"/>
  <c r="FC24" i="18"/>
  <c r="FD24" i="18"/>
  <c r="FE24" i="18"/>
  <c r="FF24" i="18"/>
  <c r="FG24" i="18"/>
  <c r="FH24" i="18"/>
  <c r="FI24" i="18"/>
  <c r="FJ24" i="18"/>
  <c r="FK24" i="18"/>
  <c r="FL24" i="18"/>
  <c r="FM24" i="18"/>
  <c r="FN24" i="18"/>
  <c r="FO24" i="18"/>
  <c r="FP24" i="18"/>
  <c r="FQ24" i="18"/>
  <c r="FR24" i="18"/>
  <c r="FS24" i="18"/>
  <c r="FT24" i="18"/>
  <c r="FU24" i="18"/>
  <c r="FV24" i="18"/>
  <c r="FW24" i="18"/>
  <c r="FX24" i="18"/>
  <c r="FY24" i="18"/>
  <c r="FZ24" i="18"/>
  <c r="GA24" i="18"/>
  <c r="GB24" i="18"/>
  <c r="GC24" i="18"/>
  <c r="GD24" i="18"/>
  <c r="GE24" i="18"/>
  <c r="GF24" i="18"/>
  <c r="GG24" i="18"/>
  <c r="GH24" i="18"/>
  <c r="GI24" i="18"/>
  <c r="GJ24" i="18"/>
  <c r="GK24" i="18"/>
  <c r="GL24" i="18"/>
  <c r="GM24" i="18"/>
  <c r="GN24" i="18"/>
  <c r="GO24" i="18"/>
  <c r="GP24" i="18"/>
  <c r="GQ24" i="18"/>
  <c r="GR24" i="18"/>
  <c r="GS24" i="18"/>
  <c r="GT24" i="18"/>
  <c r="GU24" i="18"/>
  <c r="GV24" i="18"/>
  <c r="BU10" i="7" l="1"/>
  <c r="CY10" i="7"/>
  <c r="CA10" i="7"/>
  <c r="EZ10" i="7"/>
  <c r="B10" i="7"/>
  <c r="GU7" i="21"/>
  <c r="GT7" i="21"/>
  <c r="GS7" i="21"/>
  <c r="GR7" i="21"/>
  <c r="GQ7" i="21"/>
  <c r="GP7" i="21"/>
  <c r="GO7" i="21"/>
  <c r="B56" i="16"/>
  <c r="D57" i="16"/>
  <c r="D58" i="16" s="1"/>
  <c r="E57" i="16"/>
  <c r="F57" i="16"/>
  <c r="G57" i="16"/>
  <c r="H57" i="16"/>
  <c r="I57" i="16"/>
  <c r="J57" i="16"/>
  <c r="K57" i="16"/>
  <c r="L57" i="16"/>
  <c r="M57" i="16"/>
  <c r="C58" i="16"/>
  <c r="E58" i="16"/>
  <c r="F58" i="16"/>
  <c r="G58" i="16"/>
  <c r="H58" i="16"/>
  <c r="I58" i="16"/>
  <c r="J58" i="16"/>
  <c r="K58" i="16"/>
  <c r="L58" i="16"/>
  <c r="M58" i="16"/>
  <c r="B59" i="16"/>
  <c r="D60" i="16"/>
  <c r="E60" i="16"/>
  <c r="F60" i="16"/>
  <c r="G60" i="16"/>
  <c r="H60" i="16"/>
  <c r="I60" i="16"/>
  <c r="J60" i="16"/>
  <c r="K60" i="16"/>
  <c r="L60" i="16"/>
  <c r="M60" i="16"/>
  <c r="C61" i="16"/>
  <c r="D61" i="16"/>
  <c r="E61" i="16"/>
  <c r="F61" i="16"/>
  <c r="G61" i="16"/>
  <c r="H61" i="16"/>
  <c r="I61" i="16"/>
  <c r="J61" i="16"/>
  <c r="K61" i="16"/>
  <c r="L61" i="16"/>
  <c r="M61" i="16"/>
  <c r="GO3" i="21"/>
  <c r="GP3" i="21"/>
  <c r="GQ3" i="21"/>
  <c r="GR3" i="21"/>
  <c r="GS3" i="21"/>
  <c r="GT3" i="21"/>
  <c r="GU3" i="21"/>
  <c r="GO5" i="21"/>
  <c r="GP5" i="21"/>
  <c r="GQ5" i="21"/>
  <c r="GR5" i="21"/>
  <c r="GS5" i="21"/>
  <c r="GT5" i="21"/>
  <c r="GU5" i="21"/>
  <c r="GO6" i="21"/>
  <c r="GP6" i="21"/>
  <c r="GQ6" i="21"/>
  <c r="GR6" i="21"/>
  <c r="GS6" i="21"/>
  <c r="GT6" i="21"/>
  <c r="GU6" i="21"/>
  <c r="B4" i="7"/>
  <c r="B3" i="7"/>
  <c r="GO6" i="7"/>
  <c r="GP6" i="7"/>
  <c r="GQ6" i="7"/>
  <c r="GR6" i="7"/>
  <c r="GM8" i="7"/>
  <c r="GN8" i="7"/>
  <c r="GO8" i="7"/>
  <c r="GQ8" i="7"/>
  <c r="GM9" i="7"/>
  <c r="GN9" i="7"/>
  <c r="GO9" i="7"/>
  <c r="GP9" i="7"/>
  <c r="GQ9" i="7"/>
  <c r="GR9" i="7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A51" i="3"/>
  <c r="BB51" i="3"/>
  <c r="BC51" i="3"/>
  <c r="BD51" i="3"/>
  <c r="BE51" i="3"/>
  <c r="BF51" i="3"/>
  <c r="BG51" i="3"/>
  <c r="BH51" i="3"/>
  <c r="BI51" i="3"/>
  <c r="BJ51" i="3"/>
  <c r="BK51" i="3"/>
  <c r="BL51" i="3"/>
  <c r="BM51" i="3"/>
  <c r="BN51" i="3"/>
  <c r="BO51" i="3"/>
  <c r="BP51" i="3"/>
  <c r="BQ51" i="3"/>
  <c r="BR51" i="3"/>
  <c r="BS51" i="3"/>
  <c r="BT51" i="3"/>
  <c r="BU51" i="3"/>
  <c r="BV51" i="3"/>
  <c r="BW51" i="3"/>
  <c r="BX51" i="3"/>
  <c r="BY51" i="3"/>
  <c r="BZ51" i="3"/>
  <c r="CA51" i="3"/>
  <c r="CB51" i="3"/>
  <c r="CC51" i="3"/>
  <c r="CD51" i="3"/>
  <c r="CE51" i="3"/>
  <c r="CF51" i="3"/>
  <c r="CG51" i="3"/>
  <c r="CH51" i="3"/>
  <c r="CI51" i="3"/>
  <c r="CJ51" i="3"/>
  <c r="CK51" i="3"/>
  <c r="CL51" i="3"/>
  <c r="CM51" i="3"/>
  <c r="CN51" i="3"/>
  <c r="CO51" i="3"/>
  <c r="CP51" i="3"/>
  <c r="CQ51" i="3"/>
  <c r="CR51" i="3"/>
  <c r="CS51" i="3"/>
  <c r="CT51" i="3"/>
  <c r="CU51" i="3"/>
  <c r="CV51" i="3"/>
  <c r="CW51" i="3"/>
  <c r="CX51" i="3"/>
  <c r="CY51" i="3"/>
  <c r="CZ51" i="3"/>
  <c r="DA51" i="3"/>
  <c r="DB51" i="3"/>
  <c r="DC51" i="3"/>
  <c r="DD51" i="3"/>
  <c r="DE51" i="3"/>
  <c r="DF51" i="3"/>
  <c r="DG51" i="3"/>
  <c r="DH51" i="3"/>
  <c r="DI51" i="3"/>
  <c r="DJ51" i="3"/>
  <c r="DK51" i="3"/>
  <c r="DL51" i="3"/>
  <c r="DM51" i="3"/>
  <c r="DN51" i="3"/>
  <c r="DO51" i="3"/>
  <c r="DP51" i="3"/>
  <c r="DQ51" i="3"/>
  <c r="DR51" i="3"/>
  <c r="DS51" i="3"/>
  <c r="DT51" i="3"/>
  <c r="DU51" i="3"/>
  <c r="DV51" i="3"/>
  <c r="DW51" i="3"/>
  <c r="DX51" i="3"/>
  <c r="DY51" i="3"/>
  <c r="DZ51" i="3"/>
  <c r="EA51" i="3"/>
  <c r="EB51" i="3"/>
  <c r="EC51" i="3"/>
  <c r="ED51" i="3"/>
  <c r="EE51" i="3"/>
  <c r="EF51" i="3"/>
  <c r="EG51" i="3"/>
  <c r="EH51" i="3"/>
  <c r="EI51" i="3"/>
  <c r="EJ51" i="3"/>
  <c r="EK51" i="3"/>
  <c r="EL51" i="3"/>
  <c r="EM51" i="3"/>
  <c r="EN51" i="3"/>
  <c r="EO51" i="3"/>
  <c r="EP51" i="3"/>
  <c r="EQ51" i="3"/>
  <c r="ER51" i="3"/>
  <c r="ES51" i="3"/>
  <c r="ET51" i="3"/>
  <c r="EU51" i="3"/>
  <c r="EV51" i="3"/>
  <c r="EW51" i="3"/>
  <c r="EX51" i="3"/>
  <c r="EY51" i="3"/>
  <c r="EZ51" i="3"/>
  <c r="FA51" i="3"/>
  <c r="FB51" i="3"/>
  <c r="FC51" i="3"/>
  <c r="FD51" i="3"/>
  <c r="FE51" i="3"/>
  <c r="FF51" i="3"/>
  <c r="FG51" i="3"/>
  <c r="FH51" i="3"/>
  <c r="FI51" i="3"/>
  <c r="FJ51" i="3"/>
  <c r="FK51" i="3"/>
  <c r="FL51" i="3"/>
  <c r="FM51" i="3"/>
  <c r="FN51" i="3"/>
  <c r="FO51" i="3"/>
  <c r="FP51" i="3"/>
  <c r="FQ51" i="3"/>
  <c r="FR51" i="3"/>
  <c r="FS51" i="3"/>
  <c r="FT51" i="3"/>
  <c r="FU51" i="3"/>
  <c r="FV51" i="3"/>
  <c r="FW51" i="3"/>
  <c r="FX51" i="3"/>
  <c r="FY51" i="3"/>
  <c r="FZ51" i="3"/>
  <c r="GA51" i="3"/>
  <c r="GB51" i="3"/>
  <c r="GC51" i="3"/>
  <c r="GD51" i="3"/>
  <c r="GE51" i="3"/>
  <c r="GF51" i="3"/>
  <c r="GG51" i="3"/>
  <c r="GH51" i="3"/>
  <c r="GI51" i="3"/>
  <c r="GJ51" i="3"/>
  <c r="GK51" i="3"/>
  <c r="GL51" i="3"/>
  <c r="GM51" i="3"/>
  <c r="GN51" i="3"/>
  <c r="GO51" i="3"/>
  <c r="GP51" i="3"/>
  <c r="GQ51" i="3"/>
  <c r="GR51" i="3"/>
  <c r="GN20" i="3"/>
  <c r="GO20" i="3"/>
  <c r="GP20" i="3"/>
  <c r="GQ20" i="3"/>
  <c r="GR20" i="3"/>
  <c r="GN21" i="3"/>
  <c r="GO21" i="3"/>
  <c r="GP21" i="3"/>
  <c r="GQ21" i="3"/>
  <c r="GR21" i="3"/>
  <c r="GN22" i="3"/>
  <c r="GO22" i="3"/>
  <c r="GP22" i="3"/>
  <c r="GQ22" i="3"/>
  <c r="GR22" i="3"/>
  <c r="GN23" i="3"/>
  <c r="GO23" i="3"/>
  <c r="GP23" i="3"/>
  <c r="GQ23" i="3"/>
  <c r="GR23" i="3"/>
  <c r="GN24" i="3"/>
  <c r="GO24" i="3"/>
  <c r="GP24" i="3"/>
  <c r="GQ24" i="3"/>
  <c r="GR24" i="3"/>
  <c r="GN25" i="3"/>
  <c r="GO25" i="3"/>
  <c r="GP25" i="3"/>
  <c r="GQ25" i="3"/>
  <c r="GR25" i="3"/>
  <c r="GN26" i="3"/>
  <c r="GO26" i="3"/>
  <c r="GP26" i="3"/>
  <c r="GQ26" i="3"/>
  <c r="GR26" i="3"/>
  <c r="GN27" i="3"/>
  <c r="GO27" i="3"/>
  <c r="GP27" i="3"/>
  <c r="GQ27" i="3"/>
  <c r="GR27" i="3"/>
  <c r="GN28" i="3"/>
  <c r="GO28" i="3"/>
  <c r="GP28" i="3"/>
  <c r="GQ28" i="3"/>
  <c r="GR28" i="3"/>
  <c r="GN29" i="3"/>
  <c r="GO29" i="3"/>
  <c r="GP29" i="3"/>
  <c r="GQ29" i="3"/>
  <c r="GR29" i="3"/>
  <c r="GN30" i="3"/>
  <c r="GO30" i="3"/>
  <c r="GP30" i="3"/>
  <c r="GQ30" i="3"/>
  <c r="GR30" i="3"/>
  <c r="GN31" i="3"/>
  <c r="GO31" i="3"/>
  <c r="GP31" i="3"/>
  <c r="GQ31" i="3"/>
  <c r="GR31" i="3"/>
  <c r="GN32" i="3"/>
  <c r="GO32" i="3"/>
  <c r="GP32" i="3"/>
  <c r="GQ32" i="3"/>
  <c r="GR32" i="3"/>
  <c r="GN33" i="3"/>
  <c r="GO33" i="3"/>
  <c r="GP33" i="3"/>
  <c r="GQ33" i="3"/>
  <c r="GR33" i="3"/>
  <c r="GN34" i="3"/>
  <c r="GO34" i="3"/>
  <c r="GP34" i="3"/>
  <c r="GQ34" i="3"/>
  <c r="GR34" i="3"/>
  <c r="GN35" i="3"/>
  <c r="GO35" i="3"/>
  <c r="GP35" i="3"/>
  <c r="GQ35" i="3"/>
  <c r="GR35" i="3"/>
  <c r="GN36" i="3"/>
  <c r="GO36" i="3"/>
  <c r="GP36" i="3"/>
  <c r="GQ36" i="3"/>
  <c r="GR36" i="3"/>
  <c r="GN37" i="3"/>
  <c r="GO37" i="3"/>
  <c r="GP37" i="3"/>
  <c r="GQ37" i="3"/>
  <c r="GR37" i="3"/>
  <c r="GN38" i="3"/>
  <c r="GO38" i="3"/>
  <c r="GP38" i="3"/>
  <c r="GQ38" i="3"/>
  <c r="GR38" i="3"/>
  <c r="GN39" i="3"/>
  <c r="GO39" i="3"/>
  <c r="GP39" i="3"/>
  <c r="GQ39" i="3"/>
  <c r="GR39" i="3"/>
  <c r="GN40" i="3"/>
  <c r="GO40" i="3"/>
  <c r="GP40" i="3"/>
  <c r="GQ40" i="3"/>
  <c r="GR40" i="3"/>
  <c r="GN41" i="3"/>
  <c r="GO41" i="3"/>
  <c r="GP41" i="3"/>
  <c r="GQ41" i="3"/>
  <c r="GR41" i="3"/>
  <c r="GN42" i="3"/>
  <c r="GO42" i="3"/>
  <c r="GP42" i="3"/>
  <c r="GQ42" i="3"/>
  <c r="GR42" i="3"/>
  <c r="GN43" i="3"/>
  <c r="GO43" i="3"/>
  <c r="GP43" i="3"/>
  <c r="GQ43" i="3"/>
  <c r="GR43" i="3"/>
  <c r="GN44" i="3"/>
  <c r="GO44" i="3"/>
  <c r="GP44" i="3"/>
  <c r="GQ44" i="3"/>
  <c r="GR44" i="3"/>
  <c r="GN45" i="3"/>
  <c r="GO45" i="3"/>
  <c r="GP45" i="3"/>
  <c r="GQ45" i="3"/>
  <c r="GR45" i="3"/>
  <c r="GN46" i="3"/>
  <c r="GO46" i="3"/>
  <c r="GP46" i="3"/>
  <c r="GQ46" i="3"/>
  <c r="GR46" i="3"/>
  <c r="GN47" i="3"/>
  <c r="GO47" i="3"/>
  <c r="GP47" i="3"/>
  <c r="GQ47" i="3"/>
  <c r="GR47" i="3"/>
  <c r="GN48" i="3"/>
  <c r="GO48" i="3"/>
  <c r="GP48" i="3"/>
  <c r="GQ48" i="3"/>
  <c r="GR48" i="3"/>
  <c r="GN49" i="3"/>
  <c r="GO49" i="3"/>
  <c r="GP49" i="3"/>
  <c r="GQ49" i="3"/>
  <c r="GR49" i="3"/>
  <c r="GN50" i="3"/>
  <c r="GO50" i="3"/>
  <c r="GP50" i="3"/>
  <c r="GQ50" i="3"/>
  <c r="GR50" i="3"/>
  <c r="GN52" i="3"/>
  <c r="GO52" i="3"/>
  <c r="GP52" i="3"/>
  <c r="GQ52" i="3"/>
  <c r="GR52" i="3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GZ60" i="18"/>
  <c r="GY60" i="18"/>
  <c r="GX60" i="18"/>
  <c r="GW60" i="18"/>
  <c r="GV60" i="18"/>
  <c r="GU60" i="18"/>
  <c r="GT60" i="18"/>
  <c r="GS60" i="18"/>
  <c r="GR60" i="18"/>
  <c r="GQ60" i="18"/>
  <c r="GP60" i="18"/>
  <c r="GO60" i="18"/>
  <c r="GN60" i="18"/>
  <c r="GM60" i="18"/>
  <c r="GL60" i="18"/>
  <c r="GK60" i="18"/>
  <c r="GJ60" i="18"/>
  <c r="GI60" i="18"/>
  <c r="GH60" i="18"/>
  <c r="GG60" i="18"/>
  <c r="GF60" i="18"/>
  <c r="GE60" i="18"/>
  <c r="GD60" i="18"/>
  <c r="GC60" i="18"/>
  <c r="GB60" i="18"/>
  <c r="GA60" i="18"/>
  <c r="FZ60" i="18"/>
  <c r="FY60" i="18"/>
  <c r="FX60" i="18"/>
  <c r="FW60" i="18"/>
  <c r="FV60" i="18"/>
  <c r="FU60" i="18"/>
  <c r="FT60" i="18"/>
  <c r="FS60" i="18"/>
  <c r="FR60" i="18"/>
  <c r="FQ60" i="18"/>
  <c r="FP60" i="18"/>
  <c r="FO60" i="18"/>
  <c r="FN60" i="18"/>
  <c r="FM60" i="18"/>
  <c r="FL60" i="18"/>
  <c r="FK60" i="18"/>
  <c r="FJ60" i="18"/>
  <c r="FI60" i="18"/>
  <c r="FH60" i="18"/>
  <c r="FG60" i="18"/>
  <c r="FF60" i="18"/>
  <c r="FE60" i="18"/>
  <c r="FD60" i="18"/>
  <c r="FC60" i="18"/>
  <c r="FB60" i="18"/>
  <c r="FA60" i="18"/>
  <c r="EZ60" i="18"/>
  <c r="EY60" i="18"/>
  <c r="EX60" i="18"/>
  <c r="EW60" i="18"/>
  <c r="EV60" i="18"/>
  <c r="EU60" i="18"/>
  <c r="ET60" i="18"/>
  <c r="ES60" i="18"/>
  <c r="ER60" i="18"/>
  <c r="EQ60" i="18"/>
  <c r="EP60" i="18"/>
  <c r="EO60" i="18"/>
  <c r="EN60" i="18"/>
  <c r="EM60" i="18"/>
  <c r="EL60" i="18"/>
  <c r="EK60" i="18"/>
  <c r="EJ60" i="18"/>
  <c r="EI60" i="18"/>
  <c r="EH60" i="18"/>
  <c r="EG60" i="18"/>
  <c r="EF60" i="18"/>
  <c r="EE60" i="18"/>
  <c r="ED60" i="18"/>
  <c r="EC60" i="18"/>
  <c r="EB60" i="18"/>
  <c r="EA60" i="18"/>
  <c r="DZ60" i="18"/>
  <c r="DY60" i="18"/>
  <c r="DX60" i="18"/>
  <c r="DW60" i="18"/>
  <c r="DV60" i="18"/>
  <c r="DU60" i="18"/>
  <c r="DT60" i="18"/>
  <c r="DS60" i="18"/>
  <c r="DR60" i="18"/>
  <c r="DQ60" i="18"/>
  <c r="DP60" i="18"/>
  <c r="DO60" i="18"/>
  <c r="DN60" i="18"/>
  <c r="DM60" i="18"/>
  <c r="DL60" i="18"/>
  <c r="DK60" i="18"/>
  <c r="DJ60" i="18"/>
  <c r="DI60" i="18"/>
  <c r="DH60" i="18"/>
  <c r="DG60" i="18"/>
  <c r="DF60" i="18"/>
  <c r="DE60" i="18"/>
  <c r="DD60" i="18"/>
  <c r="DC60" i="18"/>
  <c r="DB60" i="18"/>
  <c r="DA60" i="18"/>
  <c r="CZ60" i="18"/>
  <c r="CY60" i="18"/>
  <c r="CX60" i="18"/>
  <c r="CW60" i="18"/>
  <c r="CV60" i="18"/>
  <c r="CU60" i="18"/>
  <c r="CT60" i="18"/>
  <c r="CS60" i="18"/>
  <c r="CR60" i="18"/>
  <c r="CQ60" i="18"/>
  <c r="CP60" i="18"/>
  <c r="CO60" i="18"/>
  <c r="CN60" i="18"/>
  <c r="CM60" i="18"/>
  <c r="CL60" i="18"/>
  <c r="CK60" i="18"/>
  <c r="CJ60" i="18"/>
  <c r="CI60" i="18"/>
  <c r="CH60" i="18"/>
  <c r="CG60" i="18"/>
  <c r="CF60" i="18"/>
  <c r="CE60" i="18"/>
  <c r="CD60" i="18"/>
  <c r="CC60" i="18"/>
  <c r="CB60" i="18"/>
  <c r="CA60" i="18"/>
  <c r="BZ60" i="18"/>
  <c r="BY60" i="18"/>
  <c r="BX60" i="18"/>
  <c r="BW60" i="18"/>
  <c r="BV60" i="18"/>
  <c r="BU60" i="18"/>
  <c r="BT60" i="18"/>
  <c r="BS60" i="18"/>
  <c r="BR60" i="18"/>
  <c r="BQ60" i="18"/>
  <c r="BP60" i="18"/>
  <c r="BO60" i="18"/>
  <c r="BN60" i="18"/>
  <c r="BM60" i="18"/>
  <c r="BL60" i="18"/>
  <c r="BK60" i="18"/>
  <c r="BJ60" i="18"/>
  <c r="BI60" i="18"/>
  <c r="BH60" i="18"/>
  <c r="BG60" i="18"/>
  <c r="BF60" i="18"/>
  <c r="BE60" i="18"/>
  <c r="BD60" i="18"/>
  <c r="BC60" i="18"/>
  <c r="BB60" i="18"/>
  <c r="BA60" i="18"/>
  <c r="AZ60" i="18"/>
  <c r="AY60" i="18"/>
  <c r="AX60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 s="1"/>
  <c r="GZ59" i="18"/>
  <c r="GY59" i="18"/>
  <c r="GX59" i="18"/>
  <c r="GW59" i="18"/>
  <c r="GV59" i="18"/>
  <c r="GU59" i="18"/>
  <c r="GT59" i="18"/>
  <c r="GS59" i="18"/>
  <c r="GR59" i="18"/>
  <c r="GQ59" i="18"/>
  <c r="GP59" i="18"/>
  <c r="GO59" i="18"/>
  <c r="GN59" i="18"/>
  <c r="GM59" i="18"/>
  <c r="GL59" i="18"/>
  <c r="GK59" i="18"/>
  <c r="GJ59" i="18"/>
  <c r="GI59" i="18"/>
  <c r="GH59" i="18"/>
  <c r="GG59" i="18"/>
  <c r="GF59" i="18"/>
  <c r="GE59" i="18"/>
  <c r="GD59" i="18"/>
  <c r="GC59" i="18"/>
  <c r="GB59" i="18"/>
  <c r="GA59" i="18"/>
  <c r="FZ59" i="18"/>
  <c r="FY59" i="18"/>
  <c r="FX59" i="18"/>
  <c r="FW59" i="18"/>
  <c r="FV59" i="18"/>
  <c r="FU59" i="18"/>
  <c r="FT59" i="18"/>
  <c r="FS59" i="18"/>
  <c r="FR59" i="18"/>
  <c r="FQ59" i="18"/>
  <c r="FP59" i="18"/>
  <c r="FO59" i="18"/>
  <c r="FN59" i="18"/>
  <c r="FM59" i="18"/>
  <c r="FL59" i="18"/>
  <c r="FK59" i="18"/>
  <c r="FJ59" i="18"/>
  <c r="FI59" i="18"/>
  <c r="FH59" i="18"/>
  <c r="FG59" i="18"/>
  <c r="FF59" i="18"/>
  <c r="FE59" i="18"/>
  <c r="FD59" i="18"/>
  <c r="FC59" i="18"/>
  <c r="FB59" i="18"/>
  <c r="FA59" i="18"/>
  <c r="EZ59" i="18"/>
  <c r="EY59" i="18"/>
  <c r="EX59" i="18"/>
  <c r="EW59" i="18"/>
  <c r="EV59" i="18"/>
  <c r="EU59" i="18"/>
  <c r="ET59" i="18"/>
  <c r="ES59" i="18"/>
  <c r="ER59" i="18"/>
  <c r="EQ59" i="18"/>
  <c r="EP59" i="18"/>
  <c r="EO59" i="18"/>
  <c r="EN59" i="18"/>
  <c r="EM59" i="18"/>
  <c r="EL59" i="18"/>
  <c r="EK59" i="18"/>
  <c r="EJ59" i="18"/>
  <c r="EI59" i="18"/>
  <c r="EH59" i="18"/>
  <c r="EG59" i="18"/>
  <c r="EF59" i="18"/>
  <c r="EE59" i="18"/>
  <c r="ED59" i="18"/>
  <c r="EC59" i="18"/>
  <c r="EB59" i="18"/>
  <c r="EA59" i="18"/>
  <c r="DZ59" i="18"/>
  <c r="DY59" i="18"/>
  <c r="DX59" i="18"/>
  <c r="DW59" i="18"/>
  <c r="DV59" i="18"/>
  <c r="DU59" i="18"/>
  <c r="DT59" i="18"/>
  <c r="DS59" i="18"/>
  <c r="DR59" i="18"/>
  <c r="DQ59" i="18"/>
  <c r="DP59" i="18"/>
  <c r="DO59" i="18"/>
  <c r="DN59" i="18"/>
  <c r="DM59" i="18"/>
  <c r="DL59" i="18"/>
  <c r="DK59" i="18"/>
  <c r="DJ59" i="18"/>
  <c r="DI59" i="18"/>
  <c r="DH59" i="18"/>
  <c r="DG59" i="18"/>
  <c r="DF59" i="18"/>
  <c r="DE59" i="18"/>
  <c r="DD59" i="18"/>
  <c r="DC59" i="18"/>
  <c r="DB59" i="18"/>
  <c r="DA59" i="18"/>
  <c r="CZ59" i="18"/>
  <c r="CY59" i="18"/>
  <c r="CX59" i="18"/>
  <c r="CW59" i="18"/>
  <c r="CV59" i="18"/>
  <c r="CU59" i="18"/>
  <c r="CT59" i="18"/>
  <c r="CS59" i="18"/>
  <c r="CR59" i="18"/>
  <c r="CQ59" i="18"/>
  <c r="CP59" i="18"/>
  <c r="CO59" i="18"/>
  <c r="CN59" i="18"/>
  <c r="CM59" i="18"/>
  <c r="CL59" i="18"/>
  <c r="CK59" i="18"/>
  <c r="CJ59" i="18"/>
  <c r="CI59" i="18"/>
  <c r="CH59" i="18"/>
  <c r="CG59" i="18"/>
  <c r="CF59" i="18"/>
  <c r="CE59" i="18"/>
  <c r="CD59" i="18"/>
  <c r="CC59" i="18"/>
  <c r="CB59" i="18"/>
  <c r="CA59" i="18"/>
  <c r="BZ59" i="18"/>
  <c r="BY59" i="18"/>
  <c r="BX59" i="18"/>
  <c r="BW59" i="18"/>
  <c r="BV59" i="18"/>
  <c r="BU59" i="18"/>
  <c r="BT59" i="18"/>
  <c r="BS59" i="18"/>
  <c r="BR59" i="18"/>
  <c r="BQ59" i="18"/>
  <c r="BP59" i="18"/>
  <c r="BO59" i="18"/>
  <c r="BN59" i="18"/>
  <c r="BM59" i="18"/>
  <c r="BL59" i="18"/>
  <c r="BK59" i="18"/>
  <c r="BJ59" i="18"/>
  <c r="BI59" i="18"/>
  <c r="BH59" i="18"/>
  <c r="BG59" i="18"/>
  <c r="BF59" i="18"/>
  <c r="BE59" i="18"/>
  <c r="BD59" i="18"/>
  <c r="BC59" i="18"/>
  <c r="BB59" i="18"/>
  <c r="BA59" i="18"/>
  <c r="AZ59" i="18"/>
  <c r="AY59" i="18"/>
  <c r="AX59" i="18"/>
  <c r="AW59" i="18"/>
  <c r="AV59" i="18"/>
  <c r="AU59" i="18"/>
  <c r="AT59" i="18"/>
  <c r="AS59" i="18"/>
  <c r="AR59" i="18"/>
  <c r="AQ59" i="18"/>
  <c r="AP59" i="18"/>
  <c r="AO59" i="18"/>
  <c r="AN59" i="18"/>
  <c r="AM59" i="18"/>
  <c r="AL59" i="18"/>
  <c r="AK59" i="18"/>
  <c r="AJ59" i="18"/>
  <c r="AI59" i="18"/>
  <c r="AH59" i="18"/>
  <c r="AG59" i="18"/>
  <c r="AF59" i="18"/>
  <c r="AE59" i="18"/>
  <c r="AD59" i="18"/>
  <c r="AC59" i="18"/>
  <c r="AB59" i="18"/>
  <c r="AA59" i="18"/>
  <c r="Z59" i="18"/>
  <c r="Y59" i="18"/>
  <c r="X59" i="18"/>
  <c r="W59" i="18"/>
  <c r="V59" i="18"/>
  <c r="U59" i="18"/>
  <c r="T59" i="18"/>
  <c r="S59" i="18"/>
  <c r="R59" i="18"/>
  <c r="Q59" i="18"/>
  <c r="P59" i="18"/>
  <c r="O59" i="18"/>
  <c r="N59" i="18"/>
  <c r="M59" i="18"/>
  <c r="L59" i="18"/>
  <c r="K59" i="18"/>
  <c r="J59" i="18"/>
  <c r="I59" i="18"/>
  <c r="H59" i="18"/>
  <c r="G58" i="18"/>
  <c r="G57" i="18"/>
  <c r="G56" i="18"/>
  <c r="G55" i="18"/>
  <c r="G54" i="18"/>
  <c r="G53" i="18"/>
  <c r="G52" i="18"/>
  <c r="G51" i="18"/>
  <c r="G50" i="18"/>
  <c r="G49" i="18"/>
  <c r="G48" i="18"/>
  <c r="G47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G34" i="18"/>
  <c r="G33" i="18"/>
  <c r="G32" i="18"/>
  <c r="G31" i="18"/>
  <c r="G30" i="18"/>
  <c r="G29" i="18"/>
  <c r="G28" i="18"/>
  <c r="G59" i="18" s="1"/>
  <c r="GZ25" i="18"/>
  <c r="GZ62" i="18" s="1"/>
  <c r="GY25" i="18"/>
  <c r="GY62" i="18" s="1"/>
  <c r="GX25" i="18"/>
  <c r="GX62" i="18" s="1"/>
  <c r="GW25" i="18"/>
  <c r="GW62" i="18" s="1"/>
  <c r="GV25" i="18"/>
  <c r="GV62" i="18" s="1"/>
  <c r="GU25" i="18"/>
  <c r="GU62" i="18" s="1"/>
  <c r="GT25" i="18"/>
  <c r="GT62" i="18" s="1"/>
  <c r="GS25" i="18"/>
  <c r="GS62" i="18" s="1"/>
  <c r="GR25" i="18"/>
  <c r="GR62" i="18" s="1"/>
  <c r="GZ24" i="18"/>
  <c r="GY24" i="18"/>
  <c r="GX24" i="18"/>
  <c r="GW24" i="18"/>
  <c r="G23" i="18"/>
  <c r="G22" i="18"/>
  <c r="G21" i="18"/>
  <c r="G20" i="18"/>
  <c r="G19" i="18"/>
  <c r="G18" i="18"/>
  <c r="F14" i="16" s="1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G4" i="18"/>
  <c r="G3" i="18"/>
  <c r="G2" i="18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33" i="1"/>
  <c r="GV34" i="1"/>
  <c r="GU34" i="1"/>
  <c r="GT34" i="1"/>
  <c r="GS34" i="1"/>
  <c r="GR34" i="1"/>
  <c r="GQ34" i="1"/>
  <c r="GP34" i="1"/>
  <c r="GV34" i="2"/>
  <c r="GU34" i="2"/>
  <c r="GT34" i="2"/>
  <c r="GS34" i="2"/>
  <c r="GR34" i="2"/>
  <c r="GQ34" i="2"/>
  <c r="GP34" i="2"/>
  <c r="GO34" i="2"/>
  <c r="GN34" i="2"/>
  <c r="C3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" i="2"/>
  <c r="C34" i="2" s="1"/>
  <c r="GZ27" i="18"/>
  <c r="GY27" i="18"/>
  <c r="GX27" i="18"/>
  <c r="GW27" i="18"/>
  <c r="GV27" i="18"/>
  <c r="GU27" i="18"/>
  <c r="GT27" i="18"/>
  <c r="GS27" i="18"/>
  <c r="GR27" i="18"/>
  <c r="GL9" i="7"/>
  <c r="GK9" i="7"/>
  <c r="GJ9" i="7"/>
  <c r="GI9" i="7"/>
  <c r="GH9" i="7"/>
  <c r="GG9" i="7"/>
  <c r="GF9" i="7"/>
  <c r="GE9" i="7"/>
  <c r="GD9" i="7"/>
  <c r="GC9" i="7"/>
  <c r="GB9" i="7"/>
  <c r="GA9" i="7"/>
  <c r="FZ9" i="7"/>
  <c r="FY9" i="7"/>
  <c r="FX9" i="7"/>
  <c r="FW9" i="7"/>
  <c r="FV9" i="7"/>
  <c r="FU9" i="7"/>
  <c r="FT9" i="7"/>
  <c r="FS9" i="7"/>
  <c r="FR9" i="7"/>
  <c r="FQ9" i="7"/>
  <c r="FP9" i="7"/>
  <c r="FO9" i="7"/>
  <c r="FN9" i="7"/>
  <c r="FM9" i="7"/>
  <c r="FL9" i="7"/>
  <c r="FK9" i="7"/>
  <c r="FJ9" i="7"/>
  <c r="FI9" i="7"/>
  <c r="FH9" i="7"/>
  <c r="FG9" i="7"/>
  <c r="FF9" i="7"/>
  <c r="FE9" i="7"/>
  <c r="FD9" i="7"/>
  <c r="FC9" i="7"/>
  <c r="FB9" i="7"/>
  <c r="FA9" i="7"/>
  <c r="EZ9" i="7"/>
  <c r="EY9" i="7"/>
  <c r="EX9" i="7"/>
  <c r="EW9" i="7"/>
  <c r="EV9" i="7"/>
  <c r="EU9" i="7"/>
  <c r="ET9" i="7"/>
  <c r="ES9" i="7"/>
  <c r="ER9" i="7"/>
  <c r="EQ9" i="7"/>
  <c r="EP9" i="7"/>
  <c r="EO9" i="7"/>
  <c r="EN9" i="7"/>
  <c r="EM9" i="7"/>
  <c r="EL9" i="7"/>
  <c r="EK9" i="7"/>
  <c r="EJ9" i="7"/>
  <c r="EI9" i="7"/>
  <c r="EH9" i="7"/>
  <c r="EG9" i="7"/>
  <c r="EF9" i="7"/>
  <c r="EE9" i="7"/>
  <c r="ED9" i="7"/>
  <c r="EC9" i="7"/>
  <c r="EB9" i="7"/>
  <c r="EA9" i="7"/>
  <c r="DY9" i="7"/>
  <c r="DX9" i="7"/>
  <c r="DW9" i="7"/>
  <c r="DU9" i="7"/>
  <c r="DT9" i="7"/>
  <c r="DS9" i="7"/>
  <c r="DR9" i="7"/>
  <c r="DQ9" i="7"/>
  <c r="DP9" i="7"/>
  <c r="DN9" i="7"/>
  <c r="DM9" i="7"/>
  <c r="DL9" i="7"/>
  <c r="DJ9" i="7"/>
  <c r="DI9" i="7"/>
  <c r="DH9" i="7"/>
  <c r="DG9" i="7"/>
  <c r="DF9" i="7"/>
  <c r="DE9" i="7"/>
  <c r="DD9" i="7"/>
  <c r="DC9" i="7"/>
  <c r="DB9" i="7"/>
  <c r="DA9" i="7"/>
  <c r="CZ9" i="7"/>
  <c r="CY9" i="7"/>
  <c r="CX9" i="7"/>
  <c r="CW9" i="7"/>
  <c r="CV9" i="7"/>
  <c r="CU9" i="7"/>
  <c r="CT9" i="7"/>
  <c r="CS9" i="7"/>
  <c r="CR9" i="7"/>
  <c r="CQ9" i="7"/>
  <c r="CP9" i="7"/>
  <c r="CO9" i="7"/>
  <c r="CN9" i="7"/>
  <c r="CM9" i="7"/>
  <c r="CL9" i="7"/>
  <c r="CK9" i="7"/>
  <c r="CJ9" i="7"/>
  <c r="CI9" i="7"/>
  <c r="CH9" i="7"/>
  <c r="CG9" i="7"/>
  <c r="CF9" i="7"/>
  <c r="CE9" i="7"/>
  <c r="CD9" i="7"/>
  <c r="CC9" i="7"/>
  <c r="CB9" i="7"/>
  <c r="CA9" i="7"/>
  <c r="BZ9" i="7"/>
  <c r="BY9" i="7"/>
  <c r="BX9" i="7"/>
  <c r="BW9" i="7"/>
  <c r="BV9" i="7"/>
  <c r="BU9" i="7"/>
  <c r="BT9" i="7"/>
  <c r="BS9" i="7"/>
  <c r="BQ9" i="7"/>
  <c r="BP9" i="7"/>
  <c r="BO9" i="7"/>
  <c r="BM9" i="7"/>
  <c r="BL9" i="7"/>
  <c r="BK9" i="7"/>
  <c r="BJ9" i="7"/>
  <c r="BI9" i="7"/>
  <c r="BH9" i="7"/>
  <c r="BG9" i="7"/>
  <c r="BE9" i="7"/>
  <c r="BD9" i="7"/>
  <c r="BA9" i="7"/>
  <c r="AZ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4" i="21"/>
  <c r="B2" i="21"/>
  <c r="B9" i="21"/>
  <c r="A7" i="22"/>
  <c r="GQ25" i="18"/>
  <c r="GQ62" i="18" s="1"/>
  <c r="GQ27" i="18"/>
  <c r="GM20" i="3"/>
  <c r="GM21" i="3"/>
  <c r="GM22" i="3"/>
  <c r="GM23" i="3"/>
  <c r="GM24" i="3"/>
  <c r="GM25" i="3"/>
  <c r="GM26" i="3"/>
  <c r="GM27" i="3"/>
  <c r="GM28" i="3"/>
  <c r="GM29" i="3"/>
  <c r="GM30" i="3"/>
  <c r="GM31" i="3"/>
  <c r="GM32" i="3"/>
  <c r="GM33" i="3"/>
  <c r="GM34" i="3"/>
  <c r="GM35" i="3"/>
  <c r="GM36" i="3"/>
  <c r="GM37" i="3"/>
  <c r="GM38" i="3"/>
  <c r="GM39" i="3"/>
  <c r="GM40" i="3"/>
  <c r="GM41" i="3"/>
  <c r="GM42" i="3"/>
  <c r="GM43" i="3"/>
  <c r="GM44" i="3"/>
  <c r="GM45" i="3"/>
  <c r="GM46" i="3"/>
  <c r="GM47" i="3"/>
  <c r="GM48" i="3"/>
  <c r="GM49" i="3"/>
  <c r="GM50" i="3"/>
  <c r="GM52" i="3"/>
  <c r="GM34" i="2"/>
  <c r="G5" i="10"/>
  <c r="GL8" i="7"/>
  <c r="GI8" i="7"/>
  <c r="GH8" i="7"/>
  <c r="GG8" i="7"/>
  <c r="GF8" i="7"/>
  <c r="GE8" i="7"/>
  <c r="GD8" i="7"/>
  <c r="GC8" i="7"/>
  <c r="GB8" i="7"/>
  <c r="GA8" i="7"/>
  <c r="FZ8" i="7"/>
  <c r="FY8" i="7"/>
  <c r="FX8" i="7"/>
  <c r="FV8" i="7"/>
  <c r="FS8" i="7"/>
  <c r="FR8" i="7"/>
  <c r="FQ8" i="7"/>
  <c r="FM8" i="7"/>
  <c r="FL8" i="7"/>
  <c r="FK8" i="7"/>
  <c r="FJ8" i="7"/>
  <c r="FI8" i="7"/>
  <c r="FH8" i="7"/>
  <c r="FG8" i="7"/>
  <c r="FF8" i="7"/>
  <c r="FE8" i="7"/>
  <c r="FD8" i="7"/>
  <c r="FC8" i="7"/>
  <c r="FB8" i="7"/>
  <c r="FA8" i="7"/>
  <c r="EZ8" i="7"/>
  <c r="EY8" i="7"/>
  <c r="EX8" i="7"/>
  <c r="EW8" i="7"/>
  <c r="EV8" i="7"/>
  <c r="EU8" i="7"/>
  <c r="ET8" i="7"/>
  <c r="ES8" i="7"/>
  <c r="ER8" i="7"/>
  <c r="EQ8" i="7"/>
  <c r="EP8" i="7"/>
  <c r="EO8" i="7"/>
  <c r="EN8" i="7"/>
  <c r="EM8" i="7"/>
  <c r="EL8" i="7"/>
  <c r="EK8" i="7"/>
  <c r="EJ8" i="7"/>
  <c r="EI8" i="7"/>
  <c r="EH8" i="7"/>
  <c r="EG8" i="7"/>
  <c r="EF8" i="7"/>
  <c r="EE8" i="7"/>
  <c r="ED8" i="7"/>
  <c r="EC8" i="7"/>
  <c r="EB8" i="7"/>
  <c r="EA8" i="7"/>
  <c r="DZ8" i="7"/>
  <c r="DY8" i="7"/>
  <c r="DV8" i="7"/>
  <c r="DU8" i="7"/>
  <c r="DS8" i="7"/>
  <c r="DR8" i="7"/>
  <c r="DQ8" i="7"/>
  <c r="DP8" i="7"/>
  <c r="DO8" i="7"/>
  <c r="DN8" i="7"/>
  <c r="DM8" i="7"/>
  <c r="DL8" i="7"/>
  <c r="DK8" i="7"/>
  <c r="DJ8" i="7"/>
  <c r="DI8" i="7"/>
  <c r="DH8" i="7"/>
  <c r="DG8" i="7"/>
  <c r="DF8" i="7"/>
  <c r="DE8" i="7"/>
  <c r="DD8" i="7"/>
  <c r="DC8" i="7"/>
  <c r="DB8" i="7"/>
  <c r="DA8" i="7"/>
  <c r="CZ8" i="7"/>
  <c r="CY8" i="7"/>
  <c r="CX8" i="7"/>
  <c r="CW8" i="7"/>
  <c r="CV8" i="7"/>
  <c r="CU8" i="7"/>
  <c r="CT8" i="7"/>
  <c r="CS8" i="7"/>
  <c r="CR8" i="7"/>
  <c r="CQ8" i="7"/>
  <c r="CP8" i="7"/>
  <c r="CO8" i="7"/>
  <c r="CN8" i="7"/>
  <c r="CM8" i="7"/>
  <c r="CK8" i="7"/>
  <c r="CJ8" i="7"/>
  <c r="CI8" i="7"/>
  <c r="CF8" i="7"/>
  <c r="CE8" i="7"/>
  <c r="CB8" i="7"/>
  <c r="CA8" i="7"/>
  <c r="BY8" i="7"/>
  <c r="BX8" i="7"/>
  <c r="BW8" i="7"/>
  <c r="BV8" i="7"/>
  <c r="BU8" i="7"/>
  <c r="BT8" i="7"/>
  <c r="BS8" i="7"/>
  <c r="BR8" i="7"/>
  <c r="BQ8" i="7"/>
  <c r="BP8" i="7"/>
  <c r="BO8" i="7"/>
  <c r="BN8" i="7"/>
  <c r="BM8" i="7"/>
  <c r="BL8" i="7"/>
  <c r="BK8" i="7"/>
  <c r="BI8" i="7"/>
  <c r="BH8" i="7"/>
  <c r="BG8" i="7"/>
  <c r="BF8" i="7"/>
  <c r="BE8" i="7"/>
  <c r="BD8" i="7"/>
  <c r="BC8" i="7"/>
  <c r="BB8" i="7"/>
  <c r="BA8" i="7"/>
  <c r="AZ8" i="7"/>
  <c r="AY8" i="7"/>
  <c r="AX8" i="7"/>
  <c r="AW8" i="7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G8" i="7"/>
  <c r="GP25" i="18"/>
  <c r="GP62" i="18" s="1"/>
  <c r="GO25" i="18"/>
  <c r="GO62" i="18" s="1"/>
  <c r="GN25" i="18"/>
  <c r="GN62" i="18" s="1"/>
  <c r="GM25" i="18"/>
  <c r="GM62" i="18" s="1"/>
  <c r="GL25" i="18"/>
  <c r="GL62" i="18" s="1"/>
  <c r="GK25" i="18"/>
  <c r="GK62" i="18" s="1"/>
  <c r="GJ25" i="18"/>
  <c r="GJ62" i="18" s="1"/>
  <c r="GI25" i="18"/>
  <c r="GI62" i="18" s="1"/>
  <c r="GH25" i="18"/>
  <c r="GH62" i="18" s="1"/>
  <c r="GG25" i="18"/>
  <c r="GG62" i="18" s="1"/>
  <c r="GF25" i="18"/>
  <c r="GF62" i="18" s="1"/>
  <c r="GE25" i="18"/>
  <c r="GE62" i="18" s="1"/>
  <c r="GD25" i="18"/>
  <c r="GD62" i="18" s="1"/>
  <c r="GC62" i="18"/>
  <c r="GB25" i="18"/>
  <c r="GB62" i="18" s="1"/>
  <c r="GA25" i="18"/>
  <c r="GA62" i="18" s="1"/>
  <c r="FZ25" i="18"/>
  <c r="FZ62" i="18" s="1"/>
  <c r="FY25" i="18"/>
  <c r="FY62" i="18" s="1"/>
  <c r="FX25" i="18"/>
  <c r="FX62" i="18" s="1"/>
  <c r="FW25" i="18"/>
  <c r="FW62" i="18" s="1"/>
  <c r="FV25" i="18"/>
  <c r="FV62" i="18" s="1"/>
  <c r="FU25" i="18"/>
  <c r="FU62" i="18" s="1"/>
  <c r="FT25" i="18"/>
  <c r="FT62" i="18" s="1"/>
  <c r="FS25" i="18"/>
  <c r="FS62" i="18" s="1"/>
  <c r="FR25" i="18"/>
  <c r="FR62" i="18" s="1"/>
  <c r="FQ25" i="18"/>
  <c r="FQ62" i="18" s="1"/>
  <c r="FP25" i="18"/>
  <c r="FP62" i="18" s="1"/>
  <c r="FO25" i="18"/>
  <c r="FO62" i="18" s="1"/>
  <c r="FN25" i="18"/>
  <c r="FN62" i="18" s="1"/>
  <c r="FM25" i="18"/>
  <c r="FM62" i="18" s="1"/>
  <c r="FL25" i="18"/>
  <c r="FL62" i="18" s="1"/>
  <c r="FK25" i="18"/>
  <c r="FK62" i="18" s="1"/>
  <c r="FJ25" i="18"/>
  <c r="FJ62" i="18" s="1"/>
  <c r="FI25" i="18"/>
  <c r="FI62" i="18" s="1"/>
  <c r="FH25" i="18"/>
  <c r="FH62" i="18" s="1"/>
  <c r="FG25" i="18"/>
  <c r="FG62" i="18" s="1"/>
  <c r="FF25" i="18"/>
  <c r="FF62" i="18" s="1"/>
  <c r="FE25" i="18"/>
  <c r="FE62" i="18" s="1"/>
  <c r="FD25" i="18"/>
  <c r="FD62" i="18" s="1"/>
  <c r="FC25" i="18"/>
  <c r="FC62" i="18" s="1"/>
  <c r="FB25" i="18"/>
  <c r="FB62" i="18" s="1"/>
  <c r="FA25" i="18"/>
  <c r="FA62" i="18" s="1"/>
  <c r="EZ25" i="18"/>
  <c r="EZ62" i="18" s="1"/>
  <c r="EY25" i="18"/>
  <c r="EY62" i="18" s="1"/>
  <c r="EX25" i="18"/>
  <c r="EX62" i="18" s="1"/>
  <c r="EW25" i="18"/>
  <c r="EW62" i="18" s="1"/>
  <c r="EV25" i="18"/>
  <c r="EV62" i="18" s="1"/>
  <c r="EU25" i="18"/>
  <c r="EU62" i="18" s="1"/>
  <c r="ET25" i="18"/>
  <c r="ET62" i="18" s="1"/>
  <c r="ES25" i="18"/>
  <c r="ES62" i="18" s="1"/>
  <c r="ER25" i="18"/>
  <c r="ER62" i="18" s="1"/>
  <c r="EQ25" i="18"/>
  <c r="EQ62" i="18" s="1"/>
  <c r="EP25" i="18"/>
  <c r="EP62" i="18" s="1"/>
  <c r="EO25" i="18"/>
  <c r="EO62" i="18" s="1"/>
  <c r="EN25" i="18"/>
  <c r="EN62" i="18" s="1"/>
  <c r="EM25" i="18"/>
  <c r="EM62" i="18" s="1"/>
  <c r="EL25" i="18"/>
  <c r="EL62" i="18" s="1"/>
  <c r="EK25" i="18"/>
  <c r="EK62" i="18" s="1"/>
  <c r="EJ25" i="18"/>
  <c r="EJ62" i="18" s="1"/>
  <c r="EI25" i="18"/>
  <c r="EI62" i="18" s="1"/>
  <c r="EH25" i="18"/>
  <c r="EH62" i="18" s="1"/>
  <c r="EG25" i="18"/>
  <c r="EG62" i="18" s="1"/>
  <c r="EF25" i="18"/>
  <c r="EF62" i="18" s="1"/>
  <c r="EE25" i="18"/>
  <c r="EE62" i="18" s="1"/>
  <c r="ED25" i="18"/>
  <c r="ED62" i="18" s="1"/>
  <c r="EC25" i="18"/>
  <c r="EC62" i="18" s="1"/>
  <c r="EB25" i="18"/>
  <c r="EB62" i="18" s="1"/>
  <c r="EA25" i="18"/>
  <c r="EA62" i="18" s="1"/>
  <c r="DZ25" i="18"/>
  <c r="DZ62" i="18" s="1"/>
  <c r="DY25" i="18"/>
  <c r="DY62" i="18" s="1"/>
  <c r="DX25" i="18"/>
  <c r="DX62" i="18" s="1"/>
  <c r="DW25" i="18"/>
  <c r="DW62" i="18" s="1"/>
  <c r="DV25" i="18"/>
  <c r="DV62" i="18" s="1"/>
  <c r="DU25" i="18"/>
  <c r="DU62" i="18" s="1"/>
  <c r="DT25" i="18"/>
  <c r="DT62" i="18" s="1"/>
  <c r="DS25" i="18"/>
  <c r="DS62" i="18" s="1"/>
  <c r="DR25" i="18"/>
  <c r="DR62" i="18" s="1"/>
  <c r="DQ25" i="18"/>
  <c r="DQ62" i="18" s="1"/>
  <c r="DP25" i="18"/>
  <c r="DP62" i="18" s="1"/>
  <c r="DO25" i="18"/>
  <c r="DO62" i="18" s="1"/>
  <c r="DN25" i="18"/>
  <c r="DN62" i="18" s="1"/>
  <c r="DM25" i="18"/>
  <c r="DM62" i="18" s="1"/>
  <c r="DL25" i="18"/>
  <c r="DL62" i="18" s="1"/>
  <c r="DK25" i="18"/>
  <c r="DK62" i="18" s="1"/>
  <c r="DJ25" i="18"/>
  <c r="DJ62" i="18" s="1"/>
  <c r="DI25" i="18"/>
  <c r="DI62" i="18" s="1"/>
  <c r="DH25" i="18"/>
  <c r="DH62" i="18" s="1"/>
  <c r="DG25" i="18"/>
  <c r="DG62" i="18" s="1"/>
  <c r="DF25" i="18"/>
  <c r="DF62" i="18" s="1"/>
  <c r="DE25" i="18"/>
  <c r="DE62" i="18" s="1"/>
  <c r="DD25" i="18"/>
  <c r="DD62" i="18" s="1"/>
  <c r="DC25" i="18"/>
  <c r="DC62" i="18" s="1"/>
  <c r="DB25" i="18"/>
  <c r="DB62" i="18" s="1"/>
  <c r="DA25" i="18"/>
  <c r="DA62" i="18" s="1"/>
  <c r="CZ25" i="18"/>
  <c r="CZ62" i="18" s="1"/>
  <c r="CY25" i="18"/>
  <c r="CY62" i="18" s="1"/>
  <c r="CX25" i="18"/>
  <c r="CX62" i="18" s="1"/>
  <c r="CW25" i="18"/>
  <c r="CW62" i="18" s="1"/>
  <c r="CU25" i="18"/>
  <c r="CU62" i="18" s="1"/>
  <c r="CT25" i="18"/>
  <c r="CT62" i="18" s="1"/>
  <c r="CS25" i="18"/>
  <c r="CS62" i="18" s="1"/>
  <c r="CR25" i="18"/>
  <c r="CR62" i="18" s="1"/>
  <c r="CQ25" i="18"/>
  <c r="CQ62" i="18" s="1"/>
  <c r="CP25" i="18"/>
  <c r="CP62" i="18" s="1"/>
  <c r="CO25" i="18"/>
  <c r="CO62" i="18" s="1"/>
  <c r="CN25" i="18"/>
  <c r="CN62" i="18" s="1"/>
  <c r="CM25" i="18"/>
  <c r="CM62" i="18" s="1"/>
  <c r="CL25" i="18"/>
  <c r="CL62" i="18" s="1"/>
  <c r="CK25" i="18"/>
  <c r="CK62" i="18" s="1"/>
  <c r="CJ25" i="18"/>
  <c r="CJ62" i="18" s="1"/>
  <c r="CI25" i="18"/>
  <c r="CI62" i="18" s="1"/>
  <c r="CH25" i="18"/>
  <c r="CH62" i="18" s="1"/>
  <c r="CG25" i="18"/>
  <c r="CG62" i="18" s="1"/>
  <c r="CF25" i="18"/>
  <c r="CF62" i="18" s="1"/>
  <c r="CE25" i="18"/>
  <c r="CE62" i="18" s="1"/>
  <c r="CD25" i="18"/>
  <c r="CD62" i="18" s="1"/>
  <c r="CC25" i="18"/>
  <c r="CC62" i="18" s="1"/>
  <c r="CB25" i="18"/>
  <c r="CB62" i="18" s="1"/>
  <c r="CA25" i="18"/>
  <c r="CA62" i="18" s="1"/>
  <c r="BZ25" i="18"/>
  <c r="BZ62" i="18" s="1"/>
  <c r="BY25" i="18"/>
  <c r="BY62" i="18" s="1"/>
  <c r="BX25" i="18"/>
  <c r="BX62" i="18" s="1"/>
  <c r="BW25" i="18"/>
  <c r="BW62" i="18" s="1"/>
  <c r="BV25" i="18"/>
  <c r="BV62" i="18" s="1"/>
  <c r="BU25" i="18"/>
  <c r="BU62" i="18" s="1"/>
  <c r="BT25" i="18"/>
  <c r="BT62" i="18" s="1"/>
  <c r="BS25" i="18"/>
  <c r="BS62" i="18" s="1"/>
  <c r="BR25" i="18"/>
  <c r="BR62" i="18" s="1"/>
  <c r="BQ25" i="18"/>
  <c r="BQ62" i="18" s="1"/>
  <c r="BP25" i="18"/>
  <c r="BP62" i="18" s="1"/>
  <c r="BO25" i="18"/>
  <c r="BO62" i="18" s="1"/>
  <c r="BN25" i="18"/>
  <c r="BN62" i="18" s="1"/>
  <c r="BM25" i="18"/>
  <c r="BM62" i="18" s="1"/>
  <c r="BL25" i="18"/>
  <c r="BL62" i="18" s="1"/>
  <c r="BK25" i="18"/>
  <c r="BK62" i="18" s="1"/>
  <c r="BJ25" i="18"/>
  <c r="BJ62" i="18" s="1"/>
  <c r="BI25" i="18"/>
  <c r="BI62" i="18" s="1"/>
  <c r="BH25" i="18"/>
  <c r="BH62" i="18" s="1"/>
  <c r="BG25" i="18"/>
  <c r="BG62" i="18" s="1"/>
  <c r="BF25" i="18"/>
  <c r="BF62" i="18" s="1"/>
  <c r="BE25" i="18"/>
  <c r="BE62" i="18" s="1"/>
  <c r="BD25" i="18"/>
  <c r="BD62" i="18" s="1"/>
  <c r="BC25" i="18"/>
  <c r="BC62" i="18" s="1"/>
  <c r="BB25" i="18"/>
  <c r="BB62" i="18" s="1"/>
  <c r="BA25" i="18"/>
  <c r="BA62" i="18" s="1"/>
  <c r="AZ25" i="18"/>
  <c r="AZ62" i="18" s="1"/>
  <c r="AY25" i="18"/>
  <c r="AY62" i="18" s="1"/>
  <c r="AX25" i="18"/>
  <c r="AX62" i="18" s="1"/>
  <c r="AW25" i="18"/>
  <c r="AW62" i="18" s="1"/>
  <c r="AV25" i="18"/>
  <c r="AV62" i="18" s="1"/>
  <c r="AU25" i="18"/>
  <c r="AU62" i="18" s="1"/>
  <c r="AT25" i="18"/>
  <c r="AT62" i="18" s="1"/>
  <c r="AS25" i="18"/>
  <c r="AS62" i="18" s="1"/>
  <c r="AR25" i="18"/>
  <c r="AR62" i="18" s="1"/>
  <c r="AQ25" i="18"/>
  <c r="AQ62" i="18" s="1"/>
  <c r="AP25" i="18"/>
  <c r="AP62" i="18" s="1"/>
  <c r="AO25" i="18"/>
  <c r="AO62" i="18" s="1"/>
  <c r="AN25" i="18"/>
  <c r="AN62" i="18" s="1"/>
  <c r="AM25" i="18"/>
  <c r="AM62" i="18" s="1"/>
  <c r="AL25" i="18"/>
  <c r="AL62" i="18" s="1"/>
  <c r="AK25" i="18"/>
  <c r="AK62" i="18" s="1"/>
  <c r="AJ25" i="18"/>
  <c r="AJ62" i="18" s="1"/>
  <c r="AI25" i="18"/>
  <c r="AI62" i="18" s="1"/>
  <c r="AH25" i="18"/>
  <c r="AH62" i="18" s="1"/>
  <c r="AG25" i="18"/>
  <c r="AG62" i="18" s="1"/>
  <c r="AF25" i="18"/>
  <c r="AF62" i="18" s="1"/>
  <c r="AE25" i="18"/>
  <c r="AE62" i="18" s="1"/>
  <c r="AD25" i="18"/>
  <c r="AD62" i="18" s="1"/>
  <c r="AC25" i="18"/>
  <c r="AC62" i="18" s="1"/>
  <c r="AB25" i="18"/>
  <c r="AB62" i="18" s="1"/>
  <c r="AA25" i="18"/>
  <c r="AA62" i="18" s="1"/>
  <c r="Z25" i="18"/>
  <c r="Z62" i="18" s="1"/>
  <c r="Y25" i="18"/>
  <c r="Y62" i="18" s="1"/>
  <c r="X25" i="18"/>
  <c r="X62" i="18" s="1"/>
  <c r="W25" i="18"/>
  <c r="W62" i="18" s="1"/>
  <c r="V25" i="18"/>
  <c r="V62" i="18" s="1"/>
  <c r="U25" i="18"/>
  <c r="U62" i="18" s="1"/>
  <c r="T25" i="18"/>
  <c r="T62" i="18" s="1"/>
  <c r="S25" i="18"/>
  <c r="S62" i="18" s="1"/>
  <c r="R25" i="18"/>
  <c r="R62" i="18" s="1"/>
  <c r="Q25" i="18"/>
  <c r="Q62" i="18" s="1"/>
  <c r="P25" i="18"/>
  <c r="P62" i="18" s="1"/>
  <c r="O25" i="18"/>
  <c r="O62" i="18" s="1"/>
  <c r="N25" i="18"/>
  <c r="N62" i="18" s="1"/>
  <c r="M25" i="18"/>
  <c r="M62" i="18" s="1"/>
  <c r="L25" i="18"/>
  <c r="L62" i="18" s="1"/>
  <c r="K25" i="18"/>
  <c r="K62" i="18" s="1"/>
  <c r="J25" i="18"/>
  <c r="J62" i="18" s="1"/>
  <c r="I25" i="18"/>
  <c r="I62" i="18" s="1"/>
  <c r="H25" i="18"/>
  <c r="G25" i="18" s="1"/>
  <c r="CV62" i="18" l="1"/>
  <c r="GM2" i="3"/>
  <c r="GR2" i="3"/>
  <c r="GR3" i="3" s="1"/>
  <c r="GQ2" i="3"/>
  <c r="GQ3" i="3" s="1"/>
  <c r="GP2" i="3"/>
  <c r="GP3" i="3" s="1"/>
  <c r="GO2" i="3"/>
  <c r="GO3" i="3" s="1"/>
  <c r="GN2" i="3"/>
  <c r="GN3" i="3" s="1"/>
  <c r="GN5" i="3"/>
  <c r="GN6" i="3" s="1"/>
  <c r="GN7" i="3" s="1"/>
  <c r="GN26" i="8" s="1"/>
  <c r="GO5" i="3"/>
  <c r="GO6" i="3" s="1"/>
  <c r="GO7" i="3" s="1"/>
  <c r="GO26" i="8" s="1"/>
  <c r="GP5" i="3"/>
  <c r="GP6" i="3" s="1"/>
  <c r="GP7" i="3" s="1"/>
  <c r="GP26" i="8" s="1"/>
  <c r="GQ5" i="3"/>
  <c r="GQ6" i="3" s="1"/>
  <c r="GQ7" i="3" s="1"/>
  <c r="GQ26" i="8" s="1"/>
  <c r="GR5" i="3"/>
  <c r="GR6" i="3" s="1"/>
  <c r="GR7" i="3" s="1"/>
  <c r="GR26" i="8" s="1"/>
  <c r="GS26" i="8"/>
  <c r="GT26" i="8"/>
  <c r="GU26" i="8"/>
  <c r="GV26" i="8"/>
  <c r="GM5" i="3"/>
  <c r="GM6" i="3" s="1"/>
  <c r="AY9" i="7"/>
  <c r="BB9" i="7"/>
  <c r="GM3" i="3"/>
  <c r="GM7" i="3"/>
  <c r="GM26" i="8" s="1"/>
  <c r="F69" i="18"/>
  <c r="F68" i="18"/>
  <c r="F70" i="18" s="1"/>
  <c r="GV27" i="8"/>
  <c r="GU27" i="8"/>
  <c r="GT27" i="8"/>
  <c r="GS27" i="8"/>
  <c r="GR2" i="7"/>
  <c r="GR27" i="8"/>
  <c r="GR19" i="3"/>
  <c r="GQ2" i="7" s="1"/>
  <c r="GQ27" i="8"/>
  <c r="GQ19" i="3"/>
  <c r="GP2" i="7" s="1"/>
  <c r="GP27" i="8"/>
  <c r="GP19" i="3"/>
  <c r="GO2" i="7" s="1"/>
  <c r="GO27" i="8"/>
  <c r="GO19" i="3"/>
  <c r="GN2" i="7" s="1"/>
  <c r="GN27" i="8"/>
  <c r="GN19" i="3"/>
  <c r="GM2" i="7" s="1"/>
  <c r="C51" i="3"/>
  <c r="B61" i="16"/>
  <c r="B58" i="16"/>
  <c r="GM19" i="3"/>
  <c r="GL2" i="7" s="1"/>
  <c r="GM27" i="8"/>
  <c r="GB3" i="21" l="1"/>
  <c r="GC3" i="21"/>
  <c r="GD3" i="21"/>
  <c r="GE3" i="21"/>
  <c r="GF3" i="21"/>
  <c r="GG3" i="21"/>
  <c r="GH3" i="21"/>
  <c r="GI3" i="21"/>
  <c r="GJ3" i="21"/>
  <c r="GK3" i="21"/>
  <c r="GL3" i="21"/>
  <c r="GM3" i="21"/>
  <c r="GN3" i="21"/>
  <c r="GB5" i="21"/>
  <c r="GC5" i="21"/>
  <c r="GD5" i="21"/>
  <c r="GE5" i="21"/>
  <c r="GF5" i="21"/>
  <c r="GG5" i="21"/>
  <c r="GH5" i="21"/>
  <c r="GI5" i="21"/>
  <c r="GJ5" i="21"/>
  <c r="GK5" i="21"/>
  <c r="GL5" i="21"/>
  <c r="GM5" i="21"/>
  <c r="GN5" i="21"/>
  <c r="GB6" i="21"/>
  <c r="GC6" i="21"/>
  <c r="GD6" i="21"/>
  <c r="GE6" i="21"/>
  <c r="GF6" i="21"/>
  <c r="GG6" i="21"/>
  <c r="GH6" i="21"/>
  <c r="GI6" i="21"/>
  <c r="GJ6" i="21"/>
  <c r="GK6" i="21"/>
  <c r="GL6" i="21"/>
  <c r="GL6" i="7" s="1"/>
  <c r="GM6" i="21"/>
  <c r="GM6" i="7" s="1"/>
  <c r="GN6" i="21"/>
  <c r="GN6" i="7" s="1"/>
  <c r="GB7" i="21"/>
  <c r="GC7" i="21"/>
  <c r="GD7" i="21"/>
  <c r="GE7" i="21"/>
  <c r="GF7" i="21"/>
  <c r="GG7" i="21"/>
  <c r="GH7" i="21"/>
  <c r="GI7" i="21"/>
  <c r="GJ7" i="21"/>
  <c r="BE8" i="22" s="1"/>
  <c r="GK7" i="21"/>
  <c r="GL7" i="21"/>
  <c r="GM7" i="21"/>
  <c r="GN7" i="21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AA27" i="18"/>
  <c r="AB27" i="18"/>
  <c r="AC27" i="18"/>
  <c r="H62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BF6" i="22" l="1"/>
  <c r="BF7" i="22" s="1"/>
  <c r="BF8" i="22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G24" i="18" l="1"/>
  <c r="B4" i="10"/>
  <c r="B2" i="10"/>
  <c r="B3" i="10" s="1"/>
  <c r="F5" i="10"/>
  <c r="E5" i="10"/>
  <c r="D5" i="10"/>
  <c r="DK9" i="7" l="1"/>
  <c r="DO9" i="7"/>
  <c r="BN9" i="7"/>
  <c r="BR9" i="7"/>
  <c r="BC9" i="7"/>
  <c r="BF9" i="7"/>
  <c r="M9" i="16"/>
  <c r="Q2" i="16"/>
  <c r="F24" i="18"/>
  <c r="E28" i="8"/>
  <c r="F28" i="8" s="1"/>
  <c r="G28" i="8" s="1"/>
  <c r="H28" i="8" s="1"/>
  <c r="I28" i="8" s="1"/>
  <c r="J28" i="8" s="1"/>
  <c r="K28" i="8" s="1"/>
  <c r="L28" i="8" s="1"/>
  <c r="M28" i="8" s="1"/>
  <c r="N28" i="8" s="1"/>
  <c r="O28" i="8" s="1"/>
  <c r="P28" i="8" s="1"/>
  <c r="Q28" i="8" s="1"/>
  <c r="R28" i="8" s="1"/>
  <c r="S28" i="8" s="1"/>
  <c r="T28" i="8" s="1"/>
  <c r="U28" i="8" s="1"/>
  <c r="V28" i="8" s="1"/>
  <c r="W28" i="8" s="1"/>
  <c r="X28" i="8" s="1"/>
  <c r="Y28" i="8" s="1"/>
  <c r="Z28" i="8" s="1"/>
  <c r="AA28" i="8" s="1"/>
  <c r="AB28" i="8" s="1"/>
  <c r="AC28" i="8" s="1"/>
  <c r="AD28" i="8" s="1"/>
  <c r="AE28" i="8" s="1"/>
  <c r="AF28" i="8" s="1"/>
  <c r="AG28" i="8" s="1"/>
  <c r="AH28" i="8" s="1"/>
  <c r="AI28" i="8" s="1"/>
  <c r="AJ28" i="8" s="1"/>
  <c r="AK28" i="8" s="1"/>
  <c r="AL28" i="8" s="1"/>
  <c r="AM28" i="8" s="1"/>
  <c r="AN28" i="8" s="1"/>
  <c r="AO28" i="8" s="1"/>
  <c r="AP28" i="8" s="1"/>
  <c r="AQ28" i="8" s="1"/>
  <c r="AR28" i="8" s="1"/>
  <c r="AS28" i="8" s="1"/>
  <c r="AT28" i="8" s="1"/>
  <c r="AU28" i="8" s="1"/>
  <c r="AV28" i="8" s="1"/>
  <c r="AW28" i="8" s="1"/>
  <c r="AX28" i="8" s="1"/>
  <c r="AY28" i="8" s="1"/>
  <c r="AZ28" i="8" s="1"/>
  <c r="BA28" i="8" s="1"/>
  <c r="BB28" i="8" s="1"/>
  <c r="BC28" i="8" s="1"/>
  <c r="BD28" i="8" s="1"/>
  <c r="BE28" i="8" s="1"/>
  <c r="BF28" i="8" s="1"/>
  <c r="BG28" i="8" s="1"/>
  <c r="BH28" i="8" s="1"/>
  <c r="BI28" i="8" s="1"/>
  <c r="BJ28" i="8" s="1"/>
  <c r="BK28" i="8" s="1"/>
  <c r="BL28" i="8" s="1"/>
  <c r="BM28" i="8" s="1"/>
  <c r="BN28" i="8" s="1"/>
  <c r="BO28" i="8" s="1"/>
  <c r="BP28" i="8" s="1"/>
  <c r="BQ28" i="8" s="1"/>
  <c r="BR28" i="8" s="1"/>
  <c r="BS28" i="8" s="1"/>
  <c r="BT28" i="8" s="1"/>
  <c r="BU28" i="8" s="1"/>
  <c r="BV28" i="8" s="1"/>
  <c r="BW28" i="8" s="1"/>
  <c r="BX28" i="8" s="1"/>
  <c r="BY28" i="8" s="1"/>
  <c r="BZ28" i="8" s="1"/>
  <c r="CA28" i="8" s="1"/>
  <c r="CB28" i="8" s="1"/>
  <c r="CC28" i="8" s="1"/>
  <c r="CD28" i="8" s="1"/>
  <c r="CE28" i="8" s="1"/>
  <c r="CF28" i="8" s="1"/>
  <c r="CG28" i="8" s="1"/>
  <c r="CH28" i="8" s="1"/>
  <c r="CI28" i="8" s="1"/>
  <c r="CJ28" i="8" s="1"/>
  <c r="CK28" i="8" s="1"/>
  <c r="CL28" i="8" s="1"/>
  <c r="CM28" i="8" s="1"/>
  <c r="CN28" i="8" s="1"/>
  <c r="CO28" i="8" s="1"/>
  <c r="CP28" i="8" s="1"/>
  <c r="CQ28" i="8" s="1"/>
  <c r="CR28" i="8" s="1"/>
  <c r="CS28" i="8" s="1"/>
  <c r="CT28" i="8" s="1"/>
  <c r="CU28" i="8" s="1"/>
  <c r="CV28" i="8" s="1"/>
  <c r="CW28" i="8" s="1"/>
  <c r="CX28" i="8" s="1"/>
  <c r="CY28" i="8" s="1"/>
  <c r="CZ28" i="8" s="1"/>
  <c r="DA28" i="8" s="1"/>
  <c r="DB28" i="8" s="1"/>
  <c r="DC28" i="8" s="1"/>
  <c r="DD28" i="8" s="1"/>
  <c r="DE28" i="8" s="1"/>
  <c r="DF28" i="8" s="1"/>
  <c r="DG28" i="8" s="1"/>
  <c r="DH28" i="8" s="1"/>
  <c r="DI28" i="8" s="1"/>
  <c r="DJ28" i="8" s="1"/>
  <c r="DK28" i="8" s="1"/>
  <c r="DL28" i="8" s="1"/>
  <c r="DM28" i="8" s="1"/>
  <c r="DN28" i="8" s="1"/>
  <c r="DO28" i="8" s="1"/>
  <c r="DP28" i="8" s="1"/>
  <c r="DQ28" i="8" s="1"/>
  <c r="DR28" i="8" s="1"/>
  <c r="DS28" i="8" s="1"/>
  <c r="DT28" i="8" s="1"/>
  <c r="DU28" i="8" s="1"/>
  <c r="DV28" i="8" s="1"/>
  <c r="DW28" i="8" s="1"/>
  <c r="DX28" i="8" s="1"/>
  <c r="DY28" i="8" s="1"/>
  <c r="DZ28" i="8" s="1"/>
  <c r="EA28" i="8" s="1"/>
  <c r="EB28" i="8" s="1"/>
  <c r="EC28" i="8" s="1"/>
  <c r="ED28" i="8" s="1"/>
  <c r="EE28" i="8" s="1"/>
  <c r="EF28" i="8" s="1"/>
  <c r="EG28" i="8" s="1"/>
  <c r="EH28" i="8" s="1"/>
  <c r="EI28" i="8" s="1"/>
  <c r="EJ28" i="8" s="1"/>
  <c r="EK28" i="8" s="1"/>
  <c r="EL28" i="8" s="1"/>
  <c r="EM28" i="8" s="1"/>
  <c r="EN28" i="8" s="1"/>
  <c r="EO28" i="8" s="1"/>
  <c r="EP28" i="8" s="1"/>
  <c r="EQ28" i="8" s="1"/>
  <c r="ER28" i="8" s="1"/>
  <c r="ES28" i="8" s="1"/>
  <c r="ET28" i="8" s="1"/>
  <c r="EU28" i="8" s="1"/>
  <c r="EV28" i="8" s="1"/>
  <c r="EW28" i="8" s="1"/>
  <c r="EX28" i="8" s="1"/>
  <c r="EY28" i="8" s="1"/>
  <c r="EZ28" i="8" s="1"/>
  <c r="FA28" i="8" s="1"/>
  <c r="FB28" i="8" s="1"/>
  <c r="FC28" i="8" s="1"/>
  <c r="FD28" i="8" s="1"/>
  <c r="FE28" i="8" s="1"/>
  <c r="FF28" i="8" s="1"/>
  <c r="FG28" i="8" s="1"/>
  <c r="FH28" i="8" s="1"/>
  <c r="FI28" i="8" s="1"/>
  <c r="FJ28" i="8" s="1"/>
  <c r="FK28" i="8" s="1"/>
  <c r="FL28" i="8" s="1"/>
  <c r="FM28" i="8" s="1"/>
  <c r="FN28" i="8" s="1"/>
  <c r="FO28" i="8" s="1"/>
  <c r="FP28" i="8" s="1"/>
  <c r="FQ28" i="8" s="1"/>
  <c r="FR28" i="8" s="1"/>
  <c r="FS28" i="8" s="1"/>
  <c r="FT28" i="8" s="1"/>
  <c r="FU28" i="8" s="1"/>
  <c r="FV28" i="8" s="1"/>
  <c r="FW28" i="8" s="1"/>
  <c r="FX28" i="8" s="1"/>
  <c r="FY28" i="8" s="1"/>
  <c r="FZ28" i="8" s="1"/>
  <c r="GA28" i="8" s="1"/>
  <c r="GB28" i="8" s="1"/>
  <c r="GC28" i="8" s="1"/>
  <c r="GD28" i="8" s="1"/>
  <c r="GE28" i="8" s="1"/>
  <c r="GF28" i="8" s="1"/>
  <c r="GG28" i="8" s="1"/>
  <c r="GH28" i="8" s="1"/>
  <c r="GI28" i="8" s="1"/>
  <c r="GJ28" i="8" s="1"/>
  <c r="GK28" i="8" s="1"/>
  <c r="GL28" i="8" s="1"/>
  <c r="GM28" i="8" s="1"/>
  <c r="FH27" i="18"/>
  <c r="FI27" i="18"/>
  <c r="FJ27" i="18"/>
  <c r="FK27" i="18"/>
  <c r="FL27" i="18"/>
  <c r="FM27" i="18"/>
  <c r="FN27" i="18"/>
  <c r="FO27" i="18"/>
  <c r="FP27" i="18"/>
  <c r="FQ27" i="18"/>
  <c r="FR27" i="18"/>
  <c r="FS27" i="18"/>
  <c r="FT27" i="18"/>
  <c r="FU27" i="18"/>
  <c r="FV27" i="18"/>
  <c r="FW27" i="18"/>
  <c r="FX27" i="18"/>
  <c r="FY27" i="18"/>
  <c r="FZ27" i="18"/>
  <c r="GA27" i="18"/>
  <c r="GB27" i="18"/>
  <c r="GC27" i="18"/>
  <c r="GD27" i="18"/>
  <c r="FO2" i="3" s="1"/>
  <c r="GE27" i="18"/>
  <c r="FP2" i="3" s="1"/>
  <c r="GF27" i="18"/>
  <c r="FQ2" i="3" s="1"/>
  <c r="GG27" i="18"/>
  <c r="FR2" i="3" s="1"/>
  <c r="GH27" i="18"/>
  <c r="FS2" i="3" s="1"/>
  <c r="GI27" i="18"/>
  <c r="FT2" i="3" s="1"/>
  <c r="GJ27" i="18"/>
  <c r="FU2" i="3" s="1"/>
  <c r="GK27" i="18"/>
  <c r="GL27" i="18"/>
  <c r="GM27" i="18"/>
  <c r="GN27" i="18"/>
  <c r="GO27" i="18"/>
  <c r="GP27" i="18"/>
  <c r="GL50" i="3"/>
  <c r="GK50" i="3"/>
  <c r="GJ50" i="3"/>
  <c r="GI50" i="3"/>
  <c r="GH50" i="3"/>
  <c r="GG50" i="3"/>
  <c r="GF50" i="3"/>
  <c r="GE50" i="3"/>
  <c r="GD50" i="3"/>
  <c r="GC50" i="3"/>
  <c r="GB50" i="3"/>
  <c r="GA50" i="3"/>
  <c r="FZ50" i="3"/>
  <c r="FY50" i="3"/>
  <c r="FX50" i="3"/>
  <c r="FW50" i="3"/>
  <c r="FV50" i="3"/>
  <c r="FU50" i="3"/>
  <c r="FT50" i="3"/>
  <c r="FS50" i="3"/>
  <c r="FR50" i="3"/>
  <c r="FQ50" i="3"/>
  <c r="FP50" i="3"/>
  <c r="FO50" i="3"/>
  <c r="FN50" i="3"/>
  <c r="FM50" i="3"/>
  <c r="FL50" i="3"/>
  <c r="FK50" i="3"/>
  <c r="FJ50" i="3"/>
  <c r="FI50" i="3"/>
  <c r="FH50" i="3"/>
  <c r="FG50" i="3"/>
  <c r="FF50" i="3"/>
  <c r="FE50" i="3"/>
  <c r="FD50" i="3"/>
  <c r="FC50" i="3"/>
  <c r="FB50" i="3"/>
  <c r="GL49" i="3"/>
  <c r="GK49" i="3"/>
  <c r="GJ49" i="3"/>
  <c r="GI49" i="3"/>
  <c r="GH49" i="3"/>
  <c r="GG49" i="3"/>
  <c r="GF49" i="3"/>
  <c r="GE49" i="3"/>
  <c r="GD49" i="3"/>
  <c r="GC49" i="3"/>
  <c r="GB49" i="3"/>
  <c r="GA49" i="3"/>
  <c r="FZ49" i="3"/>
  <c r="FY49" i="3"/>
  <c r="FX49" i="3"/>
  <c r="FW49" i="3"/>
  <c r="FV49" i="3"/>
  <c r="FU49" i="3"/>
  <c r="FT49" i="3"/>
  <c r="FS49" i="3"/>
  <c r="FR49" i="3"/>
  <c r="FQ49" i="3"/>
  <c r="FP49" i="3"/>
  <c r="FO49" i="3"/>
  <c r="FN49" i="3"/>
  <c r="FM49" i="3"/>
  <c r="FL49" i="3"/>
  <c r="FK49" i="3"/>
  <c r="FJ49" i="3"/>
  <c r="FI49" i="3"/>
  <c r="FH49" i="3"/>
  <c r="FG49" i="3"/>
  <c r="FF49" i="3"/>
  <c r="FE49" i="3"/>
  <c r="FD49" i="3"/>
  <c r="FC49" i="3"/>
  <c r="FB49" i="3"/>
  <c r="GL48" i="3"/>
  <c r="GK48" i="3"/>
  <c r="GJ48" i="3"/>
  <c r="GI48" i="3"/>
  <c r="GH48" i="3"/>
  <c r="GG48" i="3"/>
  <c r="GF48" i="3"/>
  <c r="GE48" i="3"/>
  <c r="GD48" i="3"/>
  <c r="GC48" i="3"/>
  <c r="GB48" i="3"/>
  <c r="GA48" i="3"/>
  <c r="FZ48" i="3"/>
  <c r="FY48" i="3"/>
  <c r="FX48" i="3"/>
  <c r="FW48" i="3"/>
  <c r="FV48" i="3"/>
  <c r="FU48" i="3"/>
  <c r="FT48" i="3"/>
  <c r="FS48" i="3"/>
  <c r="FR48" i="3"/>
  <c r="FQ48" i="3"/>
  <c r="FP48" i="3"/>
  <c r="FO48" i="3"/>
  <c r="FN48" i="3"/>
  <c r="FM48" i="3"/>
  <c r="FL48" i="3"/>
  <c r="FK48" i="3"/>
  <c r="FJ48" i="3"/>
  <c r="FI48" i="3"/>
  <c r="FH48" i="3"/>
  <c r="FG48" i="3"/>
  <c r="FF48" i="3"/>
  <c r="FE48" i="3"/>
  <c r="FD48" i="3"/>
  <c r="FC48" i="3"/>
  <c r="FB48" i="3"/>
  <c r="GL47" i="3"/>
  <c r="GK47" i="3"/>
  <c r="GJ47" i="3"/>
  <c r="GI47" i="3"/>
  <c r="GH47" i="3"/>
  <c r="GG47" i="3"/>
  <c r="GF47" i="3"/>
  <c r="GE47" i="3"/>
  <c r="GD47" i="3"/>
  <c r="GC47" i="3"/>
  <c r="GB47" i="3"/>
  <c r="GA47" i="3"/>
  <c r="FZ47" i="3"/>
  <c r="FY47" i="3"/>
  <c r="FX47" i="3"/>
  <c r="FW47" i="3"/>
  <c r="FV47" i="3"/>
  <c r="FU47" i="3"/>
  <c r="FT47" i="3"/>
  <c r="FS47" i="3"/>
  <c r="FR47" i="3"/>
  <c r="FQ47" i="3"/>
  <c r="FP47" i="3"/>
  <c r="FO47" i="3"/>
  <c r="FN47" i="3"/>
  <c r="FM47" i="3"/>
  <c r="FL47" i="3"/>
  <c r="FK47" i="3"/>
  <c r="FJ47" i="3"/>
  <c r="FI47" i="3"/>
  <c r="FH47" i="3"/>
  <c r="FG47" i="3"/>
  <c r="FF47" i="3"/>
  <c r="FE47" i="3"/>
  <c r="FD47" i="3"/>
  <c r="FC47" i="3"/>
  <c r="FB47" i="3"/>
  <c r="GL46" i="3"/>
  <c r="GK46" i="3"/>
  <c r="GJ46" i="3"/>
  <c r="GI46" i="3"/>
  <c r="GH46" i="3"/>
  <c r="GG46" i="3"/>
  <c r="GF46" i="3"/>
  <c r="GE46" i="3"/>
  <c r="GD46" i="3"/>
  <c r="GC46" i="3"/>
  <c r="GB46" i="3"/>
  <c r="GA46" i="3"/>
  <c r="FZ46" i="3"/>
  <c r="FY46" i="3"/>
  <c r="FX46" i="3"/>
  <c r="FW46" i="3"/>
  <c r="FV46" i="3"/>
  <c r="FU46" i="3"/>
  <c r="FT46" i="3"/>
  <c r="FS46" i="3"/>
  <c r="FR46" i="3"/>
  <c r="FQ46" i="3"/>
  <c r="FP46" i="3"/>
  <c r="FO46" i="3"/>
  <c r="FN46" i="3"/>
  <c r="FM46" i="3"/>
  <c r="FL46" i="3"/>
  <c r="FK46" i="3"/>
  <c r="FJ46" i="3"/>
  <c r="FI46" i="3"/>
  <c r="FH46" i="3"/>
  <c r="FG46" i="3"/>
  <c r="FF46" i="3"/>
  <c r="FE46" i="3"/>
  <c r="FD46" i="3"/>
  <c r="FC46" i="3"/>
  <c r="FB46" i="3"/>
  <c r="GL45" i="3"/>
  <c r="GK45" i="3"/>
  <c r="GJ45" i="3"/>
  <c r="GI45" i="3"/>
  <c r="GH45" i="3"/>
  <c r="GG45" i="3"/>
  <c r="GF45" i="3"/>
  <c r="GE45" i="3"/>
  <c r="GD45" i="3"/>
  <c r="GC45" i="3"/>
  <c r="GB45" i="3"/>
  <c r="GA45" i="3"/>
  <c r="FZ45" i="3"/>
  <c r="FY45" i="3"/>
  <c r="FX45" i="3"/>
  <c r="FW45" i="3"/>
  <c r="FV45" i="3"/>
  <c r="FU45" i="3"/>
  <c r="FT45" i="3"/>
  <c r="FS45" i="3"/>
  <c r="FR45" i="3"/>
  <c r="FQ45" i="3"/>
  <c r="FP45" i="3"/>
  <c r="FO45" i="3"/>
  <c r="FN45" i="3"/>
  <c r="FM45" i="3"/>
  <c r="FL45" i="3"/>
  <c r="FK45" i="3"/>
  <c r="FJ45" i="3"/>
  <c r="FI45" i="3"/>
  <c r="FH45" i="3"/>
  <c r="FG45" i="3"/>
  <c r="FF45" i="3"/>
  <c r="FE45" i="3"/>
  <c r="FD45" i="3"/>
  <c r="FC45" i="3"/>
  <c r="FB45" i="3"/>
  <c r="GL44" i="3"/>
  <c r="GK44" i="3"/>
  <c r="GJ44" i="3"/>
  <c r="GI44" i="3"/>
  <c r="GH44" i="3"/>
  <c r="GG44" i="3"/>
  <c r="GF44" i="3"/>
  <c r="GE44" i="3"/>
  <c r="GD44" i="3"/>
  <c r="GC44" i="3"/>
  <c r="GB44" i="3"/>
  <c r="GA44" i="3"/>
  <c r="FZ44" i="3"/>
  <c r="FY44" i="3"/>
  <c r="FX44" i="3"/>
  <c r="FW44" i="3"/>
  <c r="FV44" i="3"/>
  <c r="FU44" i="3"/>
  <c r="FT44" i="3"/>
  <c r="FS44" i="3"/>
  <c r="FR44" i="3"/>
  <c r="FQ44" i="3"/>
  <c r="FP44" i="3"/>
  <c r="FO44" i="3"/>
  <c r="FN44" i="3"/>
  <c r="FM44" i="3"/>
  <c r="FL44" i="3"/>
  <c r="FK44" i="3"/>
  <c r="FJ44" i="3"/>
  <c r="FI44" i="3"/>
  <c r="FH44" i="3"/>
  <c r="FG44" i="3"/>
  <c r="FF44" i="3"/>
  <c r="FE44" i="3"/>
  <c r="FD44" i="3"/>
  <c r="FC44" i="3"/>
  <c r="FB44" i="3"/>
  <c r="GL43" i="3"/>
  <c r="GK43" i="3"/>
  <c r="GJ43" i="3"/>
  <c r="GI43" i="3"/>
  <c r="GH43" i="3"/>
  <c r="GG43" i="3"/>
  <c r="GF43" i="3"/>
  <c r="GE43" i="3"/>
  <c r="GD43" i="3"/>
  <c r="GC43" i="3"/>
  <c r="GB43" i="3"/>
  <c r="GA43" i="3"/>
  <c r="FZ43" i="3"/>
  <c r="FY43" i="3"/>
  <c r="FX43" i="3"/>
  <c r="FW43" i="3"/>
  <c r="FV43" i="3"/>
  <c r="FU43" i="3"/>
  <c r="FT43" i="3"/>
  <c r="FS43" i="3"/>
  <c r="FR43" i="3"/>
  <c r="FQ43" i="3"/>
  <c r="FP43" i="3"/>
  <c r="FO43" i="3"/>
  <c r="FN43" i="3"/>
  <c r="FM43" i="3"/>
  <c r="FL43" i="3"/>
  <c r="FK43" i="3"/>
  <c r="FJ43" i="3"/>
  <c r="FI43" i="3"/>
  <c r="FH43" i="3"/>
  <c r="FG43" i="3"/>
  <c r="FF43" i="3"/>
  <c r="FE43" i="3"/>
  <c r="FD43" i="3"/>
  <c r="FC43" i="3"/>
  <c r="FB43" i="3"/>
  <c r="GL42" i="3"/>
  <c r="GK42" i="3"/>
  <c r="GJ42" i="3"/>
  <c r="GI42" i="3"/>
  <c r="GH42" i="3"/>
  <c r="GG42" i="3"/>
  <c r="GF42" i="3"/>
  <c r="GE42" i="3"/>
  <c r="GD42" i="3"/>
  <c r="GC42" i="3"/>
  <c r="GB42" i="3"/>
  <c r="GA42" i="3"/>
  <c r="FZ42" i="3"/>
  <c r="FY42" i="3"/>
  <c r="FX42" i="3"/>
  <c r="FW42" i="3"/>
  <c r="FV42" i="3"/>
  <c r="FU42" i="3"/>
  <c r="FT42" i="3"/>
  <c r="FS42" i="3"/>
  <c r="FR42" i="3"/>
  <c r="FQ42" i="3"/>
  <c r="FP42" i="3"/>
  <c r="FO42" i="3"/>
  <c r="FN42" i="3"/>
  <c r="FM42" i="3"/>
  <c r="FL42" i="3"/>
  <c r="FK42" i="3"/>
  <c r="FJ42" i="3"/>
  <c r="FI42" i="3"/>
  <c r="FH42" i="3"/>
  <c r="FG42" i="3"/>
  <c r="FF42" i="3"/>
  <c r="FE42" i="3"/>
  <c r="FD42" i="3"/>
  <c r="FC42" i="3"/>
  <c r="FB42" i="3"/>
  <c r="GL41" i="3"/>
  <c r="GK41" i="3"/>
  <c r="GJ41" i="3"/>
  <c r="GI41" i="3"/>
  <c r="GH41" i="3"/>
  <c r="GG41" i="3"/>
  <c r="GF41" i="3"/>
  <c r="GE41" i="3"/>
  <c r="GD41" i="3"/>
  <c r="GC41" i="3"/>
  <c r="GB41" i="3"/>
  <c r="GA41" i="3"/>
  <c r="FZ41" i="3"/>
  <c r="FY41" i="3"/>
  <c r="FX41" i="3"/>
  <c r="FW41" i="3"/>
  <c r="FV41" i="3"/>
  <c r="FU41" i="3"/>
  <c r="FT41" i="3"/>
  <c r="FS41" i="3"/>
  <c r="FR41" i="3"/>
  <c r="FQ41" i="3"/>
  <c r="FP41" i="3"/>
  <c r="FO41" i="3"/>
  <c r="FN41" i="3"/>
  <c r="FM41" i="3"/>
  <c r="FL41" i="3"/>
  <c r="FK41" i="3"/>
  <c r="FJ41" i="3"/>
  <c r="FI41" i="3"/>
  <c r="FH41" i="3"/>
  <c r="FG41" i="3"/>
  <c r="FF41" i="3"/>
  <c r="FE41" i="3"/>
  <c r="FD41" i="3"/>
  <c r="FC41" i="3"/>
  <c r="FB41" i="3"/>
  <c r="GL40" i="3"/>
  <c r="GK40" i="3"/>
  <c r="GJ40" i="3"/>
  <c r="GI40" i="3"/>
  <c r="GH40" i="3"/>
  <c r="GG40" i="3"/>
  <c r="GF40" i="3"/>
  <c r="GE40" i="3"/>
  <c r="GD40" i="3"/>
  <c r="GC40" i="3"/>
  <c r="GB40" i="3"/>
  <c r="GA40" i="3"/>
  <c r="FZ40" i="3"/>
  <c r="FY40" i="3"/>
  <c r="FX40" i="3"/>
  <c r="FW40" i="3"/>
  <c r="FV40" i="3"/>
  <c r="FU40" i="3"/>
  <c r="FT40" i="3"/>
  <c r="FS40" i="3"/>
  <c r="FR40" i="3"/>
  <c r="FQ40" i="3"/>
  <c r="FP40" i="3"/>
  <c r="FO40" i="3"/>
  <c r="FN40" i="3"/>
  <c r="FM40" i="3"/>
  <c r="FL40" i="3"/>
  <c r="FK40" i="3"/>
  <c r="FJ40" i="3"/>
  <c r="FI40" i="3"/>
  <c r="FH40" i="3"/>
  <c r="FG40" i="3"/>
  <c r="FF40" i="3"/>
  <c r="FE40" i="3"/>
  <c r="FD40" i="3"/>
  <c r="FC40" i="3"/>
  <c r="FB40" i="3"/>
  <c r="GL39" i="3"/>
  <c r="GK39" i="3"/>
  <c r="GJ39" i="3"/>
  <c r="GI39" i="3"/>
  <c r="GH39" i="3"/>
  <c r="GG39" i="3"/>
  <c r="GF39" i="3"/>
  <c r="GE39" i="3"/>
  <c r="GD39" i="3"/>
  <c r="GC39" i="3"/>
  <c r="GB39" i="3"/>
  <c r="GA39" i="3"/>
  <c r="FZ39" i="3"/>
  <c r="FY39" i="3"/>
  <c r="FX39" i="3"/>
  <c r="FW39" i="3"/>
  <c r="FV39" i="3"/>
  <c r="FU39" i="3"/>
  <c r="FT39" i="3"/>
  <c r="FS39" i="3"/>
  <c r="FR39" i="3"/>
  <c r="FQ39" i="3"/>
  <c r="FP39" i="3"/>
  <c r="FO39" i="3"/>
  <c r="FN39" i="3"/>
  <c r="FM39" i="3"/>
  <c r="FL39" i="3"/>
  <c r="FK39" i="3"/>
  <c r="FJ39" i="3"/>
  <c r="FI39" i="3"/>
  <c r="FH39" i="3"/>
  <c r="FG39" i="3"/>
  <c r="FF39" i="3"/>
  <c r="FE39" i="3"/>
  <c r="FD39" i="3"/>
  <c r="FC39" i="3"/>
  <c r="FB39" i="3"/>
  <c r="GL38" i="3"/>
  <c r="GK38" i="3"/>
  <c r="GJ38" i="3"/>
  <c r="GI38" i="3"/>
  <c r="GH38" i="3"/>
  <c r="GG38" i="3"/>
  <c r="GF38" i="3"/>
  <c r="GE38" i="3"/>
  <c r="GD38" i="3"/>
  <c r="GC38" i="3"/>
  <c r="GB38" i="3"/>
  <c r="GA38" i="3"/>
  <c r="FZ38" i="3"/>
  <c r="FY38" i="3"/>
  <c r="FX38" i="3"/>
  <c r="FW38" i="3"/>
  <c r="FV38" i="3"/>
  <c r="FU38" i="3"/>
  <c r="FT38" i="3"/>
  <c r="FS38" i="3"/>
  <c r="FR38" i="3"/>
  <c r="FQ38" i="3"/>
  <c r="FP38" i="3"/>
  <c r="FO38" i="3"/>
  <c r="FN38" i="3"/>
  <c r="FM38" i="3"/>
  <c r="FL38" i="3"/>
  <c r="FK38" i="3"/>
  <c r="FJ38" i="3"/>
  <c r="FI38" i="3"/>
  <c r="FH38" i="3"/>
  <c r="FG38" i="3"/>
  <c r="FF38" i="3"/>
  <c r="FE38" i="3"/>
  <c r="FD38" i="3"/>
  <c r="FC38" i="3"/>
  <c r="FB38" i="3"/>
  <c r="GL37" i="3"/>
  <c r="GK37" i="3"/>
  <c r="GJ37" i="3"/>
  <c r="GI37" i="3"/>
  <c r="GH37" i="3"/>
  <c r="GG37" i="3"/>
  <c r="GF37" i="3"/>
  <c r="GE37" i="3"/>
  <c r="GD37" i="3"/>
  <c r="GC37" i="3"/>
  <c r="GB37" i="3"/>
  <c r="GA37" i="3"/>
  <c r="FZ37" i="3"/>
  <c r="FY37" i="3"/>
  <c r="FX37" i="3"/>
  <c r="FW37" i="3"/>
  <c r="FV37" i="3"/>
  <c r="FU37" i="3"/>
  <c r="FT37" i="3"/>
  <c r="FS37" i="3"/>
  <c r="FR37" i="3"/>
  <c r="FQ37" i="3"/>
  <c r="FP37" i="3"/>
  <c r="FO37" i="3"/>
  <c r="FN37" i="3"/>
  <c r="FM37" i="3"/>
  <c r="FL37" i="3"/>
  <c r="FK37" i="3"/>
  <c r="FJ37" i="3"/>
  <c r="FI37" i="3"/>
  <c r="FH37" i="3"/>
  <c r="FG37" i="3"/>
  <c r="FF37" i="3"/>
  <c r="FE37" i="3"/>
  <c r="FD37" i="3"/>
  <c r="FC37" i="3"/>
  <c r="FB37" i="3"/>
  <c r="GL36" i="3"/>
  <c r="GK36" i="3"/>
  <c r="GJ36" i="3"/>
  <c r="GI36" i="3"/>
  <c r="GH36" i="3"/>
  <c r="GG36" i="3"/>
  <c r="GF36" i="3"/>
  <c r="GE36" i="3"/>
  <c r="GD36" i="3"/>
  <c r="GC36" i="3"/>
  <c r="GB36" i="3"/>
  <c r="GA36" i="3"/>
  <c r="FZ36" i="3"/>
  <c r="FY36" i="3"/>
  <c r="FX36" i="3"/>
  <c r="FW36" i="3"/>
  <c r="FV36" i="3"/>
  <c r="FU36" i="3"/>
  <c r="FT36" i="3"/>
  <c r="FS36" i="3"/>
  <c r="FR36" i="3"/>
  <c r="FQ36" i="3"/>
  <c r="FP36" i="3"/>
  <c r="FO36" i="3"/>
  <c r="FN36" i="3"/>
  <c r="FM36" i="3"/>
  <c r="FL36" i="3"/>
  <c r="FK36" i="3"/>
  <c r="FJ36" i="3"/>
  <c r="FI36" i="3"/>
  <c r="FH36" i="3"/>
  <c r="FG36" i="3"/>
  <c r="FF36" i="3"/>
  <c r="FE36" i="3"/>
  <c r="FD36" i="3"/>
  <c r="FC36" i="3"/>
  <c r="FB36" i="3"/>
  <c r="GL35" i="3"/>
  <c r="GK35" i="3"/>
  <c r="GJ35" i="3"/>
  <c r="GI35" i="3"/>
  <c r="GH35" i="3"/>
  <c r="GG35" i="3"/>
  <c r="GF35" i="3"/>
  <c r="GE35" i="3"/>
  <c r="GD35" i="3"/>
  <c r="GC35" i="3"/>
  <c r="GB35" i="3"/>
  <c r="GA35" i="3"/>
  <c r="FZ35" i="3"/>
  <c r="FY35" i="3"/>
  <c r="FX35" i="3"/>
  <c r="FW35" i="3"/>
  <c r="FV35" i="3"/>
  <c r="FU35" i="3"/>
  <c r="FT35" i="3"/>
  <c r="FS35" i="3"/>
  <c r="FR35" i="3"/>
  <c r="FQ35" i="3"/>
  <c r="FP35" i="3"/>
  <c r="FO35" i="3"/>
  <c r="FN35" i="3"/>
  <c r="FM35" i="3"/>
  <c r="FL35" i="3"/>
  <c r="FK35" i="3"/>
  <c r="FJ35" i="3"/>
  <c r="FI35" i="3"/>
  <c r="FH35" i="3"/>
  <c r="FG35" i="3"/>
  <c r="FF35" i="3"/>
  <c r="FE35" i="3"/>
  <c r="FD35" i="3"/>
  <c r="FC35" i="3"/>
  <c r="FB35" i="3"/>
  <c r="GL34" i="3"/>
  <c r="GK34" i="3"/>
  <c r="GJ34" i="3"/>
  <c r="GI34" i="3"/>
  <c r="GH34" i="3"/>
  <c r="GG34" i="3"/>
  <c r="GF34" i="3"/>
  <c r="GE34" i="3"/>
  <c r="GD34" i="3"/>
  <c r="GC34" i="3"/>
  <c r="GB34" i="3"/>
  <c r="GA34" i="3"/>
  <c r="FZ34" i="3"/>
  <c r="FY34" i="3"/>
  <c r="FX34" i="3"/>
  <c r="FW34" i="3"/>
  <c r="FV34" i="3"/>
  <c r="FU34" i="3"/>
  <c r="FT34" i="3"/>
  <c r="FS34" i="3"/>
  <c r="FR34" i="3"/>
  <c r="FQ34" i="3"/>
  <c r="FP34" i="3"/>
  <c r="FO34" i="3"/>
  <c r="FN34" i="3"/>
  <c r="FM34" i="3"/>
  <c r="FL34" i="3"/>
  <c r="FK34" i="3"/>
  <c r="FJ34" i="3"/>
  <c r="FI34" i="3"/>
  <c r="FH34" i="3"/>
  <c r="FG34" i="3"/>
  <c r="FF34" i="3"/>
  <c r="FE34" i="3"/>
  <c r="FD34" i="3"/>
  <c r="FC34" i="3"/>
  <c r="FB34" i="3"/>
  <c r="GL33" i="3"/>
  <c r="GK33" i="3"/>
  <c r="GJ33" i="3"/>
  <c r="GI33" i="3"/>
  <c r="GH33" i="3"/>
  <c r="GG33" i="3"/>
  <c r="GF33" i="3"/>
  <c r="GE33" i="3"/>
  <c r="GD33" i="3"/>
  <c r="GC33" i="3"/>
  <c r="GB33" i="3"/>
  <c r="GA33" i="3"/>
  <c r="FZ33" i="3"/>
  <c r="FY33" i="3"/>
  <c r="FX33" i="3"/>
  <c r="FW33" i="3"/>
  <c r="FV33" i="3"/>
  <c r="FU33" i="3"/>
  <c r="FT33" i="3"/>
  <c r="FS33" i="3"/>
  <c r="FR33" i="3"/>
  <c r="FQ33" i="3"/>
  <c r="FP33" i="3"/>
  <c r="FO33" i="3"/>
  <c r="FN33" i="3"/>
  <c r="FM33" i="3"/>
  <c r="FL33" i="3"/>
  <c r="FK33" i="3"/>
  <c r="FJ33" i="3"/>
  <c r="FI33" i="3"/>
  <c r="FH33" i="3"/>
  <c r="FG33" i="3"/>
  <c r="FF33" i="3"/>
  <c r="FE33" i="3"/>
  <c r="FD33" i="3"/>
  <c r="FC33" i="3"/>
  <c r="FB33" i="3"/>
  <c r="GL32" i="3"/>
  <c r="GK32" i="3"/>
  <c r="GJ32" i="3"/>
  <c r="GI32" i="3"/>
  <c r="GH32" i="3"/>
  <c r="GG32" i="3"/>
  <c r="GF32" i="3"/>
  <c r="GE32" i="3"/>
  <c r="GD32" i="3"/>
  <c r="GC32" i="3"/>
  <c r="GB32" i="3"/>
  <c r="GA32" i="3"/>
  <c r="FZ32" i="3"/>
  <c r="FY32" i="3"/>
  <c r="FX32" i="3"/>
  <c r="FW32" i="3"/>
  <c r="FV32" i="3"/>
  <c r="FU32" i="3"/>
  <c r="FT32" i="3"/>
  <c r="FS32" i="3"/>
  <c r="FR32" i="3"/>
  <c r="FQ32" i="3"/>
  <c r="FP32" i="3"/>
  <c r="FO32" i="3"/>
  <c r="FN32" i="3"/>
  <c r="FM32" i="3"/>
  <c r="FL32" i="3"/>
  <c r="FK32" i="3"/>
  <c r="FJ32" i="3"/>
  <c r="FI32" i="3"/>
  <c r="FH32" i="3"/>
  <c r="FG32" i="3"/>
  <c r="FF32" i="3"/>
  <c r="FE32" i="3"/>
  <c r="FD32" i="3"/>
  <c r="FC32" i="3"/>
  <c r="FB32" i="3"/>
  <c r="GL31" i="3"/>
  <c r="GK31" i="3"/>
  <c r="GJ31" i="3"/>
  <c r="GI31" i="3"/>
  <c r="GH31" i="3"/>
  <c r="GG31" i="3"/>
  <c r="GF31" i="3"/>
  <c r="GE31" i="3"/>
  <c r="GD31" i="3"/>
  <c r="GC31" i="3"/>
  <c r="GB31" i="3"/>
  <c r="GA31" i="3"/>
  <c r="FZ31" i="3"/>
  <c r="FY31" i="3"/>
  <c r="FX31" i="3"/>
  <c r="FW31" i="3"/>
  <c r="FV31" i="3"/>
  <c r="FU31" i="3"/>
  <c r="FT31" i="3"/>
  <c r="FS31" i="3"/>
  <c r="FR31" i="3"/>
  <c r="FQ31" i="3"/>
  <c r="FP31" i="3"/>
  <c r="FO31" i="3"/>
  <c r="FN31" i="3"/>
  <c r="FM31" i="3"/>
  <c r="FL31" i="3"/>
  <c r="FK31" i="3"/>
  <c r="FJ31" i="3"/>
  <c r="FI31" i="3"/>
  <c r="FH31" i="3"/>
  <c r="FG31" i="3"/>
  <c r="FF31" i="3"/>
  <c r="FE31" i="3"/>
  <c r="FD31" i="3"/>
  <c r="FC31" i="3"/>
  <c r="FB31" i="3"/>
  <c r="GL30" i="3"/>
  <c r="GK30" i="3"/>
  <c r="GJ30" i="3"/>
  <c r="GI30" i="3"/>
  <c r="GH30" i="3"/>
  <c r="GG30" i="3"/>
  <c r="GF30" i="3"/>
  <c r="GE30" i="3"/>
  <c r="GD30" i="3"/>
  <c r="GC30" i="3"/>
  <c r="GB30" i="3"/>
  <c r="GA30" i="3"/>
  <c r="FZ30" i="3"/>
  <c r="FY30" i="3"/>
  <c r="FX30" i="3"/>
  <c r="FW30" i="3"/>
  <c r="FV30" i="3"/>
  <c r="FU30" i="3"/>
  <c r="FT30" i="3"/>
  <c r="FS30" i="3"/>
  <c r="FR30" i="3"/>
  <c r="FQ30" i="3"/>
  <c r="FP30" i="3"/>
  <c r="FO30" i="3"/>
  <c r="FN30" i="3"/>
  <c r="FM30" i="3"/>
  <c r="FL30" i="3"/>
  <c r="FK30" i="3"/>
  <c r="FJ30" i="3"/>
  <c r="FI30" i="3"/>
  <c r="FH30" i="3"/>
  <c r="FG30" i="3"/>
  <c r="FF30" i="3"/>
  <c r="FE30" i="3"/>
  <c r="FD30" i="3"/>
  <c r="FC30" i="3"/>
  <c r="FB30" i="3"/>
  <c r="GL29" i="3"/>
  <c r="GK29" i="3"/>
  <c r="GJ29" i="3"/>
  <c r="GI29" i="3"/>
  <c r="GH29" i="3"/>
  <c r="GG29" i="3"/>
  <c r="GF29" i="3"/>
  <c r="GE29" i="3"/>
  <c r="GD29" i="3"/>
  <c r="GC29" i="3"/>
  <c r="GB29" i="3"/>
  <c r="GA29" i="3"/>
  <c r="FZ29" i="3"/>
  <c r="FY29" i="3"/>
  <c r="FX29" i="3"/>
  <c r="FW29" i="3"/>
  <c r="FV29" i="3"/>
  <c r="FU29" i="3"/>
  <c r="FT29" i="3"/>
  <c r="FS29" i="3"/>
  <c r="FR29" i="3"/>
  <c r="FQ29" i="3"/>
  <c r="FP29" i="3"/>
  <c r="FO29" i="3"/>
  <c r="FN29" i="3"/>
  <c r="FM29" i="3"/>
  <c r="FL29" i="3"/>
  <c r="FK29" i="3"/>
  <c r="FJ29" i="3"/>
  <c r="FI29" i="3"/>
  <c r="FH29" i="3"/>
  <c r="FG29" i="3"/>
  <c r="FF29" i="3"/>
  <c r="FE29" i="3"/>
  <c r="FD29" i="3"/>
  <c r="FC29" i="3"/>
  <c r="FB29" i="3"/>
  <c r="GL28" i="3"/>
  <c r="GK28" i="3"/>
  <c r="GJ28" i="3"/>
  <c r="GI28" i="3"/>
  <c r="GH28" i="3"/>
  <c r="GG28" i="3"/>
  <c r="GF28" i="3"/>
  <c r="GE28" i="3"/>
  <c r="GD28" i="3"/>
  <c r="GC28" i="3"/>
  <c r="GB28" i="3"/>
  <c r="GA28" i="3"/>
  <c r="FZ28" i="3"/>
  <c r="FY28" i="3"/>
  <c r="FX28" i="3"/>
  <c r="FW28" i="3"/>
  <c r="FV28" i="3"/>
  <c r="FU28" i="3"/>
  <c r="FT28" i="3"/>
  <c r="FS28" i="3"/>
  <c r="FR28" i="3"/>
  <c r="FQ28" i="3"/>
  <c r="FP28" i="3"/>
  <c r="FO28" i="3"/>
  <c r="FN28" i="3"/>
  <c r="FM28" i="3"/>
  <c r="FL28" i="3"/>
  <c r="FK28" i="3"/>
  <c r="FJ28" i="3"/>
  <c r="FI28" i="3"/>
  <c r="FH28" i="3"/>
  <c r="FG28" i="3"/>
  <c r="FF28" i="3"/>
  <c r="FE28" i="3"/>
  <c r="FD28" i="3"/>
  <c r="FC28" i="3"/>
  <c r="FB28" i="3"/>
  <c r="GL27" i="3"/>
  <c r="GK27" i="3"/>
  <c r="GJ27" i="3"/>
  <c r="GI27" i="3"/>
  <c r="GH27" i="3"/>
  <c r="GG27" i="3"/>
  <c r="GF27" i="3"/>
  <c r="GE27" i="3"/>
  <c r="GD27" i="3"/>
  <c r="GC27" i="3"/>
  <c r="GB27" i="3"/>
  <c r="GA27" i="3"/>
  <c r="FZ27" i="3"/>
  <c r="FY27" i="3"/>
  <c r="FX27" i="3"/>
  <c r="FW27" i="3"/>
  <c r="FV27" i="3"/>
  <c r="FU27" i="3"/>
  <c r="FT27" i="3"/>
  <c r="FS27" i="3"/>
  <c r="FR27" i="3"/>
  <c r="FQ27" i="3"/>
  <c r="FP27" i="3"/>
  <c r="FO27" i="3"/>
  <c r="FN27" i="3"/>
  <c r="FM27" i="3"/>
  <c r="FL27" i="3"/>
  <c r="FK27" i="3"/>
  <c r="FJ27" i="3"/>
  <c r="FI27" i="3"/>
  <c r="FH27" i="3"/>
  <c r="FG27" i="3"/>
  <c r="FF27" i="3"/>
  <c r="FE27" i="3"/>
  <c r="FD27" i="3"/>
  <c r="FC27" i="3"/>
  <c r="FB27" i="3"/>
  <c r="GL26" i="3"/>
  <c r="GK26" i="3"/>
  <c r="GJ26" i="3"/>
  <c r="GI26" i="3"/>
  <c r="GH26" i="3"/>
  <c r="GG26" i="3"/>
  <c r="GF26" i="3"/>
  <c r="GE26" i="3"/>
  <c r="GD26" i="3"/>
  <c r="GC26" i="3"/>
  <c r="GB26" i="3"/>
  <c r="GA26" i="3"/>
  <c r="FZ26" i="3"/>
  <c r="FY26" i="3"/>
  <c r="FX26" i="3"/>
  <c r="FW26" i="3"/>
  <c r="FV26" i="3"/>
  <c r="FU26" i="3"/>
  <c r="FT26" i="3"/>
  <c r="FS26" i="3"/>
  <c r="FR26" i="3"/>
  <c r="FQ26" i="3"/>
  <c r="FP26" i="3"/>
  <c r="FO26" i="3"/>
  <c r="FN26" i="3"/>
  <c r="FM26" i="3"/>
  <c r="FL26" i="3"/>
  <c r="FK26" i="3"/>
  <c r="FJ26" i="3"/>
  <c r="FI26" i="3"/>
  <c r="FH26" i="3"/>
  <c r="FG26" i="3"/>
  <c r="FF26" i="3"/>
  <c r="FE26" i="3"/>
  <c r="FD26" i="3"/>
  <c r="FC26" i="3"/>
  <c r="FB26" i="3"/>
  <c r="GL25" i="3"/>
  <c r="GK25" i="3"/>
  <c r="GJ25" i="3"/>
  <c r="GI25" i="3"/>
  <c r="GH25" i="3"/>
  <c r="GG25" i="3"/>
  <c r="GF25" i="3"/>
  <c r="GE25" i="3"/>
  <c r="GD25" i="3"/>
  <c r="GC25" i="3"/>
  <c r="GB25" i="3"/>
  <c r="GA25" i="3"/>
  <c r="FZ25" i="3"/>
  <c r="FY25" i="3"/>
  <c r="FX25" i="3"/>
  <c r="FW25" i="3"/>
  <c r="FV25" i="3"/>
  <c r="FU25" i="3"/>
  <c r="FT25" i="3"/>
  <c r="FS25" i="3"/>
  <c r="FR25" i="3"/>
  <c r="FQ25" i="3"/>
  <c r="FP25" i="3"/>
  <c r="FO25" i="3"/>
  <c r="FN25" i="3"/>
  <c r="FM25" i="3"/>
  <c r="FL25" i="3"/>
  <c r="FK25" i="3"/>
  <c r="FJ25" i="3"/>
  <c r="FI25" i="3"/>
  <c r="FH25" i="3"/>
  <c r="FG25" i="3"/>
  <c r="FF25" i="3"/>
  <c r="FE25" i="3"/>
  <c r="FD25" i="3"/>
  <c r="FC25" i="3"/>
  <c r="FB25" i="3"/>
  <c r="GL24" i="3"/>
  <c r="GK24" i="3"/>
  <c r="GJ24" i="3"/>
  <c r="GI24" i="3"/>
  <c r="GH24" i="3"/>
  <c r="GG24" i="3"/>
  <c r="GF24" i="3"/>
  <c r="GE24" i="3"/>
  <c r="GD24" i="3"/>
  <c r="GC24" i="3"/>
  <c r="GB24" i="3"/>
  <c r="GA24" i="3"/>
  <c r="FZ24" i="3"/>
  <c r="FY24" i="3"/>
  <c r="FX24" i="3"/>
  <c r="FW24" i="3"/>
  <c r="FV24" i="3"/>
  <c r="FU24" i="3"/>
  <c r="FT24" i="3"/>
  <c r="FS24" i="3"/>
  <c r="FR24" i="3"/>
  <c r="FQ24" i="3"/>
  <c r="FP24" i="3"/>
  <c r="FO24" i="3"/>
  <c r="FN24" i="3"/>
  <c r="FM24" i="3"/>
  <c r="FL24" i="3"/>
  <c r="FK24" i="3"/>
  <c r="FJ24" i="3"/>
  <c r="FI24" i="3"/>
  <c r="FH24" i="3"/>
  <c r="FG24" i="3"/>
  <c r="FF24" i="3"/>
  <c r="FE24" i="3"/>
  <c r="FD24" i="3"/>
  <c r="FC24" i="3"/>
  <c r="FB24" i="3"/>
  <c r="GL23" i="3"/>
  <c r="GK23" i="3"/>
  <c r="GJ23" i="3"/>
  <c r="GI23" i="3"/>
  <c r="GH23" i="3"/>
  <c r="GG23" i="3"/>
  <c r="GF23" i="3"/>
  <c r="GE23" i="3"/>
  <c r="GD23" i="3"/>
  <c r="GC23" i="3"/>
  <c r="GB23" i="3"/>
  <c r="GA23" i="3"/>
  <c r="FZ23" i="3"/>
  <c r="FY23" i="3"/>
  <c r="FX23" i="3"/>
  <c r="FW23" i="3"/>
  <c r="FV23" i="3"/>
  <c r="FU23" i="3"/>
  <c r="FT23" i="3"/>
  <c r="FS23" i="3"/>
  <c r="FR23" i="3"/>
  <c r="FQ23" i="3"/>
  <c r="FP23" i="3"/>
  <c r="FO23" i="3"/>
  <c r="FN23" i="3"/>
  <c r="FM23" i="3"/>
  <c r="FL23" i="3"/>
  <c r="FK23" i="3"/>
  <c r="FJ23" i="3"/>
  <c r="FI23" i="3"/>
  <c r="FH23" i="3"/>
  <c r="FG23" i="3"/>
  <c r="FF23" i="3"/>
  <c r="FE23" i="3"/>
  <c r="FD23" i="3"/>
  <c r="FC23" i="3"/>
  <c r="FB23" i="3"/>
  <c r="GL22" i="3"/>
  <c r="GL5" i="3" s="1"/>
  <c r="GL6" i="3" s="1"/>
  <c r="GK22" i="3"/>
  <c r="GK5" i="3" s="1"/>
  <c r="GK6" i="3" s="1"/>
  <c r="GJ22" i="3"/>
  <c r="GJ5" i="3" s="1"/>
  <c r="GJ6" i="3" s="1"/>
  <c r="GI22" i="3"/>
  <c r="GI5" i="3" s="1"/>
  <c r="GI6" i="3" s="1"/>
  <c r="GH22" i="3"/>
  <c r="GH5" i="3" s="1"/>
  <c r="GH6" i="3" s="1"/>
  <c r="GG22" i="3"/>
  <c r="GG5" i="3" s="1"/>
  <c r="GG6" i="3" s="1"/>
  <c r="GF22" i="3"/>
  <c r="GF5" i="3" s="1"/>
  <c r="GF6" i="3" s="1"/>
  <c r="GE22" i="3"/>
  <c r="GE5" i="3" s="1"/>
  <c r="GE6" i="3" s="1"/>
  <c r="GD22" i="3"/>
  <c r="GD5" i="3" s="1"/>
  <c r="GD6" i="3" s="1"/>
  <c r="GC22" i="3"/>
  <c r="GC5" i="3" s="1"/>
  <c r="GC6" i="3" s="1"/>
  <c r="GB22" i="3"/>
  <c r="GB5" i="3" s="1"/>
  <c r="GB6" i="3" s="1"/>
  <c r="GA22" i="3"/>
  <c r="GA5" i="3" s="1"/>
  <c r="GA6" i="3" s="1"/>
  <c r="FZ22" i="3"/>
  <c r="FZ5" i="3" s="1"/>
  <c r="FZ6" i="3" s="1"/>
  <c r="FY22" i="3"/>
  <c r="FY5" i="3" s="1"/>
  <c r="FY6" i="3" s="1"/>
  <c r="FX22" i="3"/>
  <c r="FX5" i="3" s="1"/>
  <c r="FX6" i="3" s="1"/>
  <c r="FW22" i="3"/>
  <c r="FW5" i="3" s="1"/>
  <c r="FW6" i="3" s="1"/>
  <c r="FV22" i="3"/>
  <c r="FV5" i="3" s="1"/>
  <c r="FV6" i="3" s="1"/>
  <c r="FU22" i="3"/>
  <c r="FU5" i="3" s="1"/>
  <c r="FU6" i="3" s="1"/>
  <c r="FT22" i="3"/>
  <c r="FT5" i="3" s="1"/>
  <c r="FT6" i="3" s="1"/>
  <c r="FS22" i="3"/>
  <c r="FS5" i="3" s="1"/>
  <c r="FS6" i="3" s="1"/>
  <c r="FR22" i="3"/>
  <c r="FR5" i="3" s="1"/>
  <c r="FR6" i="3" s="1"/>
  <c r="FQ22" i="3"/>
  <c r="FQ5" i="3" s="1"/>
  <c r="FQ6" i="3" s="1"/>
  <c r="FP22" i="3"/>
  <c r="FP5" i="3" s="1"/>
  <c r="FP6" i="3" s="1"/>
  <c r="FO22" i="3"/>
  <c r="FO5" i="3" s="1"/>
  <c r="FO6" i="3" s="1"/>
  <c r="FN22" i="3"/>
  <c r="FN5" i="3" s="1"/>
  <c r="FN6" i="3" s="1"/>
  <c r="FM22" i="3"/>
  <c r="FM5" i="3" s="1"/>
  <c r="FM6" i="3" s="1"/>
  <c r="FL22" i="3"/>
  <c r="FL5" i="3" s="1"/>
  <c r="FL6" i="3" s="1"/>
  <c r="FK22" i="3"/>
  <c r="FK5" i="3" s="1"/>
  <c r="FK6" i="3" s="1"/>
  <c r="FJ22" i="3"/>
  <c r="FJ5" i="3" s="1"/>
  <c r="FJ6" i="3" s="1"/>
  <c r="FI22" i="3"/>
  <c r="FI5" i="3" s="1"/>
  <c r="FI6" i="3" s="1"/>
  <c r="FH22" i="3"/>
  <c r="FH5" i="3" s="1"/>
  <c r="FH6" i="3" s="1"/>
  <c r="FG22" i="3"/>
  <c r="FG5" i="3" s="1"/>
  <c r="FG6" i="3" s="1"/>
  <c r="FF22" i="3"/>
  <c r="FF5" i="3" s="1"/>
  <c r="FF6" i="3" s="1"/>
  <c r="FE22" i="3"/>
  <c r="FE5" i="3" s="1"/>
  <c r="FE6" i="3" s="1"/>
  <c r="FD22" i="3"/>
  <c r="FD5" i="3" s="1"/>
  <c r="FD6" i="3" s="1"/>
  <c r="FC22" i="3"/>
  <c r="FC5" i="3" s="1"/>
  <c r="FB22" i="3"/>
  <c r="FB5" i="3" s="1"/>
  <c r="GL21" i="3"/>
  <c r="GK21" i="3"/>
  <c r="GJ21" i="3"/>
  <c r="GI21" i="3"/>
  <c r="GH21" i="3"/>
  <c r="GG21" i="3"/>
  <c r="GF21" i="3"/>
  <c r="GE21" i="3"/>
  <c r="GD21" i="3"/>
  <c r="GC21" i="3"/>
  <c r="GB21" i="3"/>
  <c r="GA21" i="3"/>
  <c r="FZ21" i="3"/>
  <c r="FY21" i="3"/>
  <c r="FX21" i="3"/>
  <c r="FW21" i="3"/>
  <c r="FV21" i="3"/>
  <c r="FU21" i="3"/>
  <c r="FT21" i="3"/>
  <c r="FS21" i="3"/>
  <c r="FR21" i="3"/>
  <c r="FQ21" i="3"/>
  <c r="FP21" i="3"/>
  <c r="FO21" i="3"/>
  <c r="FN21" i="3"/>
  <c r="FM21" i="3"/>
  <c r="FL21" i="3"/>
  <c r="FK21" i="3"/>
  <c r="FJ21" i="3"/>
  <c r="FI21" i="3"/>
  <c r="FH21" i="3"/>
  <c r="FG21" i="3"/>
  <c r="FF21" i="3"/>
  <c r="FE21" i="3"/>
  <c r="FD21" i="3"/>
  <c r="FC21" i="3"/>
  <c r="FB21" i="3"/>
  <c r="GL20" i="3"/>
  <c r="GK20" i="3"/>
  <c r="GJ20" i="3"/>
  <c r="GI20" i="3"/>
  <c r="GH20" i="3"/>
  <c r="GG20" i="3"/>
  <c r="GF20" i="3"/>
  <c r="GE20" i="3"/>
  <c r="GD20" i="3"/>
  <c r="GC20" i="3"/>
  <c r="GB20" i="3"/>
  <c r="GA20" i="3"/>
  <c r="FZ20" i="3"/>
  <c r="FY20" i="3"/>
  <c r="FX20" i="3"/>
  <c r="FW20" i="3"/>
  <c r="FV20" i="3"/>
  <c r="FU20" i="3"/>
  <c r="FT20" i="3"/>
  <c r="FS20" i="3"/>
  <c r="FR20" i="3"/>
  <c r="FQ20" i="3"/>
  <c r="FP20" i="3"/>
  <c r="FO20" i="3"/>
  <c r="FN20" i="3"/>
  <c r="FM20" i="3"/>
  <c r="FL20" i="3"/>
  <c r="FK20" i="3"/>
  <c r="FJ20" i="3"/>
  <c r="FI20" i="3"/>
  <c r="FH20" i="3"/>
  <c r="FG20" i="3"/>
  <c r="FF20" i="3"/>
  <c r="FE20" i="3"/>
  <c r="FD20" i="3"/>
  <c r="GK6" i="7"/>
  <c r="GJ6" i="7"/>
  <c r="GI6" i="7"/>
  <c r="GH6" i="7"/>
  <c r="GG6" i="7"/>
  <c r="GF6" i="7"/>
  <c r="GE6" i="7"/>
  <c r="GD6" i="7"/>
  <c r="GC6" i="7"/>
  <c r="GB6" i="7"/>
  <c r="GO34" i="1"/>
  <c r="GN34" i="1"/>
  <c r="GM34" i="1"/>
  <c r="GL34" i="1"/>
  <c r="GK34" i="1"/>
  <c r="GJ34" i="1"/>
  <c r="GI34" i="1"/>
  <c r="GH34" i="1"/>
  <c r="GG34" i="1"/>
  <c r="GF34" i="1"/>
  <c r="GE34" i="1"/>
  <c r="GD34" i="1"/>
  <c r="GC34" i="1"/>
  <c r="GB34" i="1"/>
  <c r="GA34" i="1"/>
  <c r="FZ34" i="1"/>
  <c r="FY34" i="1"/>
  <c r="FX34" i="1"/>
  <c r="FW34" i="1"/>
  <c r="FV34" i="1"/>
  <c r="FU34" i="1"/>
  <c r="FT34" i="1"/>
  <c r="FS34" i="1"/>
  <c r="FR34" i="1"/>
  <c r="FQ34" i="1"/>
  <c r="FP34" i="1"/>
  <c r="FO34" i="1"/>
  <c r="FN34" i="1"/>
  <c r="FM34" i="1"/>
  <c r="FL34" i="1"/>
  <c r="FK34" i="1"/>
  <c r="FJ34" i="1"/>
  <c r="FI34" i="1"/>
  <c r="FH34" i="1"/>
  <c r="FG34" i="1"/>
  <c r="FF34" i="1"/>
  <c r="FE34" i="1"/>
  <c r="FD34" i="1"/>
  <c r="FC34" i="1"/>
  <c r="GL34" i="2"/>
  <c r="GK34" i="2"/>
  <c r="GJ34" i="2"/>
  <c r="GI34" i="2"/>
  <c r="GH34" i="2"/>
  <c r="GG34" i="2"/>
  <c r="GF34" i="2"/>
  <c r="GE34" i="2"/>
  <c r="GD34" i="2"/>
  <c r="GC34" i="2"/>
  <c r="GB34" i="2"/>
  <c r="GA34" i="2"/>
  <c r="FZ34" i="2"/>
  <c r="FY34" i="2"/>
  <c r="FX34" i="2"/>
  <c r="FW34" i="2"/>
  <c r="FV34" i="2"/>
  <c r="FU34" i="2"/>
  <c r="FT34" i="2"/>
  <c r="FS34" i="2"/>
  <c r="FR34" i="2"/>
  <c r="FQ34" i="2"/>
  <c r="FP34" i="2"/>
  <c r="FO34" i="2"/>
  <c r="FN34" i="2"/>
  <c r="FM34" i="2"/>
  <c r="FL34" i="2"/>
  <c r="FK34" i="2"/>
  <c r="FJ34" i="2"/>
  <c r="FI34" i="2"/>
  <c r="FH34" i="2"/>
  <c r="FG34" i="2"/>
  <c r="FF34" i="2"/>
  <c r="FE34" i="2"/>
  <c r="FD34" i="2"/>
  <c r="FC34" i="2"/>
  <c r="FB34" i="2"/>
  <c r="FA34" i="2"/>
  <c r="EZ34" i="2"/>
  <c r="EY34" i="2"/>
  <c r="EX34" i="2"/>
  <c r="EW34" i="2"/>
  <c r="EV34" i="2"/>
  <c r="EU34" i="2"/>
  <c r="ET34" i="2"/>
  <c r="ES34" i="2"/>
  <c r="ER34" i="2"/>
  <c r="EQ34" i="2"/>
  <c r="EP34" i="2"/>
  <c r="EO34" i="2"/>
  <c r="EN34" i="2"/>
  <c r="EM34" i="2"/>
  <c r="EL34" i="2"/>
  <c r="EK34" i="2"/>
  <c r="EJ34" i="2"/>
  <c r="EI34" i="2"/>
  <c r="EH34" i="2"/>
  <c r="EG34" i="2"/>
  <c r="EF34" i="2"/>
  <c r="EE34" i="2"/>
  <c r="ED34" i="2"/>
  <c r="EC34" i="2"/>
  <c r="EB34" i="2"/>
  <c r="EA34" i="2"/>
  <c r="DZ34" i="2"/>
  <c r="DY34" i="2"/>
  <c r="DX34" i="2"/>
  <c r="DW34" i="2"/>
  <c r="DV34" i="2"/>
  <c r="DU34" i="2"/>
  <c r="DT34" i="2"/>
  <c r="DS34" i="2"/>
  <c r="DR34" i="2"/>
  <c r="DQ34" i="2"/>
  <c r="DP34" i="2"/>
  <c r="DO34" i="2"/>
  <c r="DN34" i="2"/>
  <c r="DM34" i="2"/>
  <c r="DL34" i="2"/>
  <c r="DK34" i="2"/>
  <c r="DJ34" i="2"/>
  <c r="DI34" i="2"/>
  <c r="DH34" i="2"/>
  <c r="DG34" i="2"/>
  <c r="DF34" i="2"/>
  <c r="DE34" i="2"/>
  <c r="DD34" i="2"/>
  <c r="DC34" i="2"/>
  <c r="DB34" i="2"/>
  <c r="DA34" i="2"/>
  <c r="CZ34" i="2"/>
  <c r="CY34" i="2"/>
  <c r="CX34" i="2"/>
  <c r="CW34" i="2"/>
  <c r="CV34" i="2"/>
  <c r="CU34" i="2"/>
  <c r="CT34" i="2"/>
  <c r="CS34" i="2"/>
  <c r="CR34" i="2"/>
  <c r="CQ34" i="2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GM29" i="8" l="1"/>
  <c r="GN28" i="8"/>
  <c r="GB2" i="3"/>
  <c r="FV2" i="3"/>
  <c r="GC2" i="3"/>
  <c r="FW2" i="3"/>
  <c r="GD2" i="3"/>
  <c r="FX2" i="3"/>
  <c r="GH2" i="3"/>
  <c r="GE2" i="3"/>
  <c r="GK2" i="3"/>
  <c r="GI2" i="3"/>
  <c r="GF2" i="3"/>
  <c r="GL2" i="3"/>
  <c r="GJ2" i="3"/>
  <c r="GG2" i="3"/>
  <c r="FD2" i="3"/>
  <c r="FE2" i="3"/>
  <c r="FF2" i="3"/>
  <c r="FG2" i="3"/>
  <c r="FH2" i="3"/>
  <c r="FI2" i="3"/>
  <c r="FJ2" i="3"/>
  <c r="FK2" i="3"/>
  <c r="FY2" i="3"/>
  <c r="FL2" i="3"/>
  <c r="FZ2" i="3"/>
  <c r="FM2" i="3"/>
  <c r="FN2" i="3"/>
  <c r="GA2" i="3"/>
  <c r="GL52" i="3"/>
  <c r="GL3" i="3"/>
  <c r="GK52" i="3"/>
  <c r="GK3" i="3"/>
  <c r="GJ52" i="3"/>
  <c r="GJ3" i="3"/>
  <c r="GI52" i="3"/>
  <c r="GI3" i="3"/>
  <c r="GH52" i="3"/>
  <c r="GH3" i="3"/>
  <c r="GG52" i="3"/>
  <c r="GG3" i="3"/>
  <c r="GF52" i="3"/>
  <c r="GF3" i="3"/>
  <c r="GE52" i="3"/>
  <c r="GE3" i="3"/>
  <c r="GD52" i="3"/>
  <c r="GD3" i="3"/>
  <c r="GC52" i="3"/>
  <c r="GC3" i="3"/>
  <c r="GB52" i="3"/>
  <c r="GB3" i="3"/>
  <c r="GA52" i="3"/>
  <c r="GA3" i="3"/>
  <c r="FZ52" i="3"/>
  <c r="FZ3" i="3"/>
  <c r="FY52" i="3"/>
  <c r="FY3" i="3"/>
  <c r="FX52" i="3"/>
  <c r="FX3" i="3"/>
  <c r="FW52" i="3"/>
  <c r="FW3" i="3"/>
  <c r="FV52" i="3"/>
  <c r="FV3" i="3"/>
  <c r="FU52" i="3"/>
  <c r="FU3" i="3"/>
  <c r="FT52" i="3"/>
  <c r="FT3" i="3"/>
  <c r="FS52" i="3"/>
  <c r="FS3" i="3"/>
  <c r="FR52" i="3"/>
  <c r="FR3" i="3"/>
  <c r="FQ52" i="3"/>
  <c r="FQ3" i="3"/>
  <c r="FP52" i="3"/>
  <c r="FP3" i="3"/>
  <c r="FO52" i="3"/>
  <c r="FO3" i="3"/>
  <c r="FN52" i="3"/>
  <c r="FN3" i="3"/>
  <c r="FM52" i="3"/>
  <c r="FM3" i="3"/>
  <c r="FL52" i="3"/>
  <c r="FL3" i="3"/>
  <c r="FK52" i="3"/>
  <c r="FK3" i="3"/>
  <c r="FJ52" i="3"/>
  <c r="FJ3" i="3"/>
  <c r="FI52" i="3"/>
  <c r="FI3" i="3"/>
  <c r="FH52" i="3"/>
  <c r="FH3" i="3"/>
  <c r="FG52" i="3"/>
  <c r="FG3" i="3"/>
  <c r="FF52" i="3"/>
  <c r="FF3" i="3"/>
  <c r="FE52" i="3"/>
  <c r="FE3" i="3"/>
  <c r="FD52" i="3"/>
  <c r="FD3" i="3"/>
  <c r="FC52" i="3"/>
  <c r="FB52" i="3"/>
  <c r="F25" i="18"/>
  <c r="FD7" i="3"/>
  <c r="FD26" i="8" s="1"/>
  <c r="FE7" i="3"/>
  <c r="FE26" i="8" s="1"/>
  <c r="FF7" i="3"/>
  <c r="FF26" i="8" s="1"/>
  <c r="FG7" i="3"/>
  <c r="FG26" i="8" s="1"/>
  <c r="FH7" i="3"/>
  <c r="FH26" i="8" s="1"/>
  <c r="FI7" i="3"/>
  <c r="FI26" i="8" s="1"/>
  <c r="FJ7" i="3"/>
  <c r="FJ26" i="8" s="1"/>
  <c r="FK7" i="3"/>
  <c r="FK26" i="8" s="1"/>
  <c r="FL7" i="3"/>
  <c r="FL26" i="8" s="1"/>
  <c r="FM7" i="3"/>
  <c r="FM26" i="8" s="1"/>
  <c r="FN7" i="3"/>
  <c r="FN26" i="8" s="1"/>
  <c r="FO7" i="3"/>
  <c r="FO26" i="8" s="1"/>
  <c r="FP7" i="3"/>
  <c r="FP26" i="8" s="1"/>
  <c r="FQ7" i="3"/>
  <c r="FQ26" i="8" s="1"/>
  <c r="FR7" i="3"/>
  <c r="FR26" i="8" s="1"/>
  <c r="FS7" i="3"/>
  <c r="FS26" i="8" s="1"/>
  <c r="FT7" i="3"/>
  <c r="FT26" i="8" s="1"/>
  <c r="FU7" i="3"/>
  <c r="FU26" i="8" s="1"/>
  <c r="FV7" i="3"/>
  <c r="FV26" i="8" s="1"/>
  <c r="FW7" i="3"/>
  <c r="FW26" i="8" s="1"/>
  <c r="FX7" i="3"/>
  <c r="FX26" i="8" s="1"/>
  <c r="FY7" i="3"/>
  <c r="FY26" i="8" s="1"/>
  <c r="FZ7" i="3"/>
  <c r="FZ26" i="8" s="1"/>
  <c r="GA7" i="3"/>
  <c r="GA26" i="8" s="1"/>
  <c r="GB7" i="3"/>
  <c r="GB26" i="8" s="1"/>
  <c r="GC7" i="3"/>
  <c r="GC26" i="8" s="1"/>
  <c r="GD7" i="3"/>
  <c r="GD26" i="8" s="1"/>
  <c r="GE7" i="3"/>
  <c r="GE26" i="8" s="1"/>
  <c r="GF7" i="3"/>
  <c r="GF26" i="8" s="1"/>
  <c r="GG7" i="3"/>
  <c r="GG26" i="8" s="1"/>
  <c r="GH7" i="3"/>
  <c r="GH26" i="8" s="1"/>
  <c r="GI7" i="3"/>
  <c r="GI26" i="8" s="1"/>
  <c r="GJ7" i="3"/>
  <c r="GJ26" i="8" s="1"/>
  <c r="GK7" i="3"/>
  <c r="GK26" i="8" s="1"/>
  <c r="GL7" i="3"/>
  <c r="GL26" i="8" s="1"/>
  <c r="GO28" i="8" l="1"/>
  <c r="GN29" i="8"/>
  <c r="GL27" i="8"/>
  <c r="GL29" i="8" s="1"/>
  <c r="GL19" i="3"/>
  <c r="GK2" i="7" s="1"/>
  <c r="GK27" i="8"/>
  <c r="GK29" i="8" s="1"/>
  <c r="GK19" i="3"/>
  <c r="GJ2" i="7" s="1"/>
  <c r="GJ27" i="8"/>
  <c r="GJ29" i="8" s="1"/>
  <c r="GJ19" i="3"/>
  <c r="GI2" i="7" s="1"/>
  <c r="GI27" i="8"/>
  <c r="GI29" i="8" s="1"/>
  <c r="GI19" i="3"/>
  <c r="GH2" i="7" s="1"/>
  <c r="GH27" i="8"/>
  <c r="GH29" i="8" s="1"/>
  <c r="GH19" i="3"/>
  <c r="GG2" i="7" s="1"/>
  <c r="GG27" i="8"/>
  <c r="GG29" i="8" s="1"/>
  <c r="GG19" i="3"/>
  <c r="GF2" i="7" s="1"/>
  <c r="GF27" i="8"/>
  <c r="GF29" i="8" s="1"/>
  <c r="GF19" i="3"/>
  <c r="GE2" i="7" s="1"/>
  <c r="GE27" i="8"/>
  <c r="GE29" i="8" s="1"/>
  <c r="GE19" i="3"/>
  <c r="GD2" i="7" s="1"/>
  <c r="GD27" i="8"/>
  <c r="GD29" i="8" s="1"/>
  <c r="GD19" i="3"/>
  <c r="GC2" i="7" s="1"/>
  <c r="GC27" i="8"/>
  <c r="GC29" i="8" s="1"/>
  <c r="GC19" i="3"/>
  <c r="GB2" i="7" s="1"/>
  <c r="GB27" i="8"/>
  <c r="GB29" i="8" s="1"/>
  <c r="GB19" i="3"/>
  <c r="GA2" i="7" s="1"/>
  <c r="GA27" i="8"/>
  <c r="GA29" i="8" s="1"/>
  <c r="GA19" i="3"/>
  <c r="FZ2" i="7" s="1"/>
  <c r="FZ27" i="8"/>
  <c r="FZ29" i="8" s="1"/>
  <c r="FZ19" i="3"/>
  <c r="FY2" i="7" s="1"/>
  <c r="FY27" i="8"/>
  <c r="FY29" i="8" s="1"/>
  <c r="FY19" i="3"/>
  <c r="FX2" i="7" s="1"/>
  <c r="FX27" i="8"/>
  <c r="FX29" i="8" s="1"/>
  <c r="FX19" i="3"/>
  <c r="FW2" i="7" s="1"/>
  <c r="FW27" i="8"/>
  <c r="FW29" i="8" s="1"/>
  <c r="FW19" i="3"/>
  <c r="FV2" i="7" s="1"/>
  <c r="FV27" i="8"/>
  <c r="FV29" i="8" s="1"/>
  <c r="FV19" i="3"/>
  <c r="FU2" i="7" s="1"/>
  <c r="FU27" i="8"/>
  <c r="FU29" i="8" s="1"/>
  <c r="FU19" i="3"/>
  <c r="FT2" i="7" s="1"/>
  <c r="FT27" i="8"/>
  <c r="FT29" i="8" s="1"/>
  <c r="FT19" i="3"/>
  <c r="FS2" i="7" s="1"/>
  <c r="FS27" i="8"/>
  <c r="FS29" i="8" s="1"/>
  <c r="FS19" i="3"/>
  <c r="FR2" i="7" s="1"/>
  <c r="FR27" i="8"/>
  <c r="FR29" i="8" s="1"/>
  <c r="FR19" i="3"/>
  <c r="FQ2" i="7" s="1"/>
  <c r="FQ27" i="8"/>
  <c r="FQ29" i="8" s="1"/>
  <c r="FQ19" i="3"/>
  <c r="FP2" i="7" s="1"/>
  <c r="FP27" i="8"/>
  <c r="FP29" i="8" s="1"/>
  <c r="FP19" i="3"/>
  <c r="FO2" i="7" s="1"/>
  <c r="FO27" i="8"/>
  <c r="FO29" i="8" s="1"/>
  <c r="FO19" i="3"/>
  <c r="FN2" i="7" s="1"/>
  <c r="FN27" i="8"/>
  <c r="FN29" i="8" s="1"/>
  <c r="FN19" i="3"/>
  <c r="FM2" i="7" s="1"/>
  <c r="FM27" i="8"/>
  <c r="FM29" i="8" s="1"/>
  <c r="FM19" i="3"/>
  <c r="FL2" i="7" s="1"/>
  <c r="FL27" i="8"/>
  <c r="FL29" i="8" s="1"/>
  <c r="FL19" i="3"/>
  <c r="FK2" i="7" s="1"/>
  <c r="FK27" i="8"/>
  <c r="FK29" i="8" s="1"/>
  <c r="FK19" i="3"/>
  <c r="FJ2" i="7" s="1"/>
  <c r="FJ27" i="8"/>
  <c r="FJ29" i="8" s="1"/>
  <c r="FJ19" i="3"/>
  <c r="FI2" i="7" s="1"/>
  <c r="FI27" i="8"/>
  <c r="FI29" i="8" s="1"/>
  <c r="FI19" i="3"/>
  <c r="FH2" i="7" s="1"/>
  <c r="FH27" i="8"/>
  <c r="FH29" i="8" s="1"/>
  <c r="FH19" i="3"/>
  <c r="FG2" i="7" s="1"/>
  <c r="FG27" i="8"/>
  <c r="FG29" i="8" s="1"/>
  <c r="FG19" i="3"/>
  <c r="FF2" i="7" s="1"/>
  <c r="FF27" i="8"/>
  <c r="FF29" i="8" s="1"/>
  <c r="FF19" i="3"/>
  <c r="FE2" i="7" s="1"/>
  <c r="FE27" i="8"/>
  <c r="FE29" i="8" s="1"/>
  <c r="FE19" i="3"/>
  <c r="FD27" i="8"/>
  <c r="FD29" i="8" s="1"/>
  <c r="FD19" i="3"/>
  <c r="A64" i="18"/>
  <c r="GP28" i="8" l="1"/>
  <c r="GO29" i="8"/>
  <c r="L52" i="16"/>
  <c r="L18" i="16"/>
  <c r="J34" i="16"/>
  <c r="K34" i="16"/>
  <c r="M34" i="16"/>
  <c r="GQ28" i="8" l="1"/>
  <c r="GP29" i="8"/>
  <c r="FC2" i="7"/>
  <c r="FD2" i="7"/>
  <c r="A13" i="16"/>
  <c r="GR28" i="8" l="1"/>
  <c r="GQ29" i="8"/>
  <c r="C5" i="10"/>
  <c r="GS28" i="8" l="1"/>
  <c r="GR29" i="8"/>
  <c r="DV9" i="7"/>
  <c r="DZ9" i="7"/>
  <c r="B9" i="7" s="1"/>
  <c r="B5" i="10"/>
  <c r="B22" i="7" s="1"/>
  <c r="GT28" i="8" l="1"/>
  <c r="GS29" i="8"/>
  <c r="BE5" i="22"/>
  <c r="BD5" i="22"/>
  <c r="BC5" i="22"/>
  <c r="BB5" i="22"/>
  <c r="BA5" i="22"/>
  <c r="AZ5" i="22"/>
  <c r="AY5" i="22"/>
  <c r="AX5" i="22"/>
  <c r="AW5" i="22"/>
  <c r="AV5" i="22"/>
  <c r="AU5" i="22"/>
  <c r="AT5" i="22"/>
  <c r="AS5" i="22"/>
  <c r="AR5" i="22"/>
  <c r="AQ5" i="22"/>
  <c r="AP5" i="22"/>
  <c r="AO5" i="22"/>
  <c r="AN5" i="22"/>
  <c r="AM5" i="22"/>
  <c r="AL5" i="22"/>
  <c r="AK5" i="22"/>
  <c r="AJ5" i="22"/>
  <c r="AI5" i="22"/>
  <c r="AH5" i="22"/>
  <c r="AG5" i="22"/>
  <c r="AF5" i="22"/>
  <c r="AE5" i="22"/>
  <c r="AD5" i="22"/>
  <c r="AC5" i="22"/>
  <c r="AB5" i="22"/>
  <c r="AA5" i="22"/>
  <c r="Z5" i="22"/>
  <c r="Y5" i="22"/>
  <c r="X5" i="22"/>
  <c r="W5" i="22"/>
  <c r="V5" i="22"/>
  <c r="U5" i="22"/>
  <c r="T5" i="22"/>
  <c r="S5" i="22"/>
  <c r="R5" i="22"/>
  <c r="Q5" i="22"/>
  <c r="P5" i="22"/>
  <c r="O5" i="22"/>
  <c r="N5" i="22"/>
  <c r="M5" i="22"/>
  <c r="L5" i="22"/>
  <c r="K5" i="22"/>
  <c r="J5" i="22"/>
  <c r="I5" i="22"/>
  <c r="H5" i="22"/>
  <c r="G5" i="22"/>
  <c r="F5" i="22"/>
  <c r="E5" i="22"/>
  <c r="D5" i="22"/>
  <c r="C5" i="22"/>
  <c r="B5" i="22"/>
  <c r="GU28" i="8" l="1"/>
  <c r="GT29" i="8"/>
  <c r="B21" i="16"/>
  <c r="GV28" i="8" l="1"/>
  <c r="GV29" i="8" s="1"/>
  <c r="GU29" i="8"/>
  <c r="AD67" i="18"/>
  <c r="AE67" i="18"/>
  <c r="AF67" i="18"/>
  <c r="AG67" i="18"/>
  <c r="AH67" i="18"/>
  <c r="AI67" i="18"/>
  <c r="AJ67" i="18"/>
  <c r="AK67" i="18"/>
  <c r="AL67" i="18"/>
  <c r="AM67" i="18"/>
  <c r="AN67" i="18"/>
  <c r="AO67" i="18"/>
  <c r="AP67" i="18"/>
  <c r="AQ67" i="18"/>
  <c r="AR67" i="18"/>
  <c r="AS67" i="18"/>
  <c r="AT67" i="18"/>
  <c r="AU67" i="18"/>
  <c r="AV67" i="18"/>
  <c r="AW67" i="18"/>
  <c r="AX67" i="18"/>
  <c r="AY67" i="18"/>
  <c r="AZ67" i="18"/>
  <c r="BA67" i="18"/>
  <c r="BB67" i="18"/>
  <c r="BC67" i="18"/>
  <c r="BD67" i="18"/>
  <c r="BE67" i="18"/>
  <c r="BF67" i="18"/>
  <c r="BG67" i="18"/>
  <c r="BH67" i="18"/>
  <c r="BI67" i="18"/>
  <c r="BJ67" i="18"/>
  <c r="BK67" i="18"/>
  <c r="BL67" i="18"/>
  <c r="BM67" i="18"/>
  <c r="BN67" i="18"/>
  <c r="BO67" i="18"/>
  <c r="BP67" i="18"/>
  <c r="BQ67" i="18"/>
  <c r="BR67" i="18"/>
  <c r="BS67" i="18"/>
  <c r="BT67" i="18"/>
  <c r="BU67" i="18"/>
  <c r="BV67" i="18"/>
  <c r="BW67" i="18"/>
  <c r="BX67" i="18"/>
  <c r="BY67" i="18"/>
  <c r="BZ67" i="18"/>
  <c r="CA67" i="18"/>
  <c r="CB67" i="18"/>
  <c r="CC67" i="18"/>
  <c r="CD67" i="18"/>
  <c r="CE67" i="18"/>
  <c r="CF67" i="18"/>
  <c r="CG67" i="18"/>
  <c r="CH67" i="18"/>
  <c r="CI67" i="18"/>
  <c r="CJ67" i="18"/>
  <c r="CK67" i="18"/>
  <c r="CL67" i="18"/>
  <c r="CM67" i="18"/>
  <c r="CN67" i="18"/>
  <c r="CO67" i="18"/>
  <c r="CP67" i="18"/>
  <c r="CQ67" i="18"/>
  <c r="CR67" i="18"/>
  <c r="CS67" i="18"/>
  <c r="CT67" i="18"/>
  <c r="CU67" i="18"/>
  <c r="CV67" i="18"/>
  <c r="CW67" i="18"/>
  <c r="CX67" i="18"/>
  <c r="CY67" i="18"/>
  <c r="CZ67" i="18"/>
  <c r="DA67" i="18"/>
  <c r="DB67" i="18"/>
  <c r="DC67" i="18"/>
  <c r="DD67" i="18"/>
  <c r="DE67" i="18"/>
  <c r="DF67" i="18"/>
  <c r="DG67" i="18"/>
  <c r="DH67" i="18"/>
  <c r="DI67" i="18"/>
  <c r="DJ67" i="18"/>
  <c r="DK67" i="18"/>
  <c r="DL67" i="18"/>
  <c r="DM67" i="18"/>
  <c r="DN67" i="18"/>
  <c r="DO67" i="18"/>
  <c r="DP67" i="18"/>
  <c r="DQ67" i="18"/>
  <c r="DR67" i="18"/>
  <c r="DS67" i="18"/>
  <c r="DT67" i="18"/>
  <c r="DU67" i="18"/>
  <c r="DV67" i="18"/>
  <c r="DW67" i="18"/>
  <c r="DX67" i="18"/>
  <c r="DY67" i="18"/>
  <c r="DZ67" i="18"/>
  <c r="EA67" i="18"/>
  <c r="EB67" i="18"/>
  <c r="EC67" i="18"/>
  <c r="ED67" i="18"/>
  <c r="EE67" i="18"/>
  <c r="EF67" i="18"/>
  <c r="EG67" i="18"/>
  <c r="EH67" i="18"/>
  <c r="EI67" i="18"/>
  <c r="EJ67" i="18"/>
  <c r="EK67" i="18"/>
  <c r="EL67" i="18"/>
  <c r="EM67" i="18"/>
  <c r="EN67" i="18"/>
  <c r="EO67" i="18"/>
  <c r="EP67" i="18"/>
  <c r="EQ67" i="18"/>
  <c r="ER67" i="18"/>
  <c r="ES67" i="18"/>
  <c r="ET67" i="18"/>
  <c r="EU67" i="18"/>
  <c r="EV67" i="18"/>
  <c r="EW67" i="18"/>
  <c r="EX67" i="18"/>
  <c r="EY67" i="18"/>
  <c r="EZ67" i="18"/>
  <c r="FA67" i="18"/>
  <c r="FB67" i="18"/>
  <c r="FC67" i="18"/>
  <c r="FD67" i="18"/>
  <c r="FE67" i="18"/>
  <c r="FF67" i="18"/>
  <c r="A17" i="16" l="1"/>
  <c r="A16" i="16"/>
  <c r="A51" i="16"/>
  <c r="M3" i="16"/>
  <c r="M4" i="16"/>
  <c r="M5" i="16"/>
  <c r="M52" i="16"/>
  <c r="B11" i="21"/>
  <c r="G51" i="16" l="1"/>
  <c r="F51" i="16"/>
  <c r="E51" i="16"/>
  <c r="B51" i="16" l="1"/>
  <c r="B4" i="22"/>
  <c r="C4" i="22"/>
  <c r="D4" i="22"/>
  <c r="GA7" i="21" l="1"/>
  <c r="FZ7" i="21"/>
  <c r="FY7" i="21"/>
  <c r="FX7" i="21"/>
  <c r="FW7" i="21"/>
  <c r="FV7" i="21"/>
  <c r="FU7" i="21"/>
  <c r="FT7" i="21"/>
  <c r="FS7" i="21"/>
  <c r="FR7" i="21"/>
  <c r="FQ7" i="21"/>
  <c r="FP7" i="21"/>
  <c r="FO7" i="21"/>
  <c r="FN7" i="21"/>
  <c r="FM7" i="21"/>
  <c r="FL7" i="21"/>
  <c r="FK7" i="21"/>
  <c r="FJ7" i="21"/>
  <c r="FI7" i="21"/>
  <c r="FH7" i="21"/>
  <c r="FG7" i="21"/>
  <c r="FF7" i="21"/>
  <c r="FE7" i="21"/>
  <c r="FD7" i="21"/>
  <c r="FC7" i="21"/>
  <c r="FB7" i="21"/>
  <c r="FA7" i="21"/>
  <c r="EZ7" i="21"/>
  <c r="EY7" i="21"/>
  <c r="EX7" i="21"/>
  <c r="EW7" i="21"/>
  <c r="EV7" i="21"/>
  <c r="EU7" i="21"/>
  <c r="ET7" i="21"/>
  <c r="ES7" i="21"/>
  <c r="ER7" i="21"/>
  <c r="EQ7" i="21"/>
  <c r="EP7" i="21"/>
  <c r="EO7" i="21"/>
  <c r="EN7" i="21"/>
  <c r="EM7" i="21"/>
  <c r="EL7" i="21"/>
  <c r="EK7" i="21"/>
  <c r="EJ7" i="21"/>
  <c r="EI7" i="21"/>
  <c r="EH7" i="21"/>
  <c r="EG7" i="21"/>
  <c r="EF7" i="21"/>
  <c r="EE7" i="21"/>
  <c r="ED7" i="21"/>
  <c r="EC7" i="21"/>
  <c r="AM8" i="22" s="1"/>
  <c r="EB7" i="21"/>
  <c r="EA7" i="21"/>
  <c r="DZ7" i="21"/>
  <c r="DY7" i="21"/>
  <c r="DX7" i="21"/>
  <c r="DW7" i="21"/>
  <c r="DV7" i="21"/>
  <c r="DU7" i="21"/>
  <c r="DT7" i="21"/>
  <c r="DS7" i="21"/>
  <c r="DR7" i="21"/>
  <c r="DQ7" i="21"/>
  <c r="DP7" i="21"/>
  <c r="DO7" i="21"/>
  <c r="AK8" i="22" s="1"/>
  <c r="DN7" i="21"/>
  <c r="DM7" i="21"/>
  <c r="AJ8" i="22" s="1"/>
  <c r="DL7" i="21"/>
  <c r="AI8" i="22" s="1"/>
  <c r="DK7" i="21"/>
  <c r="DJ7" i="21"/>
  <c r="DI7" i="21"/>
  <c r="DH7" i="21"/>
  <c r="DG7" i="21"/>
  <c r="DF7" i="21"/>
  <c r="DE7" i="21"/>
  <c r="DD7" i="21"/>
  <c r="DC7" i="21"/>
  <c r="DB7" i="21"/>
  <c r="DA7" i="21"/>
  <c r="CZ7" i="21"/>
  <c r="CY7" i="21"/>
  <c r="CX7" i="21"/>
  <c r="CW7" i="21"/>
  <c r="CV7" i="21"/>
  <c r="CU7" i="21"/>
  <c r="CT7" i="21"/>
  <c r="CS7" i="21"/>
  <c r="CR7" i="21"/>
  <c r="CQ7" i="21"/>
  <c r="AB8" i="22" s="1"/>
  <c r="CP7" i="21"/>
  <c r="AA8" i="22" s="1"/>
  <c r="CO7" i="21"/>
  <c r="Z8" i="22" s="1"/>
  <c r="CN7" i="21"/>
  <c r="Y8" i="22" s="1"/>
  <c r="CM7" i="21"/>
  <c r="CL7" i="21"/>
  <c r="CK7" i="21"/>
  <c r="CJ7" i="21"/>
  <c r="CI7" i="21"/>
  <c r="CH7" i="21"/>
  <c r="CG7" i="21"/>
  <c r="CF7" i="21"/>
  <c r="CE7" i="21"/>
  <c r="CD7" i="21"/>
  <c r="CC7" i="21"/>
  <c r="CB7" i="21"/>
  <c r="CA7" i="21"/>
  <c r="U8" i="22" s="1"/>
  <c r="BZ7" i="21"/>
  <c r="BY7" i="21"/>
  <c r="BX7" i="21"/>
  <c r="BW7" i="21"/>
  <c r="BV7" i="21"/>
  <c r="BU7" i="21"/>
  <c r="T8" i="22" s="1"/>
  <c r="BT7" i="21"/>
  <c r="BS7" i="21"/>
  <c r="BR7" i="21"/>
  <c r="BQ7" i="21"/>
  <c r="BP7" i="21"/>
  <c r="BO7" i="21"/>
  <c r="BN7" i="21"/>
  <c r="BM7" i="21"/>
  <c r="BL7" i="21"/>
  <c r="R8" i="22" s="1"/>
  <c r="BK7" i="21"/>
  <c r="BJ7" i="21"/>
  <c r="BI7" i="21"/>
  <c r="BH7" i="21"/>
  <c r="BG7" i="21"/>
  <c r="BF7" i="21"/>
  <c r="BE7" i="21"/>
  <c r="BD7" i="21"/>
  <c r="BC7" i="21"/>
  <c r="Q8" i="22" s="1"/>
  <c r="BB7" i="21"/>
  <c r="BA7" i="21"/>
  <c r="AZ7" i="21"/>
  <c r="P8" i="22" s="1"/>
  <c r="AY7" i="21"/>
  <c r="AX7" i="21"/>
  <c r="AW7" i="21"/>
  <c r="AV7" i="21"/>
  <c r="AU7" i="21"/>
  <c r="AT7" i="21"/>
  <c r="AS7" i="21"/>
  <c r="AR7" i="21"/>
  <c r="AQ7" i="21"/>
  <c r="O8" i="22" s="1"/>
  <c r="AP7" i="21"/>
  <c r="N8" i="22" s="1"/>
  <c r="AO7" i="21"/>
  <c r="M8" i="22" s="1"/>
  <c r="AN7" i="21"/>
  <c r="AM7" i="21"/>
  <c r="AL7" i="21"/>
  <c r="AK7" i="21"/>
  <c r="AJ7" i="21"/>
  <c r="AI7" i="21"/>
  <c r="L8" i="22" s="1"/>
  <c r="AH7" i="21"/>
  <c r="K8" i="22" s="1"/>
  <c r="AG7" i="21"/>
  <c r="J8" i="22" s="1"/>
  <c r="AF7" i="21"/>
  <c r="I8" i="22" s="1"/>
  <c r="AE7" i="21"/>
  <c r="H8" i="22" s="1"/>
  <c r="AD7" i="21"/>
  <c r="AC7" i="21"/>
  <c r="AB7" i="21"/>
  <c r="AA7" i="21"/>
  <c r="G8" i="22" s="1"/>
  <c r="Z7" i="21"/>
  <c r="Y7" i="21"/>
  <c r="X7" i="21"/>
  <c r="F8" i="22" s="1"/>
  <c r="W7" i="21"/>
  <c r="V7" i="21"/>
  <c r="U7" i="21"/>
  <c r="T7" i="21"/>
  <c r="S7" i="21"/>
  <c r="E8" i="22" s="1"/>
  <c r="R7" i="21"/>
  <c r="Q7" i="21"/>
  <c r="P7" i="21"/>
  <c r="O7" i="21"/>
  <c r="N7" i="21"/>
  <c r="M7" i="21"/>
  <c r="L7" i="21"/>
  <c r="K7" i="21"/>
  <c r="J7" i="21"/>
  <c r="I7" i="21"/>
  <c r="D8" i="22" s="1"/>
  <c r="H7" i="21"/>
  <c r="C8" i="22" s="1"/>
  <c r="G7" i="21"/>
  <c r="F7" i="21"/>
  <c r="E7" i="21"/>
  <c r="D7" i="21"/>
  <c r="B8" i="22" s="1"/>
  <c r="C7" i="21"/>
  <c r="FQ3" i="21"/>
  <c r="FR3" i="21"/>
  <c r="FS3" i="21"/>
  <c r="FT3" i="21"/>
  <c r="FU3" i="21"/>
  <c r="FV3" i="21"/>
  <c r="FW3" i="21"/>
  <c r="FX3" i="21"/>
  <c r="FY3" i="21"/>
  <c r="FZ3" i="21"/>
  <c r="GA3" i="21"/>
  <c r="FQ5" i="21"/>
  <c r="FR5" i="21"/>
  <c r="FS5" i="21"/>
  <c r="FT5" i="21"/>
  <c r="FU5" i="21"/>
  <c r="FV5" i="21"/>
  <c r="FW5" i="21"/>
  <c r="FX5" i="21"/>
  <c r="FY5" i="21"/>
  <c r="FZ5" i="21"/>
  <c r="GA5" i="21"/>
  <c r="FQ6" i="21"/>
  <c r="FR6" i="21"/>
  <c r="FS6" i="21"/>
  <c r="FT6" i="21"/>
  <c r="FU6" i="21"/>
  <c r="FV6" i="21"/>
  <c r="FW6" i="21"/>
  <c r="FX6" i="21"/>
  <c r="FY6" i="21"/>
  <c r="FZ6" i="21"/>
  <c r="GA6" i="21"/>
  <c r="GA6" i="7" s="1"/>
  <c r="BE4" i="22"/>
  <c r="S8" i="22" l="1"/>
  <c r="BB8" i="22"/>
  <c r="BC8" i="22"/>
  <c r="BD8" i="22"/>
  <c r="BA8" i="22"/>
  <c r="AZ8" i="22"/>
  <c r="AY8" i="22"/>
  <c r="AX8" i="22"/>
  <c r="AW8" i="22"/>
  <c r="AV8" i="22"/>
  <c r="AU8" i="22"/>
  <c r="AT8" i="22"/>
  <c r="AS8" i="22"/>
  <c r="AR8" i="22"/>
  <c r="AQ8" i="22"/>
  <c r="AP8" i="22"/>
  <c r="AO8" i="22"/>
  <c r="AN8" i="22"/>
  <c r="AL8" i="22"/>
  <c r="AH8" i="22"/>
  <c r="AG8" i="22"/>
  <c r="AF8" i="22"/>
  <c r="AE8" i="22"/>
  <c r="AD8" i="22"/>
  <c r="AC8" i="22"/>
  <c r="X8" i="22"/>
  <c r="W8" i="22"/>
  <c r="V8" i="22"/>
  <c r="BE6" i="22"/>
  <c r="BD6" i="22"/>
  <c r="BC6" i="22"/>
  <c r="BB6" i="22"/>
  <c r="BA6" i="22"/>
  <c r="AZ6" i="22"/>
  <c r="AY6" i="22"/>
  <c r="AX6" i="22"/>
  <c r="AW6" i="22"/>
  <c r="AV6" i="22"/>
  <c r="AU6" i="22"/>
  <c r="AT6" i="22"/>
  <c r="AS6" i="22"/>
  <c r="AR6" i="22"/>
  <c r="AQ6" i="22"/>
  <c r="AP6" i="22"/>
  <c r="AO6" i="22"/>
  <c r="AN6" i="22"/>
  <c r="AM6" i="22"/>
  <c r="AL6" i="22"/>
  <c r="AK6" i="22"/>
  <c r="AJ6" i="22"/>
  <c r="AI6" i="22"/>
  <c r="AH6" i="22"/>
  <c r="AG6" i="22"/>
  <c r="AF6" i="22"/>
  <c r="AE6" i="22"/>
  <c r="AD6" i="22"/>
  <c r="AC6" i="22"/>
  <c r="AB6" i="22"/>
  <c r="AA6" i="22"/>
  <c r="Z6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H6" i="22"/>
  <c r="G6" i="22"/>
  <c r="F6" i="22"/>
  <c r="E6" i="22"/>
  <c r="D6" i="22"/>
  <c r="D7" i="22" s="1"/>
  <c r="C6" i="22"/>
  <c r="C7" i="22" s="1"/>
  <c r="B6" i="22"/>
  <c r="B7" i="22" s="1"/>
  <c r="BE7" i="22"/>
  <c r="FQ6" i="7"/>
  <c r="FR6" i="7"/>
  <c r="FS6" i="7"/>
  <c r="FT6" i="7"/>
  <c r="FU6" i="7"/>
  <c r="FV6" i="7"/>
  <c r="FW6" i="7"/>
  <c r="FX6" i="7"/>
  <c r="FY6" i="7"/>
  <c r="FZ6" i="7"/>
  <c r="F16" i="16"/>
  <c r="F17" i="16"/>
  <c r="E4" i="16"/>
  <c r="E7" i="16"/>
  <c r="E8" i="16"/>
  <c r="M18" i="16"/>
  <c r="G10" i="16"/>
  <c r="G18" i="16" s="1"/>
  <c r="E12" i="16"/>
  <c r="D15" i="18"/>
  <c r="D16" i="18"/>
  <c r="D18" i="18"/>
  <c r="E29" i="18" l="1"/>
  <c r="F30" i="18"/>
  <c r="F35" i="18"/>
  <c r="E36" i="18"/>
  <c r="C41" i="18"/>
  <c r="E44" i="18"/>
  <c r="E46" i="18"/>
  <c r="F5" i="16"/>
  <c r="D4" i="18"/>
  <c r="A62" i="18"/>
  <c r="E18" i="16"/>
  <c r="K52" i="16" l="1"/>
  <c r="K5" i="16"/>
  <c r="K4" i="16"/>
  <c r="K3" i="16"/>
  <c r="K18" i="16" l="1"/>
  <c r="BC4" i="22"/>
  <c r="BD4" i="22"/>
  <c r="BC7" i="22" l="1"/>
  <c r="BD7" i="22"/>
  <c r="FP3" i="21"/>
  <c r="FO3" i="21"/>
  <c r="FN3" i="21"/>
  <c r="FM3" i="21"/>
  <c r="FL3" i="21"/>
  <c r="FK3" i="21"/>
  <c r="FJ3" i="21"/>
  <c r="FI3" i="21"/>
  <c r="FH3" i="21"/>
  <c r="FG3" i="21"/>
  <c r="FF3" i="21"/>
  <c r="FE3" i="21"/>
  <c r="FD3" i="21"/>
  <c r="FC3" i="21"/>
  <c r="FB3" i="21"/>
  <c r="FA3" i="21"/>
  <c r="EZ3" i="21"/>
  <c r="EY3" i="21"/>
  <c r="EX3" i="21"/>
  <c r="EW3" i="21"/>
  <c r="EV3" i="21"/>
  <c r="EU3" i="21"/>
  <c r="ET3" i="21"/>
  <c r="ES3" i="21"/>
  <c r="ER3" i="21"/>
  <c r="EQ3" i="21"/>
  <c r="EP3" i="21"/>
  <c r="EO3" i="21"/>
  <c r="EN3" i="21"/>
  <c r="EM3" i="21"/>
  <c r="EL3" i="21"/>
  <c r="EK3" i="21"/>
  <c r="EJ3" i="21"/>
  <c r="EI3" i="21"/>
  <c r="EH3" i="21"/>
  <c r="EG3" i="21"/>
  <c r="EF3" i="21"/>
  <c r="EE3" i="21"/>
  <c r="ED3" i="21"/>
  <c r="EC3" i="21"/>
  <c r="EB3" i="21"/>
  <c r="EA3" i="21"/>
  <c r="DZ3" i="21"/>
  <c r="DY3" i="21"/>
  <c r="DX3" i="21"/>
  <c r="DW3" i="21"/>
  <c r="DV3" i="21"/>
  <c r="DU3" i="21"/>
  <c r="DT3" i="21"/>
  <c r="DS3" i="21"/>
  <c r="DR3" i="21"/>
  <c r="DQ3" i="21"/>
  <c r="DP3" i="21"/>
  <c r="DO3" i="21"/>
  <c r="DN3" i="21"/>
  <c r="DM3" i="21"/>
  <c r="DL3" i="21"/>
  <c r="DK3" i="21"/>
  <c r="DJ3" i="21"/>
  <c r="DI3" i="21"/>
  <c r="DH3" i="21"/>
  <c r="DG3" i="21"/>
  <c r="DF3" i="21"/>
  <c r="DE3" i="21"/>
  <c r="DD3" i="21"/>
  <c r="DC3" i="21"/>
  <c r="DB3" i="21"/>
  <c r="DA3" i="21"/>
  <c r="CZ3" i="21"/>
  <c r="CY3" i="21"/>
  <c r="CX3" i="21"/>
  <c r="CW3" i="21"/>
  <c r="CV3" i="21"/>
  <c r="CU3" i="21"/>
  <c r="CT3" i="21"/>
  <c r="CS3" i="21"/>
  <c r="CR3" i="21"/>
  <c r="CQ3" i="21"/>
  <c r="CP3" i="21"/>
  <c r="CO3" i="21"/>
  <c r="CN3" i="21"/>
  <c r="CM3" i="21"/>
  <c r="CL3" i="21"/>
  <c r="CK3" i="21"/>
  <c r="CJ3" i="21"/>
  <c r="CI3" i="21"/>
  <c r="CH3" i="21"/>
  <c r="CG3" i="21"/>
  <c r="CF3" i="21"/>
  <c r="CE3" i="21"/>
  <c r="CD3" i="21"/>
  <c r="CC3" i="21"/>
  <c r="CB3" i="21"/>
  <c r="CA3" i="21"/>
  <c r="BZ3" i="21"/>
  <c r="BY3" i="21"/>
  <c r="BX3" i="21"/>
  <c r="BW3" i="21"/>
  <c r="BV3" i="21"/>
  <c r="BU3" i="21"/>
  <c r="BT3" i="21"/>
  <c r="BS3" i="21"/>
  <c r="BR3" i="21"/>
  <c r="BQ3" i="21"/>
  <c r="BP3" i="21"/>
  <c r="BO3" i="21"/>
  <c r="BN3" i="21"/>
  <c r="BM3" i="21"/>
  <c r="BL3" i="21"/>
  <c r="BK3" i="21"/>
  <c r="BJ3" i="21"/>
  <c r="BI3" i="21"/>
  <c r="BH3" i="21"/>
  <c r="BG3" i="21"/>
  <c r="BF3" i="21"/>
  <c r="BE3" i="21"/>
  <c r="BD3" i="21"/>
  <c r="BC3" i="21"/>
  <c r="BB3" i="21"/>
  <c r="BA3" i="21"/>
  <c r="AZ3" i="21"/>
  <c r="AY3" i="21"/>
  <c r="AX3" i="21"/>
  <c r="AW3" i="21"/>
  <c r="AV3" i="21"/>
  <c r="AU3" i="21"/>
  <c r="AT3" i="21"/>
  <c r="AS3" i="21"/>
  <c r="AR3" i="21"/>
  <c r="AQ3" i="21"/>
  <c r="AP3" i="21"/>
  <c r="AO3" i="21"/>
  <c r="AN3" i="21"/>
  <c r="AM3" i="21"/>
  <c r="AL3" i="21"/>
  <c r="AK3" i="21"/>
  <c r="AJ3" i="21"/>
  <c r="AI3" i="21"/>
  <c r="AH3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BB4" i="22" l="1"/>
  <c r="BA4" i="22"/>
  <c r="AZ4" i="22"/>
  <c r="AY4" i="22"/>
  <c r="AX4" i="22"/>
  <c r="AW4" i="22"/>
  <c r="AV4" i="22"/>
  <c r="AU4" i="22"/>
  <c r="AT4" i="22"/>
  <c r="AS4" i="22"/>
  <c r="AR4" i="22"/>
  <c r="AQ4" i="22"/>
  <c r="AP4" i="22"/>
  <c r="AO4" i="22"/>
  <c r="AN4" i="22"/>
  <c r="AM4" i="22"/>
  <c r="AL4" i="22"/>
  <c r="AK4" i="22"/>
  <c r="AJ4" i="22"/>
  <c r="AI4" i="22"/>
  <c r="AH4" i="22"/>
  <c r="AG4" i="22"/>
  <c r="AF4" i="22"/>
  <c r="AE4" i="22"/>
  <c r="AD4" i="22"/>
  <c r="AC4" i="22"/>
  <c r="AB4" i="22"/>
  <c r="AA4" i="22"/>
  <c r="Z4" i="22"/>
  <c r="Y4" i="22"/>
  <c r="X4" i="22"/>
  <c r="W4" i="22"/>
  <c r="V4" i="22"/>
  <c r="U4" i="22"/>
  <c r="T4" i="22"/>
  <c r="S4" i="22"/>
  <c r="R4" i="22"/>
  <c r="Q4" i="22"/>
  <c r="P4" i="22"/>
  <c r="O4" i="22"/>
  <c r="N4" i="22"/>
  <c r="M4" i="22"/>
  <c r="L4" i="22"/>
  <c r="K4" i="22"/>
  <c r="J4" i="22"/>
  <c r="I4" i="22"/>
  <c r="H4" i="22"/>
  <c r="G4" i="22"/>
  <c r="F4" i="22"/>
  <c r="E4" i="22"/>
  <c r="BB7" i="22" l="1"/>
  <c r="BA7" i="22"/>
  <c r="AZ7" i="22"/>
  <c r="AY7" i="22"/>
  <c r="AX7" i="22"/>
  <c r="AW7" i="22"/>
  <c r="AV7" i="22"/>
  <c r="AU7" i="22"/>
  <c r="AT7" i="22"/>
  <c r="AS7" i="22"/>
  <c r="AR7" i="22"/>
  <c r="AQ7" i="22"/>
  <c r="AP7" i="22"/>
  <c r="AO7" i="22"/>
  <c r="AN7" i="22"/>
  <c r="AM7" i="22"/>
  <c r="AL7" i="22"/>
  <c r="AK7" i="22"/>
  <c r="AJ7" i="22"/>
  <c r="AI7" i="22"/>
  <c r="AH7" i="22"/>
  <c r="AG7" i="22"/>
  <c r="AF7" i="22"/>
  <c r="AE7" i="22"/>
  <c r="AD7" i="22"/>
  <c r="AC7" i="22"/>
  <c r="AB7" i="22"/>
  <c r="AA7" i="22"/>
  <c r="Z7" i="22"/>
  <c r="Y7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H7" i="22"/>
  <c r="G7" i="22"/>
  <c r="F7" i="22"/>
  <c r="E7" i="22"/>
  <c r="B8" i="21"/>
  <c r="B10" i="21" s="1"/>
  <c r="FA50" i="3" l="1"/>
  <c r="EZ50" i="3"/>
  <c r="EY50" i="3"/>
  <c r="EX50" i="3"/>
  <c r="EW50" i="3"/>
  <c r="EV50" i="3"/>
  <c r="EU50" i="3"/>
  <c r="ET50" i="3"/>
  <c r="ES50" i="3"/>
  <c r="ER50" i="3"/>
  <c r="EQ50" i="3"/>
  <c r="EP50" i="3"/>
  <c r="EO50" i="3"/>
  <c r="EN50" i="3"/>
  <c r="EM50" i="3"/>
  <c r="EL50" i="3"/>
  <c r="EK50" i="3"/>
  <c r="EJ50" i="3"/>
  <c r="EI50" i="3"/>
  <c r="EH50" i="3"/>
  <c r="EG50" i="3"/>
  <c r="EF50" i="3"/>
  <c r="EE50" i="3"/>
  <c r="ED50" i="3"/>
  <c r="EC50" i="3"/>
  <c r="EB50" i="3"/>
  <c r="EA50" i="3"/>
  <c r="DZ50" i="3"/>
  <c r="DY50" i="3"/>
  <c r="DX50" i="3"/>
  <c r="DW50" i="3"/>
  <c r="DV50" i="3"/>
  <c r="DU50" i="3"/>
  <c r="DT50" i="3"/>
  <c r="DS50" i="3"/>
  <c r="DR50" i="3"/>
  <c r="DQ50" i="3"/>
  <c r="DP50" i="3"/>
  <c r="DO50" i="3"/>
  <c r="DN50" i="3"/>
  <c r="DM50" i="3"/>
  <c r="DL50" i="3"/>
  <c r="DK50" i="3"/>
  <c r="DJ50" i="3"/>
  <c r="DI50" i="3"/>
  <c r="DH50" i="3"/>
  <c r="DG50" i="3"/>
  <c r="DF50" i="3"/>
  <c r="DE50" i="3"/>
  <c r="DD50" i="3"/>
  <c r="DC50" i="3"/>
  <c r="DB50" i="3"/>
  <c r="DA50" i="3"/>
  <c r="CZ50" i="3"/>
  <c r="CY50" i="3"/>
  <c r="CX50" i="3"/>
  <c r="CW50" i="3"/>
  <c r="CV50" i="3"/>
  <c r="CU50" i="3"/>
  <c r="CT50" i="3"/>
  <c r="CS50" i="3"/>
  <c r="CR50" i="3"/>
  <c r="CQ50" i="3"/>
  <c r="CP50" i="3"/>
  <c r="CO50" i="3"/>
  <c r="CN50" i="3"/>
  <c r="CM50" i="3"/>
  <c r="CL50" i="3"/>
  <c r="CK50" i="3"/>
  <c r="CJ50" i="3"/>
  <c r="CI50" i="3"/>
  <c r="CH50" i="3"/>
  <c r="CG50" i="3"/>
  <c r="CF50" i="3"/>
  <c r="CE50" i="3"/>
  <c r="CD50" i="3"/>
  <c r="CC50" i="3"/>
  <c r="CB50" i="3"/>
  <c r="CA50" i="3"/>
  <c r="BZ50" i="3"/>
  <c r="BY50" i="3"/>
  <c r="BX50" i="3"/>
  <c r="BW50" i="3"/>
  <c r="BV50" i="3"/>
  <c r="BU50" i="3"/>
  <c r="BT50" i="3"/>
  <c r="BS50" i="3"/>
  <c r="BR50" i="3"/>
  <c r="BQ50" i="3"/>
  <c r="BP50" i="3"/>
  <c r="BO50" i="3"/>
  <c r="BN50" i="3"/>
  <c r="BM50" i="3"/>
  <c r="BL50" i="3"/>
  <c r="BK50" i="3"/>
  <c r="BJ50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FA49" i="3"/>
  <c r="EZ49" i="3"/>
  <c r="EY49" i="3"/>
  <c r="EX49" i="3"/>
  <c r="EW49" i="3"/>
  <c r="EV49" i="3"/>
  <c r="EU49" i="3"/>
  <c r="ET49" i="3"/>
  <c r="ES49" i="3"/>
  <c r="ER49" i="3"/>
  <c r="EQ49" i="3"/>
  <c r="EP49" i="3"/>
  <c r="EO49" i="3"/>
  <c r="EN49" i="3"/>
  <c r="EM49" i="3"/>
  <c r="EL49" i="3"/>
  <c r="EK49" i="3"/>
  <c r="EJ49" i="3"/>
  <c r="EI49" i="3"/>
  <c r="EH49" i="3"/>
  <c r="EG49" i="3"/>
  <c r="EF49" i="3"/>
  <c r="EE49" i="3"/>
  <c r="ED49" i="3"/>
  <c r="EC49" i="3"/>
  <c r="EB49" i="3"/>
  <c r="EA49" i="3"/>
  <c r="DZ49" i="3"/>
  <c r="DY49" i="3"/>
  <c r="DX49" i="3"/>
  <c r="DW49" i="3"/>
  <c r="DV49" i="3"/>
  <c r="DU49" i="3"/>
  <c r="DT49" i="3"/>
  <c r="DS49" i="3"/>
  <c r="DR49" i="3"/>
  <c r="DQ49" i="3"/>
  <c r="DP49" i="3"/>
  <c r="DO49" i="3"/>
  <c r="DN49" i="3"/>
  <c r="DM49" i="3"/>
  <c r="DL49" i="3"/>
  <c r="DK49" i="3"/>
  <c r="DJ49" i="3"/>
  <c r="DI49" i="3"/>
  <c r="DH49" i="3"/>
  <c r="DG49" i="3"/>
  <c r="DF49" i="3"/>
  <c r="DE49" i="3"/>
  <c r="DD49" i="3"/>
  <c r="DC49" i="3"/>
  <c r="DB49" i="3"/>
  <c r="DA49" i="3"/>
  <c r="CZ49" i="3"/>
  <c r="CY49" i="3"/>
  <c r="CX49" i="3"/>
  <c r="CW49" i="3"/>
  <c r="CV49" i="3"/>
  <c r="CU49" i="3"/>
  <c r="CT49" i="3"/>
  <c r="CS49" i="3"/>
  <c r="CR49" i="3"/>
  <c r="CQ49" i="3"/>
  <c r="CP49" i="3"/>
  <c r="CO49" i="3"/>
  <c r="CN49" i="3"/>
  <c r="CM49" i="3"/>
  <c r="CL49" i="3"/>
  <c r="CK49" i="3"/>
  <c r="CJ49" i="3"/>
  <c r="CI49" i="3"/>
  <c r="CH49" i="3"/>
  <c r="CG49" i="3"/>
  <c r="CF49" i="3"/>
  <c r="CE49" i="3"/>
  <c r="CD49" i="3"/>
  <c r="CC49" i="3"/>
  <c r="CB49" i="3"/>
  <c r="CA49" i="3"/>
  <c r="BZ49" i="3"/>
  <c r="BY49" i="3"/>
  <c r="BX49" i="3"/>
  <c r="BW49" i="3"/>
  <c r="BV49" i="3"/>
  <c r="BU49" i="3"/>
  <c r="BT49" i="3"/>
  <c r="BS49" i="3"/>
  <c r="BR49" i="3"/>
  <c r="BQ49" i="3"/>
  <c r="BP49" i="3"/>
  <c r="BO49" i="3"/>
  <c r="BN49" i="3"/>
  <c r="BM49" i="3"/>
  <c r="BL49" i="3"/>
  <c r="BK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FA48" i="3"/>
  <c r="EZ48" i="3"/>
  <c r="EY48" i="3"/>
  <c r="EX48" i="3"/>
  <c r="EW48" i="3"/>
  <c r="EV48" i="3"/>
  <c r="EU48" i="3"/>
  <c r="ET48" i="3"/>
  <c r="ES48" i="3"/>
  <c r="ER48" i="3"/>
  <c r="EQ48" i="3"/>
  <c r="EP48" i="3"/>
  <c r="EO48" i="3"/>
  <c r="EN48" i="3"/>
  <c r="EM48" i="3"/>
  <c r="EL48" i="3"/>
  <c r="EK48" i="3"/>
  <c r="EJ48" i="3"/>
  <c r="EI48" i="3"/>
  <c r="EH48" i="3"/>
  <c r="EG48" i="3"/>
  <c r="EF48" i="3"/>
  <c r="EE48" i="3"/>
  <c r="ED48" i="3"/>
  <c r="EC48" i="3"/>
  <c r="EB48" i="3"/>
  <c r="EA48" i="3"/>
  <c r="DZ48" i="3"/>
  <c r="DY48" i="3"/>
  <c r="DX48" i="3"/>
  <c r="DW48" i="3"/>
  <c r="DV48" i="3"/>
  <c r="DU48" i="3"/>
  <c r="DT48" i="3"/>
  <c r="DS48" i="3"/>
  <c r="DR48" i="3"/>
  <c r="DQ48" i="3"/>
  <c r="DP48" i="3"/>
  <c r="DO48" i="3"/>
  <c r="DN48" i="3"/>
  <c r="DM48" i="3"/>
  <c r="DL48" i="3"/>
  <c r="DK48" i="3"/>
  <c r="DJ48" i="3"/>
  <c r="DI48" i="3"/>
  <c r="DH48" i="3"/>
  <c r="DG48" i="3"/>
  <c r="DF48" i="3"/>
  <c r="DE48" i="3"/>
  <c r="DD48" i="3"/>
  <c r="DC48" i="3"/>
  <c r="DB48" i="3"/>
  <c r="DA48" i="3"/>
  <c r="CZ48" i="3"/>
  <c r="CY48" i="3"/>
  <c r="CX48" i="3"/>
  <c r="CW48" i="3"/>
  <c r="CV48" i="3"/>
  <c r="CU48" i="3"/>
  <c r="CT48" i="3"/>
  <c r="CS48" i="3"/>
  <c r="CR48" i="3"/>
  <c r="CQ48" i="3"/>
  <c r="CP48" i="3"/>
  <c r="CO48" i="3"/>
  <c r="CN48" i="3"/>
  <c r="CM48" i="3"/>
  <c r="CL48" i="3"/>
  <c r="CK48" i="3"/>
  <c r="CJ48" i="3"/>
  <c r="CI48" i="3"/>
  <c r="CH48" i="3"/>
  <c r="CG48" i="3"/>
  <c r="CF48" i="3"/>
  <c r="CE48" i="3"/>
  <c r="CD48" i="3"/>
  <c r="CC48" i="3"/>
  <c r="CB48" i="3"/>
  <c r="CA48" i="3"/>
  <c r="BZ48" i="3"/>
  <c r="BY48" i="3"/>
  <c r="BX48" i="3"/>
  <c r="BW48" i="3"/>
  <c r="BV48" i="3"/>
  <c r="BU48" i="3"/>
  <c r="BT48" i="3"/>
  <c r="BS48" i="3"/>
  <c r="BR48" i="3"/>
  <c r="BQ48" i="3"/>
  <c r="BP48" i="3"/>
  <c r="BO48" i="3"/>
  <c r="BN48" i="3"/>
  <c r="BM48" i="3"/>
  <c r="BL48" i="3"/>
  <c r="BK48" i="3"/>
  <c r="BJ48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FA47" i="3"/>
  <c r="EZ47" i="3"/>
  <c r="EY47" i="3"/>
  <c r="EX47" i="3"/>
  <c r="EW47" i="3"/>
  <c r="EV47" i="3"/>
  <c r="EU47" i="3"/>
  <c r="ET47" i="3"/>
  <c r="ES47" i="3"/>
  <c r="ER47" i="3"/>
  <c r="EQ47" i="3"/>
  <c r="EP47" i="3"/>
  <c r="EO47" i="3"/>
  <c r="EN47" i="3"/>
  <c r="EM47" i="3"/>
  <c r="EL47" i="3"/>
  <c r="EK47" i="3"/>
  <c r="EJ47" i="3"/>
  <c r="EI47" i="3"/>
  <c r="EH47" i="3"/>
  <c r="EG47" i="3"/>
  <c r="EF47" i="3"/>
  <c r="EE47" i="3"/>
  <c r="ED47" i="3"/>
  <c r="EC47" i="3"/>
  <c r="EB47" i="3"/>
  <c r="EA47" i="3"/>
  <c r="DZ47" i="3"/>
  <c r="DY47" i="3"/>
  <c r="DX47" i="3"/>
  <c r="DW47" i="3"/>
  <c r="DV47" i="3"/>
  <c r="DU47" i="3"/>
  <c r="DT47" i="3"/>
  <c r="DS47" i="3"/>
  <c r="DR47" i="3"/>
  <c r="DQ47" i="3"/>
  <c r="DP47" i="3"/>
  <c r="DO47" i="3"/>
  <c r="DN47" i="3"/>
  <c r="DM47" i="3"/>
  <c r="DL47" i="3"/>
  <c r="DK47" i="3"/>
  <c r="DJ47" i="3"/>
  <c r="DI47" i="3"/>
  <c r="DH47" i="3"/>
  <c r="DG47" i="3"/>
  <c r="DF47" i="3"/>
  <c r="DE47" i="3"/>
  <c r="DD47" i="3"/>
  <c r="DC47" i="3"/>
  <c r="DB47" i="3"/>
  <c r="DA47" i="3"/>
  <c r="CZ47" i="3"/>
  <c r="CY47" i="3"/>
  <c r="CX47" i="3"/>
  <c r="CW47" i="3"/>
  <c r="CV47" i="3"/>
  <c r="CU47" i="3"/>
  <c r="CT47" i="3"/>
  <c r="CS47" i="3"/>
  <c r="CR47" i="3"/>
  <c r="CQ47" i="3"/>
  <c r="CP47" i="3"/>
  <c r="CO47" i="3"/>
  <c r="CN47" i="3"/>
  <c r="CM47" i="3"/>
  <c r="CL47" i="3"/>
  <c r="CK47" i="3"/>
  <c r="CJ47" i="3"/>
  <c r="CI47" i="3"/>
  <c r="CH47" i="3"/>
  <c r="CG47" i="3"/>
  <c r="CF47" i="3"/>
  <c r="CE47" i="3"/>
  <c r="CD47" i="3"/>
  <c r="CC47" i="3"/>
  <c r="CB47" i="3"/>
  <c r="CA47" i="3"/>
  <c r="BZ47" i="3"/>
  <c r="BY47" i="3"/>
  <c r="BX47" i="3"/>
  <c r="BW47" i="3"/>
  <c r="BV47" i="3"/>
  <c r="BU47" i="3"/>
  <c r="BT47" i="3"/>
  <c r="BS47" i="3"/>
  <c r="BR47" i="3"/>
  <c r="BQ47" i="3"/>
  <c r="BP47" i="3"/>
  <c r="BO47" i="3"/>
  <c r="BN47" i="3"/>
  <c r="BM47" i="3"/>
  <c r="BL47" i="3"/>
  <c r="BK47" i="3"/>
  <c r="BJ47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FA46" i="3"/>
  <c r="EZ46" i="3"/>
  <c r="EY46" i="3"/>
  <c r="EX46" i="3"/>
  <c r="EW46" i="3"/>
  <c r="EV46" i="3"/>
  <c r="EU46" i="3"/>
  <c r="ET46" i="3"/>
  <c r="ES46" i="3"/>
  <c r="ER46" i="3"/>
  <c r="EQ46" i="3"/>
  <c r="EP46" i="3"/>
  <c r="EO46" i="3"/>
  <c r="EN46" i="3"/>
  <c r="EM46" i="3"/>
  <c r="EL46" i="3"/>
  <c r="EK46" i="3"/>
  <c r="EJ46" i="3"/>
  <c r="EI46" i="3"/>
  <c r="EH46" i="3"/>
  <c r="EG46" i="3"/>
  <c r="EF46" i="3"/>
  <c r="EE46" i="3"/>
  <c r="ED46" i="3"/>
  <c r="EC46" i="3"/>
  <c r="EB46" i="3"/>
  <c r="EA46" i="3"/>
  <c r="DZ46" i="3"/>
  <c r="DY46" i="3"/>
  <c r="DX46" i="3"/>
  <c r="DW46" i="3"/>
  <c r="DV46" i="3"/>
  <c r="DU46" i="3"/>
  <c r="DT46" i="3"/>
  <c r="DS46" i="3"/>
  <c r="DR46" i="3"/>
  <c r="DQ46" i="3"/>
  <c r="DP46" i="3"/>
  <c r="DO46" i="3"/>
  <c r="DN46" i="3"/>
  <c r="DM46" i="3"/>
  <c r="DL46" i="3"/>
  <c r="DK46" i="3"/>
  <c r="DJ46" i="3"/>
  <c r="DI46" i="3"/>
  <c r="DH46" i="3"/>
  <c r="DG46" i="3"/>
  <c r="DF46" i="3"/>
  <c r="DE46" i="3"/>
  <c r="DD46" i="3"/>
  <c r="DC46" i="3"/>
  <c r="DB46" i="3"/>
  <c r="DA46" i="3"/>
  <c r="CZ46" i="3"/>
  <c r="CY46" i="3"/>
  <c r="CX46" i="3"/>
  <c r="CW46" i="3"/>
  <c r="CV46" i="3"/>
  <c r="CU46" i="3"/>
  <c r="CT46" i="3"/>
  <c r="CS46" i="3"/>
  <c r="CR46" i="3"/>
  <c r="CQ46" i="3"/>
  <c r="CP46" i="3"/>
  <c r="CO46" i="3"/>
  <c r="CN46" i="3"/>
  <c r="CM46" i="3"/>
  <c r="CL46" i="3"/>
  <c r="CK46" i="3"/>
  <c r="CJ46" i="3"/>
  <c r="CI46" i="3"/>
  <c r="CH46" i="3"/>
  <c r="CG46" i="3"/>
  <c r="CF46" i="3"/>
  <c r="CE46" i="3"/>
  <c r="CD46" i="3"/>
  <c r="CC46" i="3"/>
  <c r="CB46" i="3"/>
  <c r="CA46" i="3"/>
  <c r="BZ46" i="3"/>
  <c r="BY46" i="3"/>
  <c r="BX46" i="3"/>
  <c r="BW46" i="3"/>
  <c r="BV46" i="3"/>
  <c r="BU46" i="3"/>
  <c r="BT46" i="3"/>
  <c r="BS46" i="3"/>
  <c r="BR46" i="3"/>
  <c r="BQ46" i="3"/>
  <c r="BP46" i="3"/>
  <c r="BO46" i="3"/>
  <c r="BN46" i="3"/>
  <c r="BM46" i="3"/>
  <c r="BL46" i="3"/>
  <c r="BK46" i="3"/>
  <c r="BJ46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FA45" i="3"/>
  <c r="EZ45" i="3"/>
  <c r="EY45" i="3"/>
  <c r="EX45" i="3"/>
  <c r="EW45" i="3"/>
  <c r="EV45" i="3"/>
  <c r="EU45" i="3"/>
  <c r="ET45" i="3"/>
  <c r="ES45" i="3"/>
  <c r="ER45" i="3"/>
  <c r="EQ45" i="3"/>
  <c r="EP45" i="3"/>
  <c r="EO45" i="3"/>
  <c r="EN45" i="3"/>
  <c r="EM45" i="3"/>
  <c r="EL45" i="3"/>
  <c r="EK45" i="3"/>
  <c r="EJ45" i="3"/>
  <c r="EI45" i="3"/>
  <c r="EH45" i="3"/>
  <c r="EG45" i="3"/>
  <c r="EF45" i="3"/>
  <c r="EE45" i="3"/>
  <c r="ED45" i="3"/>
  <c r="EC45" i="3"/>
  <c r="EB45" i="3"/>
  <c r="EA45" i="3"/>
  <c r="DZ45" i="3"/>
  <c r="DY45" i="3"/>
  <c r="DX45" i="3"/>
  <c r="DW45" i="3"/>
  <c r="DV45" i="3"/>
  <c r="DU45" i="3"/>
  <c r="DT45" i="3"/>
  <c r="DS45" i="3"/>
  <c r="DR45" i="3"/>
  <c r="DQ45" i="3"/>
  <c r="DP45" i="3"/>
  <c r="DO45" i="3"/>
  <c r="DN45" i="3"/>
  <c r="DM45" i="3"/>
  <c r="DL45" i="3"/>
  <c r="DK45" i="3"/>
  <c r="DJ45" i="3"/>
  <c r="DI45" i="3"/>
  <c r="DH45" i="3"/>
  <c r="DG45" i="3"/>
  <c r="DF45" i="3"/>
  <c r="DE45" i="3"/>
  <c r="DD45" i="3"/>
  <c r="DC45" i="3"/>
  <c r="DB45" i="3"/>
  <c r="DA45" i="3"/>
  <c r="CZ45" i="3"/>
  <c r="CY45" i="3"/>
  <c r="CX45" i="3"/>
  <c r="CW45" i="3"/>
  <c r="CV45" i="3"/>
  <c r="CU45" i="3"/>
  <c r="CT45" i="3"/>
  <c r="CS45" i="3"/>
  <c r="CR45" i="3"/>
  <c r="CQ45" i="3"/>
  <c r="CP45" i="3"/>
  <c r="CO45" i="3"/>
  <c r="CN45" i="3"/>
  <c r="CM45" i="3"/>
  <c r="CL45" i="3"/>
  <c r="CK45" i="3"/>
  <c r="CJ45" i="3"/>
  <c r="CI45" i="3"/>
  <c r="CH45" i="3"/>
  <c r="CG45" i="3"/>
  <c r="CF45" i="3"/>
  <c r="CE45" i="3"/>
  <c r="CD45" i="3"/>
  <c r="CC45" i="3"/>
  <c r="CB45" i="3"/>
  <c r="CA45" i="3"/>
  <c r="BZ45" i="3"/>
  <c r="BY45" i="3"/>
  <c r="BX45" i="3"/>
  <c r="BW45" i="3"/>
  <c r="BV45" i="3"/>
  <c r="BU45" i="3"/>
  <c r="BT45" i="3"/>
  <c r="BS45" i="3"/>
  <c r="BR45" i="3"/>
  <c r="BQ45" i="3"/>
  <c r="BP45" i="3"/>
  <c r="BO45" i="3"/>
  <c r="BN45" i="3"/>
  <c r="BM45" i="3"/>
  <c r="BL45" i="3"/>
  <c r="BK45" i="3"/>
  <c r="BJ45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FA44" i="3"/>
  <c r="EZ44" i="3"/>
  <c r="EY44" i="3"/>
  <c r="EX44" i="3"/>
  <c r="EW44" i="3"/>
  <c r="EV44" i="3"/>
  <c r="EU44" i="3"/>
  <c r="ET44" i="3"/>
  <c r="ES44" i="3"/>
  <c r="ER44" i="3"/>
  <c r="EQ44" i="3"/>
  <c r="EP44" i="3"/>
  <c r="EO44" i="3"/>
  <c r="EN44" i="3"/>
  <c r="EM44" i="3"/>
  <c r="EL44" i="3"/>
  <c r="EK44" i="3"/>
  <c r="EJ44" i="3"/>
  <c r="EI44" i="3"/>
  <c r="EH44" i="3"/>
  <c r="EG44" i="3"/>
  <c r="EF44" i="3"/>
  <c r="EE44" i="3"/>
  <c r="ED44" i="3"/>
  <c r="EC44" i="3"/>
  <c r="EB44" i="3"/>
  <c r="EA44" i="3"/>
  <c r="DZ44" i="3"/>
  <c r="DY44" i="3"/>
  <c r="DX44" i="3"/>
  <c r="DW44" i="3"/>
  <c r="DV44" i="3"/>
  <c r="DU44" i="3"/>
  <c r="DT44" i="3"/>
  <c r="DS44" i="3"/>
  <c r="DR44" i="3"/>
  <c r="DQ44" i="3"/>
  <c r="DP44" i="3"/>
  <c r="DO44" i="3"/>
  <c r="DN44" i="3"/>
  <c r="DM44" i="3"/>
  <c r="DL44" i="3"/>
  <c r="DK44" i="3"/>
  <c r="DJ44" i="3"/>
  <c r="DI44" i="3"/>
  <c r="DH44" i="3"/>
  <c r="DG44" i="3"/>
  <c r="DF44" i="3"/>
  <c r="DE44" i="3"/>
  <c r="DD44" i="3"/>
  <c r="DC44" i="3"/>
  <c r="DB44" i="3"/>
  <c r="DA44" i="3"/>
  <c r="CZ44" i="3"/>
  <c r="CY44" i="3"/>
  <c r="CX44" i="3"/>
  <c r="CW44" i="3"/>
  <c r="CV44" i="3"/>
  <c r="CU44" i="3"/>
  <c r="CT44" i="3"/>
  <c r="CS44" i="3"/>
  <c r="CR44" i="3"/>
  <c r="CQ44" i="3"/>
  <c r="CP44" i="3"/>
  <c r="CO44" i="3"/>
  <c r="CN44" i="3"/>
  <c r="CM44" i="3"/>
  <c r="CL44" i="3"/>
  <c r="CK44" i="3"/>
  <c r="CJ44" i="3"/>
  <c r="CI44" i="3"/>
  <c r="CH44" i="3"/>
  <c r="CG44" i="3"/>
  <c r="CF44" i="3"/>
  <c r="CE44" i="3"/>
  <c r="CD44" i="3"/>
  <c r="CC44" i="3"/>
  <c r="CB44" i="3"/>
  <c r="CA44" i="3"/>
  <c r="BZ44" i="3"/>
  <c r="BY44" i="3"/>
  <c r="BX44" i="3"/>
  <c r="BW44" i="3"/>
  <c r="BV44" i="3"/>
  <c r="BU44" i="3"/>
  <c r="BT44" i="3"/>
  <c r="BS44" i="3"/>
  <c r="BR44" i="3"/>
  <c r="BQ44" i="3"/>
  <c r="BP44" i="3"/>
  <c r="BO44" i="3"/>
  <c r="BN44" i="3"/>
  <c r="BM44" i="3"/>
  <c r="BL44" i="3"/>
  <c r="BK44" i="3"/>
  <c r="BJ44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FA43" i="3"/>
  <c r="EZ43" i="3"/>
  <c r="EY43" i="3"/>
  <c r="EX43" i="3"/>
  <c r="EW43" i="3"/>
  <c r="EV43" i="3"/>
  <c r="EU43" i="3"/>
  <c r="ET43" i="3"/>
  <c r="ES43" i="3"/>
  <c r="ER43" i="3"/>
  <c r="EQ43" i="3"/>
  <c r="EP43" i="3"/>
  <c r="EO43" i="3"/>
  <c r="EN43" i="3"/>
  <c r="EM43" i="3"/>
  <c r="EL43" i="3"/>
  <c r="EK43" i="3"/>
  <c r="EJ43" i="3"/>
  <c r="EI43" i="3"/>
  <c r="EH43" i="3"/>
  <c r="EG43" i="3"/>
  <c r="EF43" i="3"/>
  <c r="EE43" i="3"/>
  <c r="ED43" i="3"/>
  <c r="EC43" i="3"/>
  <c r="EB43" i="3"/>
  <c r="EA43" i="3"/>
  <c r="DZ43" i="3"/>
  <c r="DY43" i="3"/>
  <c r="DX43" i="3"/>
  <c r="DW43" i="3"/>
  <c r="DV43" i="3"/>
  <c r="DU43" i="3"/>
  <c r="DT43" i="3"/>
  <c r="DS43" i="3"/>
  <c r="DR43" i="3"/>
  <c r="DQ43" i="3"/>
  <c r="DP43" i="3"/>
  <c r="DO43" i="3"/>
  <c r="DN43" i="3"/>
  <c r="DM43" i="3"/>
  <c r="DL43" i="3"/>
  <c r="DK43" i="3"/>
  <c r="DJ43" i="3"/>
  <c r="DI43" i="3"/>
  <c r="DH43" i="3"/>
  <c r="DG43" i="3"/>
  <c r="DF43" i="3"/>
  <c r="DE43" i="3"/>
  <c r="DD43" i="3"/>
  <c r="DC43" i="3"/>
  <c r="DB43" i="3"/>
  <c r="DA43" i="3"/>
  <c r="CZ43" i="3"/>
  <c r="CY43" i="3"/>
  <c r="CX43" i="3"/>
  <c r="CW43" i="3"/>
  <c r="CV43" i="3"/>
  <c r="CU43" i="3"/>
  <c r="CT43" i="3"/>
  <c r="CS43" i="3"/>
  <c r="CR43" i="3"/>
  <c r="CQ43" i="3"/>
  <c r="CP43" i="3"/>
  <c r="CO43" i="3"/>
  <c r="CN43" i="3"/>
  <c r="CM43" i="3"/>
  <c r="CL43" i="3"/>
  <c r="CK43" i="3"/>
  <c r="CJ43" i="3"/>
  <c r="CI43" i="3"/>
  <c r="CH43" i="3"/>
  <c r="CG43" i="3"/>
  <c r="CF43" i="3"/>
  <c r="CE43" i="3"/>
  <c r="CD43" i="3"/>
  <c r="CC43" i="3"/>
  <c r="CB43" i="3"/>
  <c r="CA43" i="3"/>
  <c r="BZ43" i="3"/>
  <c r="BY43" i="3"/>
  <c r="BX43" i="3"/>
  <c r="BW43" i="3"/>
  <c r="BV43" i="3"/>
  <c r="BU43" i="3"/>
  <c r="BT43" i="3"/>
  <c r="BS43" i="3"/>
  <c r="BR43" i="3"/>
  <c r="BQ43" i="3"/>
  <c r="BP43" i="3"/>
  <c r="BO43" i="3"/>
  <c r="BN43" i="3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FA42" i="3"/>
  <c r="EZ42" i="3"/>
  <c r="EY42" i="3"/>
  <c r="EX42" i="3"/>
  <c r="EW42" i="3"/>
  <c r="EV42" i="3"/>
  <c r="EU42" i="3"/>
  <c r="ET42" i="3"/>
  <c r="ES42" i="3"/>
  <c r="ER42" i="3"/>
  <c r="EQ42" i="3"/>
  <c r="EP42" i="3"/>
  <c r="EO42" i="3"/>
  <c r="EN42" i="3"/>
  <c r="EM42" i="3"/>
  <c r="EL42" i="3"/>
  <c r="EK42" i="3"/>
  <c r="EJ42" i="3"/>
  <c r="EI42" i="3"/>
  <c r="EH42" i="3"/>
  <c r="EG42" i="3"/>
  <c r="EF42" i="3"/>
  <c r="EE42" i="3"/>
  <c r="ED42" i="3"/>
  <c r="EC42" i="3"/>
  <c r="EB42" i="3"/>
  <c r="EA42" i="3"/>
  <c r="DZ42" i="3"/>
  <c r="DY42" i="3"/>
  <c r="DX42" i="3"/>
  <c r="DW42" i="3"/>
  <c r="DV42" i="3"/>
  <c r="DU42" i="3"/>
  <c r="DT42" i="3"/>
  <c r="DS42" i="3"/>
  <c r="DR42" i="3"/>
  <c r="DQ42" i="3"/>
  <c r="DP42" i="3"/>
  <c r="DO42" i="3"/>
  <c r="DN42" i="3"/>
  <c r="DM42" i="3"/>
  <c r="DL42" i="3"/>
  <c r="DK42" i="3"/>
  <c r="DJ42" i="3"/>
  <c r="DI42" i="3"/>
  <c r="DH42" i="3"/>
  <c r="DG42" i="3"/>
  <c r="DF42" i="3"/>
  <c r="DE42" i="3"/>
  <c r="DD42" i="3"/>
  <c r="DC42" i="3"/>
  <c r="DB42" i="3"/>
  <c r="DA42" i="3"/>
  <c r="CZ42" i="3"/>
  <c r="CY42" i="3"/>
  <c r="CX42" i="3"/>
  <c r="CW42" i="3"/>
  <c r="CV42" i="3"/>
  <c r="CU42" i="3"/>
  <c r="CT42" i="3"/>
  <c r="CS42" i="3"/>
  <c r="CR42" i="3"/>
  <c r="CQ42" i="3"/>
  <c r="CP42" i="3"/>
  <c r="CO42" i="3"/>
  <c r="CN42" i="3"/>
  <c r="CM42" i="3"/>
  <c r="CL42" i="3"/>
  <c r="CK42" i="3"/>
  <c r="CJ42" i="3"/>
  <c r="CI42" i="3"/>
  <c r="CH42" i="3"/>
  <c r="CG42" i="3"/>
  <c r="CF42" i="3"/>
  <c r="CE42" i="3"/>
  <c r="CD42" i="3"/>
  <c r="CC42" i="3"/>
  <c r="CB42" i="3"/>
  <c r="CA42" i="3"/>
  <c r="BZ42" i="3"/>
  <c r="BY42" i="3"/>
  <c r="BX42" i="3"/>
  <c r="BW42" i="3"/>
  <c r="BV42" i="3"/>
  <c r="BU42" i="3"/>
  <c r="BT42" i="3"/>
  <c r="BS42" i="3"/>
  <c r="BR42" i="3"/>
  <c r="BQ42" i="3"/>
  <c r="BP42" i="3"/>
  <c r="BO42" i="3"/>
  <c r="BN42" i="3"/>
  <c r="BM42" i="3"/>
  <c r="BL42" i="3"/>
  <c r="BK42" i="3"/>
  <c r="BJ42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FA41" i="3"/>
  <c r="EZ41" i="3"/>
  <c r="EY41" i="3"/>
  <c r="EX41" i="3"/>
  <c r="EW41" i="3"/>
  <c r="EV41" i="3"/>
  <c r="EU41" i="3"/>
  <c r="ET41" i="3"/>
  <c r="ES41" i="3"/>
  <c r="ER41" i="3"/>
  <c r="EQ41" i="3"/>
  <c r="EP41" i="3"/>
  <c r="EO41" i="3"/>
  <c r="EN41" i="3"/>
  <c r="EM41" i="3"/>
  <c r="EL41" i="3"/>
  <c r="EK41" i="3"/>
  <c r="EJ41" i="3"/>
  <c r="EI41" i="3"/>
  <c r="EH41" i="3"/>
  <c r="EG41" i="3"/>
  <c r="EF41" i="3"/>
  <c r="EE41" i="3"/>
  <c r="ED41" i="3"/>
  <c r="EC41" i="3"/>
  <c r="EB41" i="3"/>
  <c r="EA41" i="3"/>
  <c r="DZ41" i="3"/>
  <c r="DY41" i="3"/>
  <c r="DX41" i="3"/>
  <c r="DW41" i="3"/>
  <c r="DV41" i="3"/>
  <c r="DU41" i="3"/>
  <c r="DT41" i="3"/>
  <c r="DS41" i="3"/>
  <c r="DR41" i="3"/>
  <c r="DQ41" i="3"/>
  <c r="DP41" i="3"/>
  <c r="DO41" i="3"/>
  <c r="DN41" i="3"/>
  <c r="DM41" i="3"/>
  <c r="DL41" i="3"/>
  <c r="DK41" i="3"/>
  <c r="DJ41" i="3"/>
  <c r="DI41" i="3"/>
  <c r="DH41" i="3"/>
  <c r="DG41" i="3"/>
  <c r="DF41" i="3"/>
  <c r="DE41" i="3"/>
  <c r="DD41" i="3"/>
  <c r="DC41" i="3"/>
  <c r="DB41" i="3"/>
  <c r="DA41" i="3"/>
  <c r="CZ41" i="3"/>
  <c r="CY41" i="3"/>
  <c r="CX41" i="3"/>
  <c r="CW41" i="3"/>
  <c r="CV41" i="3"/>
  <c r="CU41" i="3"/>
  <c r="CT41" i="3"/>
  <c r="CS41" i="3"/>
  <c r="CR41" i="3"/>
  <c r="CQ41" i="3"/>
  <c r="CP41" i="3"/>
  <c r="CO41" i="3"/>
  <c r="CN41" i="3"/>
  <c r="CM41" i="3"/>
  <c r="CL41" i="3"/>
  <c r="CK41" i="3"/>
  <c r="CJ41" i="3"/>
  <c r="CI41" i="3"/>
  <c r="CH41" i="3"/>
  <c r="CG41" i="3"/>
  <c r="CF41" i="3"/>
  <c r="CE41" i="3"/>
  <c r="CD41" i="3"/>
  <c r="CC41" i="3"/>
  <c r="CB41" i="3"/>
  <c r="CA41" i="3"/>
  <c r="BZ41" i="3"/>
  <c r="BY41" i="3"/>
  <c r="BX41" i="3"/>
  <c r="BW41" i="3"/>
  <c r="BV41" i="3"/>
  <c r="BU41" i="3"/>
  <c r="BT41" i="3"/>
  <c r="BS41" i="3"/>
  <c r="BR41" i="3"/>
  <c r="BQ41" i="3"/>
  <c r="BP41" i="3"/>
  <c r="BO41" i="3"/>
  <c r="BN41" i="3"/>
  <c r="BM41" i="3"/>
  <c r="BL41" i="3"/>
  <c r="BK41" i="3"/>
  <c r="BJ41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FA40" i="3"/>
  <c r="EZ40" i="3"/>
  <c r="EY40" i="3"/>
  <c r="EX40" i="3"/>
  <c r="EW40" i="3"/>
  <c r="EV40" i="3"/>
  <c r="EU40" i="3"/>
  <c r="ET40" i="3"/>
  <c r="ES40" i="3"/>
  <c r="ER40" i="3"/>
  <c r="EQ40" i="3"/>
  <c r="EP40" i="3"/>
  <c r="EO40" i="3"/>
  <c r="EN40" i="3"/>
  <c r="EM40" i="3"/>
  <c r="EL40" i="3"/>
  <c r="EK40" i="3"/>
  <c r="EJ40" i="3"/>
  <c r="EI40" i="3"/>
  <c r="EH40" i="3"/>
  <c r="EG40" i="3"/>
  <c r="EF40" i="3"/>
  <c r="EE40" i="3"/>
  <c r="ED40" i="3"/>
  <c r="EC40" i="3"/>
  <c r="EB40" i="3"/>
  <c r="EA40" i="3"/>
  <c r="DZ40" i="3"/>
  <c r="DY40" i="3"/>
  <c r="DX40" i="3"/>
  <c r="DW40" i="3"/>
  <c r="DV40" i="3"/>
  <c r="DU40" i="3"/>
  <c r="DT40" i="3"/>
  <c r="DS40" i="3"/>
  <c r="DR40" i="3"/>
  <c r="DQ40" i="3"/>
  <c r="DP40" i="3"/>
  <c r="DO40" i="3"/>
  <c r="DN40" i="3"/>
  <c r="DM40" i="3"/>
  <c r="DL40" i="3"/>
  <c r="DK40" i="3"/>
  <c r="DJ40" i="3"/>
  <c r="DI40" i="3"/>
  <c r="DH40" i="3"/>
  <c r="DG40" i="3"/>
  <c r="DF40" i="3"/>
  <c r="DE40" i="3"/>
  <c r="DD40" i="3"/>
  <c r="DC40" i="3"/>
  <c r="DB40" i="3"/>
  <c r="DA40" i="3"/>
  <c r="CZ40" i="3"/>
  <c r="CY40" i="3"/>
  <c r="CX40" i="3"/>
  <c r="CW40" i="3"/>
  <c r="CV40" i="3"/>
  <c r="CU40" i="3"/>
  <c r="CT40" i="3"/>
  <c r="CS40" i="3"/>
  <c r="CR40" i="3"/>
  <c r="CQ40" i="3"/>
  <c r="CP40" i="3"/>
  <c r="CO40" i="3"/>
  <c r="CN40" i="3"/>
  <c r="CM40" i="3"/>
  <c r="CL40" i="3"/>
  <c r="CK40" i="3"/>
  <c r="CJ40" i="3"/>
  <c r="CI40" i="3"/>
  <c r="CH40" i="3"/>
  <c r="CG40" i="3"/>
  <c r="CF40" i="3"/>
  <c r="CE40" i="3"/>
  <c r="CD40" i="3"/>
  <c r="CC40" i="3"/>
  <c r="CB40" i="3"/>
  <c r="CA40" i="3"/>
  <c r="BZ40" i="3"/>
  <c r="BY40" i="3"/>
  <c r="BX40" i="3"/>
  <c r="BW40" i="3"/>
  <c r="BV40" i="3"/>
  <c r="BU40" i="3"/>
  <c r="BT40" i="3"/>
  <c r="BS40" i="3"/>
  <c r="BR40" i="3"/>
  <c r="BQ40" i="3"/>
  <c r="BP40" i="3"/>
  <c r="BO40" i="3"/>
  <c r="BN40" i="3"/>
  <c r="BM40" i="3"/>
  <c r="BL40" i="3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FA39" i="3"/>
  <c r="EZ39" i="3"/>
  <c r="EY39" i="3"/>
  <c r="EX39" i="3"/>
  <c r="EW39" i="3"/>
  <c r="EV39" i="3"/>
  <c r="EU39" i="3"/>
  <c r="ET39" i="3"/>
  <c r="ES39" i="3"/>
  <c r="ER39" i="3"/>
  <c r="EQ39" i="3"/>
  <c r="EP39" i="3"/>
  <c r="EO39" i="3"/>
  <c r="EN39" i="3"/>
  <c r="EM39" i="3"/>
  <c r="EL39" i="3"/>
  <c r="EK39" i="3"/>
  <c r="EJ39" i="3"/>
  <c r="EI39" i="3"/>
  <c r="EH39" i="3"/>
  <c r="EG39" i="3"/>
  <c r="EF39" i="3"/>
  <c r="EE39" i="3"/>
  <c r="ED39" i="3"/>
  <c r="EC39" i="3"/>
  <c r="EB39" i="3"/>
  <c r="EA39" i="3"/>
  <c r="DZ39" i="3"/>
  <c r="DY39" i="3"/>
  <c r="DX39" i="3"/>
  <c r="DW39" i="3"/>
  <c r="DV39" i="3"/>
  <c r="DU39" i="3"/>
  <c r="DT39" i="3"/>
  <c r="DS39" i="3"/>
  <c r="DR39" i="3"/>
  <c r="DQ39" i="3"/>
  <c r="DP39" i="3"/>
  <c r="DO39" i="3"/>
  <c r="DN39" i="3"/>
  <c r="DM39" i="3"/>
  <c r="DL39" i="3"/>
  <c r="DK39" i="3"/>
  <c r="DJ39" i="3"/>
  <c r="DI39" i="3"/>
  <c r="DH39" i="3"/>
  <c r="DG39" i="3"/>
  <c r="DF39" i="3"/>
  <c r="DE39" i="3"/>
  <c r="DD39" i="3"/>
  <c r="DC39" i="3"/>
  <c r="DB39" i="3"/>
  <c r="DA39" i="3"/>
  <c r="CZ39" i="3"/>
  <c r="CY39" i="3"/>
  <c r="CX39" i="3"/>
  <c r="CW39" i="3"/>
  <c r="CV39" i="3"/>
  <c r="CU39" i="3"/>
  <c r="CT39" i="3"/>
  <c r="CS39" i="3"/>
  <c r="CR39" i="3"/>
  <c r="CQ39" i="3"/>
  <c r="CP39" i="3"/>
  <c r="CO39" i="3"/>
  <c r="CN39" i="3"/>
  <c r="CM39" i="3"/>
  <c r="CL39" i="3"/>
  <c r="CK39" i="3"/>
  <c r="CJ39" i="3"/>
  <c r="CI39" i="3"/>
  <c r="CH39" i="3"/>
  <c r="CG39" i="3"/>
  <c r="CF39" i="3"/>
  <c r="CE39" i="3"/>
  <c r="CD39" i="3"/>
  <c r="CC39" i="3"/>
  <c r="CB39" i="3"/>
  <c r="CA39" i="3"/>
  <c r="BZ39" i="3"/>
  <c r="BY39" i="3"/>
  <c r="BX39" i="3"/>
  <c r="BW39" i="3"/>
  <c r="BV39" i="3"/>
  <c r="BU39" i="3"/>
  <c r="BT39" i="3"/>
  <c r="BS39" i="3"/>
  <c r="BR39" i="3"/>
  <c r="BQ39" i="3"/>
  <c r="BP39" i="3"/>
  <c r="BO39" i="3"/>
  <c r="BN39" i="3"/>
  <c r="BM39" i="3"/>
  <c r="BL39" i="3"/>
  <c r="BK39" i="3"/>
  <c r="BJ39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FA38" i="3"/>
  <c r="EZ38" i="3"/>
  <c r="EY38" i="3"/>
  <c r="EX38" i="3"/>
  <c r="EW38" i="3"/>
  <c r="EV38" i="3"/>
  <c r="EU38" i="3"/>
  <c r="ET38" i="3"/>
  <c r="ES38" i="3"/>
  <c r="ER38" i="3"/>
  <c r="EQ38" i="3"/>
  <c r="EP38" i="3"/>
  <c r="EO38" i="3"/>
  <c r="EN38" i="3"/>
  <c r="EM38" i="3"/>
  <c r="EL38" i="3"/>
  <c r="EK38" i="3"/>
  <c r="EJ38" i="3"/>
  <c r="EI38" i="3"/>
  <c r="EH38" i="3"/>
  <c r="EG38" i="3"/>
  <c r="EF38" i="3"/>
  <c r="EE38" i="3"/>
  <c r="ED38" i="3"/>
  <c r="EC38" i="3"/>
  <c r="EB38" i="3"/>
  <c r="EA38" i="3"/>
  <c r="DZ38" i="3"/>
  <c r="DY38" i="3"/>
  <c r="DX38" i="3"/>
  <c r="DW38" i="3"/>
  <c r="DV38" i="3"/>
  <c r="DU38" i="3"/>
  <c r="DT38" i="3"/>
  <c r="DS38" i="3"/>
  <c r="DR38" i="3"/>
  <c r="DQ38" i="3"/>
  <c r="DP38" i="3"/>
  <c r="DO38" i="3"/>
  <c r="DN38" i="3"/>
  <c r="DM38" i="3"/>
  <c r="DL38" i="3"/>
  <c r="DK38" i="3"/>
  <c r="DJ38" i="3"/>
  <c r="DI38" i="3"/>
  <c r="DH38" i="3"/>
  <c r="DG38" i="3"/>
  <c r="DF38" i="3"/>
  <c r="DE38" i="3"/>
  <c r="DD38" i="3"/>
  <c r="DC38" i="3"/>
  <c r="DB38" i="3"/>
  <c r="DA38" i="3"/>
  <c r="CZ38" i="3"/>
  <c r="CY38" i="3"/>
  <c r="CX38" i="3"/>
  <c r="CW38" i="3"/>
  <c r="CV38" i="3"/>
  <c r="CU38" i="3"/>
  <c r="CT38" i="3"/>
  <c r="CS38" i="3"/>
  <c r="CR38" i="3"/>
  <c r="CQ38" i="3"/>
  <c r="CP38" i="3"/>
  <c r="CO38" i="3"/>
  <c r="CN38" i="3"/>
  <c r="CM38" i="3"/>
  <c r="CL38" i="3"/>
  <c r="CK38" i="3"/>
  <c r="CJ38" i="3"/>
  <c r="CI38" i="3"/>
  <c r="CH38" i="3"/>
  <c r="CG38" i="3"/>
  <c r="CF38" i="3"/>
  <c r="CE38" i="3"/>
  <c r="CD38" i="3"/>
  <c r="CC38" i="3"/>
  <c r="CB38" i="3"/>
  <c r="CA38" i="3"/>
  <c r="BZ38" i="3"/>
  <c r="BY38" i="3"/>
  <c r="BX38" i="3"/>
  <c r="BW38" i="3"/>
  <c r="BV38" i="3"/>
  <c r="BU38" i="3"/>
  <c r="BT38" i="3"/>
  <c r="BS38" i="3"/>
  <c r="BR38" i="3"/>
  <c r="BQ38" i="3"/>
  <c r="BP38" i="3"/>
  <c r="BO38" i="3"/>
  <c r="BN38" i="3"/>
  <c r="BM38" i="3"/>
  <c r="BL38" i="3"/>
  <c r="BK38" i="3"/>
  <c r="BJ38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FA37" i="3"/>
  <c r="EZ37" i="3"/>
  <c r="EY37" i="3"/>
  <c r="EX37" i="3"/>
  <c r="EW37" i="3"/>
  <c r="EV37" i="3"/>
  <c r="EU37" i="3"/>
  <c r="ET37" i="3"/>
  <c r="ES37" i="3"/>
  <c r="ER37" i="3"/>
  <c r="EQ37" i="3"/>
  <c r="EP37" i="3"/>
  <c r="EO37" i="3"/>
  <c r="EN37" i="3"/>
  <c r="EM37" i="3"/>
  <c r="EL37" i="3"/>
  <c r="EK37" i="3"/>
  <c r="EJ37" i="3"/>
  <c r="EI37" i="3"/>
  <c r="EH37" i="3"/>
  <c r="EG37" i="3"/>
  <c r="EF37" i="3"/>
  <c r="EE37" i="3"/>
  <c r="ED37" i="3"/>
  <c r="EC37" i="3"/>
  <c r="EB37" i="3"/>
  <c r="EA37" i="3"/>
  <c r="DZ37" i="3"/>
  <c r="DY37" i="3"/>
  <c r="DX37" i="3"/>
  <c r="DW37" i="3"/>
  <c r="DV37" i="3"/>
  <c r="DU37" i="3"/>
  <c r="DT37" i="3"/>
  <c r="DS37" i="3"/>
  <c r="DR37" i="3"/>
  <c r="DQ37" i="3"/>
  <c r="DP37" i="3"/>
  <c r="DO37" i="3"/>
  <c r="DN37" i="3"/>
  <c r="DM37" i="3"/>
  <c r="DL37" i="3"/>
  <c r="DK37" i="3"/>
  <c r="DJ37" i="3"/>
  <c r="DI37" i="3"/>
  <c r="DH37" i="3"/>
  <c r="DG37" i="3"/>
  <c r="DF37" i="3"/>
  <c r="DE37" i="3"/>
  <c r="DD37" i="3"/>
  <c r="DC37" i="3"/>
  <c r="DB37" i="3"/>
  <c r="DA37" i="3"/>
  <c r="CZ37" i="3"/>
  <c r="CY37" i="3"/>
  <c r="CX37" i="3"/>
  <c r="CW37" i="3"/>
  <c r="CV37" i="3"/>
  <c r="CU37" i="3"/>
  <c r="CT37" i="3"/>
  <c r="CS37" i="3"/>
  <c r="CR37" i="3"/>
  <c r="CQ37" i="3"/>
  <c r="CP37" i="3"/>
  <c r="CO37" i="3"/>
  <c r="CN37" i="3"/>
  <c r="CM37" i="3"/>
  <c r="CL37" i="3"/>
  <c r="CK37" i="3"/>
  <c r="CJ37" i="3"/>
  <c r="CI37" i="3"/>
  <c r="CH37" i="3"/>
  <c r="CG37" i="3"/>
  <c r="CF37" i="3"/>
  <c r="CE37" i="3"/>
  <c r="CD37" i="3"/>
  <c r="CC37" i="3"/>
  <c r="CB37" i="3"/>
  <c r="CA37" i="3"/>
  <c r="BZ37" i="3"/>
  <c r="BY37" i="3"/>
  <c r="BX37" i="3"/>
  <c r="BW37" i="3"/>
  <c r="BV37" i="3"/>
  <c r="BU37" i="3"/>
  <c r="BT37" i="3"/>
  <c r="BS37" i="3"/>
  <c r="BR37" i="3"/>
  <c r="BQ37" i="3"/>
  <c r="BP37" i="3"/>
  <c r="BO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FA36" i="3"/>
  <c r="EZ36" i="3"/>
  <c r="EY36" i="3"/>
  <c r="EX36" i="3"/>
  <c r="EW36" i="3"/>
  <c r="EV36" i="3"/>
  <c r="EU36" i="3"/>
  <c r="ET36" i="3"/>
  <c r="ES36" i="3"/>
  <c r="ER36" i="3"/>
  <c r="EQ36" i="3"/>
  <c r="EP36" i="3"/>
  <c r="EO36" i="3"/>
  <c r="EN36" i="3"/>
  <c r="EM36" i="3"/>
  <c r="EL36" i="3"/>
  <c r="EK36" i="3"/>
  <c r="EJ36" i="3"/>
  <c r="EI36" i="3"/>
  <c r="EH36" i="3"/>
  <c r="EG36" i="3"/>
  <c r="EF36" i="3"/>
  <c r="EE36" i="3"/>
  <c r="ED36" i="3"/>
  <c r="EC36" i="3"/>
  <c r="EB36" i="3"/>
  <c r="EA36" i="3"/>
  <c r="DZ36" i="3"/>
  <c r="DY36" i="3"/>
  <c r="DX36" i="3"/>
  <c r="DW36" i="3"/>
  <c r="DV36" i="3"/>
  <c r="DU36" i="3"/>
  <c r="DT36" i="3"/>
  <c r="DS36" i="3"/>
  <c r="DR36" i="3"/>
  <c r="DQ36" i="3"/>
  <c r="DP36" i="3"/>
  <c r="DO36" i="3"/>
  <c r="DN36" i="3"/>
  <c r="DM36" i="3"/>
  <c r="DL36" i="3"/>
  <c r="DK36" i="3"/>
  <c r="DJ36" i="3"/>
  <c r="DI36" i="3"/>
  <c r="DH36" i="3"/>
  <c r="DG36" i="3"/>
  <c r="DF36" i="3"/>
  <c r="DE36" i="3"/>
  <c r="DD36" i="3"/>
  <c r="DC36" i="3"/>
  <c r="DB36" i="3"/>
  <c r="DA36" i="3"/>
  <c r="CZ36" i="3"/>
  <c r="CY36" i="3"/>
  <c r="CX36" i="3"/>
  <c r="CW36" i="3"/>
  <c r="CV36" i="3"/>
  <c r="CU36" i="3"/>
  <c r="CT36" i="3"/>
  <c r="CS36" i="3"/>
  <c r="CR36" i="3"/>
  <c r="CQ36" i="3"/>
  <c r="CP36" i="3"/>
  <c r="CO36" i="3"/>
  <c r="CN36" i="3"/>
  <c r="CM36" i="3"/>
  <c r="CL36" i="3"/>
  <c r="CK36" i="3"/>
  <c r="CJ36" i="3"/>
  <c r="CI36" i="3"/>
  <c r="CH36" i="3"/>
  <c r="CG36" i="3"/>
  <c r="CF36" i="3"/>
  <c r="CE36" i="3"/>
  <c r="CD36" i="3"/>
  <c r="CC36" i="3"/>
  <c r="CB36" i="3"/>
  <c r="CA36" i="3"/>
  <c r="BZ36" i="3"/>
  <c r="BY36" i="3"/>
  <c r="BX36" i="3"/>
  <c r="BW36" i="3"/>
  <c r="BV36" i="3"/>
  <c r="BU36" i="3"/>
  <c r="BT36" i="3"/>
  <c r="BS36" i="3"/>
  <c r="BR36" i="3"/>
  <c r="BQ36" i="3"/>
  <c r="BP36" i="3"/>
  <c r="BO36" i="3"/>
  <c r="BN36" i="3"/>
  <c r="BM36" i="3"/>
  <c r="BL36" i="3"/>
  <c r="BK36" i="3"/>
  <c r="BJ36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FA35" i="3"/>
  <c r="EZ35" i="3"/>
  <c r="EY35" i="3"/>
  <c r="EX35" i="3"/>
  <c r="EW35" i="3"/>
  <c r="EV35" i="3"/>
  <c r="EU35" i="3"/>
  <c r="ET35" i="3"/>
  <c r="ES35" i="3"/>
  <c r="ER35" i="3"/>
  <c r="EQ35" i="3"/>
  <c r="EP35" i="3"/>
  <c r="EO35" i="3"/>
  <c r="EN35" i="3"/>
  <c r="EM35" i="3"/>
  <c r="EL35" i="3"/>
  <c r="EK35" i="3"/>
  <c r="EJ35" i="3"/>
  <c r="EI35" i="3"/>
  <c r="EH35" i="3"/>
  <c r="EG35" i="3"/>
  <c r="EF35" i="3"/>
  <c r="EE35" i="3"/>
  <c r="ED35" i="3"/>
  <c r="EC35" i="3"/>
  <c r="EB35" i="3"/>
  <c r="EA35" i="3"/>
  <c r="DZ35" i="3"/>
  <c r="DY35" i="3"/>
  <c r="DX35" i="3"/>
  <c r="DW35" i="3"/>
  <c r="DV35" i="3"/>
  <c r="DU35" i="3"/>
  <c r="DT35" i="3"/>
  <c r="DS35" i="3"/>
  <c r="DR35" i="3"/>
  <c r="DQ35" i="3"/>
  <c r="DP35" i="3"/>
  <c r="DO35" i="3"/>
  <c r="DN35" i="3"/>
  <c r="DM35" i="3"/>
  <c r="DL35" i="3"/>
  <c r="DK35" i="3"/>
  <c r="DJ35" i="3"/>
  <c r="DI35" i="3"/>
  <c r="DH35" i="3"/>
  <c r="DG35" i="3"/>
  <c r="DF35" i="3"/>
  <c r="DE35" i="3"/>
  <c r="DD35" i="3"/>
  <c r="DC35" i="3"/>
  <c r="DB35" i="3"/>
  <c r="DA35" i="3"/>
  <c r="CZ35" i="3"/>
  <c r="CY35" i="3"/>
  <c r="CX35" i="3"/>
  <c r="CW35" i="3"/>
  <c r="CV35" i="3"/>
  <c r="CU35" i="3"/>
  <c r="CT35" i="3"/>
  <c r="CS35" i="3"/>
  <c r="CR35" i="3"/>
  <c r="CQ35" i="3"/>
  <c r="CP35" i="3"/>
  <c r="CO35" i="3"/>
  <c r="CN35" i="3"/>
  <c r="CM35" i="3"/>
  <c r="CL35" i="3"/>
  <c r="CK35" i="3"/>
  <c r="CJ35" i="3"/>
  <c r="CI35" i="3"/>
  <c r="CH35" i="3"/>
  <c r="CG35" i="3"/>
  <c r="CF35" i="3"/>
  <c r="CE35" i="3"/>
  <c r="CD35" i="3"/>
  <c r="CC35" i="3"/>
  <c r="CB35" i="3"/>
  <c r="CA35" i="3"/>
  <c r="BZ35" i="3"/>
  <c r="BY35" i="3"/>
  <c r="BX35" i="3"/>
  <c r="BW35" i="3"/>
  <c r="BV35" i="3"/>
  <c r="BU35" i="3"/>
  <c r="BT35" i="3"/>
  <c r="BS35" i="3"/>
  <c r="BR35" i="3"/>
  <c r="BQ35" i="3"/>
  <c r="BP35" i="3"/>
  <c r="BO35" i="3"/>
  <c r="BN35" i="3"/>
  <c r="BM35" i="3"/>
  <c r="BL35" i="3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FA34" i="3"/>
  <c r="EZ34" i="3"/>
  <c r="EY34" i="3"/>
  <c r="EX34" i="3"/>
  <c r="EW34" i="3"/>
  <c r="EV34" i="3"/>
  <c r="EU34" i="3"/>
  <c r="ET34" i="3"/>
  <c r="ES34" i="3"/>
  <c r="ER34" i="3"/>
  <c r="EQ34" i="3"/>
  <c r="EP34" i="3"/>
  <c r="EO34" i="3"/>
  <c r="EN34" i="3"/>
  <c r="EM34" i="3"/>
  <c r="EL34" i="3"/>
  <c r="EK34" i="3"/>
  <c r="EJ34" i="3"/>
  <c r="EI34" i="3"/>
  <c r="EH34" i="3"/>
  <c r="EG34" i="3"/>
  <c r="EF34" i="3"/>
  <c r="EE34" i="3"/>
  <c r="ED34" i="3"/>
  <c r="EC34" i="3"/>
  <c r="EB34" i="3"/>
  <c r="EA34" i="3"/>
  <c r="DZ34" i="3"/>
  <c r="DY34" i="3"/>
  <c r="DX34" i="3"/>
  <c r="DW34" i="3"/>
  <c r="DV34" i="3"/>
  <c r="DU34" i="3"/>
  <c r="DT34" i="3"/>
  <c r="DS34" i="3"/>
  <c r="DR34" i="3"/>
  <c r="DQ34" i="3"/>
  <c r="DP34" i="3"/>
  <c r="DO34" i="3"/>
  <c r="DN34" i="3"/>
  <c r="DM34" i="3"/>
  <c r="DL34" i="3"/>
  <c r="DK34" i="3"/>
  <c r="DJ34" i="3"/>
  <c r="DI34" i="3"/>
  <c r="DH34" i="3"/>
  <c r="DG34" i="3"/>
  <c r="DF34" i="3"/>
  <c r="DE34" i="3"/>
  <c r="DD34" i="3"/>
  <c r="DC34" i="3"/>
  <c r="DB34" i="3"/>
  <c r="DA34" i="3"/>
  <c r="CZ34" i="3"/>
  <c r="CY34" i="3"/>
  <c r="CX34" i="3"/>
  <c r="CW34" i="3"/>
  <c r="CV34" i="3"/>
  <c r="CU34" i="3"/>
  <c r="CT34" i="3"/>
  <c r="CS34" i="3"/>
  <c r="CR34" i="3"/>
  <c r="CQ34" i="3"/>
  <c r="CP34" i="3"/>
  <c r="CO34" i="3"/>
  <c r="CN34" i="3"/>
  <c r="CM34" i="3"/>
  <c r="CL34" i="3"/>
  <c r="CK34" i="3"/>
  <c r="CJ34" i="3"/>
  <c r="CI34" i="3"/>
  <c r="CH34" i="3"/>
  <c r="CG34" i="3"/>
  <c r="CF34" i="3"/>
  <c r="CE34" i="3"/>
  <c r="CD34" i="3"/>
  <c r="CC34" i="3"/>
  <c r="CB34" i="3"/>
  <c r="CA34" i="3"/>
  <c r="BZ34" i="3"/>
  <c r="BY34" i="3"/>
  <c r="BX34" i="3"/>
  <c r="BW34" i="3"/>
  <c r="BV34" i="3"/>
  <c r="BU34" i="3"/>
  <c r="BT34" i="3"/>
  <c r="BS34" i="3"/>
  <c r="BR34" i="3"/>
  <c r="BQ34" i="3"/>
  <c r="BP34" i="3"/>
  <c r="BO34" i="3"/>
  <c r="BN34" i="3"/>
  <c r="BM34" i="3"/>
  <c r="BL34" i="3"/>
  <c r="BK34" i="3"/>
  <c r="BJ34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FA33" i="3"/>
  <c r="EZ33" i="3"/>
  <c r="EY33" i="3"/>
  <c r="EX33" i="3"/>
  <c r="EW33" i="3"/>
  <c r="EV33" i="3"/>
  <c r="EU33" i="3"/>
  <c r="ET33" i="3"/>
  <c r="ES33" i="3"/>
  <c r="ER33" i="3"/>
  <c r="EQ33" i="3"/>
  <c r="EP33" i="3"/>
  <c r="EO33" i="3"/>
  <c r="EN33" i="3"/>
  <c r="EM33" i="3"/>
  <c r="EL33" i="3"/>
  <c r="EK33" i="3"/>
  <c r="EJ33" i="3"/>
  <c r="EI33" i="3"/>
  <c r="EH33" i="3"/>
  <c r="EG33" i="3"/>
  <c r="EF33" i="3"/>
  <c r="EE33" i="3"/>
  <c r="ED33" i="3"/>
  <c r="EC33" i="3"/>
  <c r="EB33" i="3"/>
  <c r="EA33" i="3"/>
  <c r="DZ33" i="3"/>
  <c r="DY33" i="3"/>
  <c r="DX33" i="3"/>
  <c r="DW33" i="3"/>
  <c r="DV33" i="3"/>
  <c r="DU33" i="3"/>
  <c r="DT33" i="3"/>
  <c r="DS33" i="3"/>
  <c r="DR33" i="3"/>
  <c r="DQ33" i="3"/>
  <c r="DP33" i="3"/>
  <c r="DO33" i="3"/>
  <c r="DN33" i="3"/>
  <c r="DM33" i="3"/>
  <c r="DL33" i="3"/>
  <c r="DK33" i="3"/>
  <c r="DJ33" i="3"/>
  <c r="DI33" i="3"/>
  <c r="DH33" i="3"/>
  <c r="DG33" i="3"/>
  <c r="DF33" i="3"/>
  <c r="DE33" i="3"/>
  <c r="DD33" i="3"/>
  <c r="DC33" i="3"/>
  <c r="DB33" i="3"/>
  <c r="DA33" i="3"/>
  <c r="CZ33" i="3"/>
  <c r="CY33" i="3"/>
  <c r="CX33" i="3"/>
  <c r="CW33" i="3"/>
  <c r="CV33" i="3"/>
  <c r="CU33" i="3"/>
  <c r="CT33" i="3"/>
  <c r="CS33" i="3"/>
  <c r="CR33" i="3"/>
  <c r="CQ33" i="3"/>
  <c r="CP33" i="3"/>
  <c r="CO33" i="3"/>
  <c r="CN33" i="3"/>
  <c r="CM33" i="3"/>
  <c r="CL33" i="3"/>
  <c r="CK33" i="3"/>
  <c r="CJ33" i="3"/>
  <c r="CI33" i="3"/>
  <c r="CH33" i="3"/>
  <c r="CG33" i="3"/>
  <c r="CF33" i="3"/>
  <c r="CE33" i="3"/>
  <c r="CD33" i="3"/>
  <c r="CC33" i="3"/>
  <c r="CB33" i="3"/>
  <c r="CA33" i="3"/>
  <c r="BZ33" i="3"/>
  <c r="BY33" i="3"/>
  <c r="BX33" i="3"/>
  <c r="BW33" i="3"/>
  <c r="BV33" i="3"/>
  <c r="BU33" i="3"/>
  <c r="BT33" i="3"/>
  <c r="BS33" i="3"/>
  <c r="BR33" i="3"/>
  <c r="BQ33" i="3"/>
  <c r="BP33" i="3"/>
  <c r="BO33" i="3"/>
  <c r="BN33" i="3"/>
  <c r="BM33" i="3"/>
  <c r="BL33" i="3"/>
  <c r="BK33" i="3"/>
  <c r="BJ33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FA32" i="3"/>
  <c r="EZ32" i="3"/>
  <c r="EY32" i="3"/>
  <c r="EX32" i="3"/>
  <c r="EW32" i="3"/>
  <c r="EV32" i="3"/>
  <c r="EU32" i="3"/>
  <c r="ET32" i="3"/>
  <c r="ES32" i="3"/>
  <c r="ER32" i="3"/>
  <c r="EQ32" i="3"/>
  <c r="EP32" i="3"/>
  <c r="EO32" i="3"/>
  <c r="EN32" i="3"/>
  <c r="EM32" i="3"/>
  <c r="EL32" i="3"/>
  <c r="EK32" i="3"/>
  <c r="EJ32" i="3"/>
  <c r="EI32" i="3"/>
  <c r="EH32" i="3"/>
  <c r="EG32" i="3"/>
  <c r="EF32" i="3"/>
  <c r="EE32" i="3"/>
  <c r="ED32" i="3"/>
  <c r="EC32" i="3"/>
  <c r="EB32" i="3"/>
  <c r="EA32" i="3"/>
  <c r="DZ32" i="3"/>
  <c r="DY32" i="3"/>
  <c r="DX32" i="3"/>
  <c r="DW32" i="3"/>
  <c r="DV32" i="3"/>
  <c r="DU32" i="3"/>
  <c r="DT32" i="3"/>
  <c r="DS32" i="3"/>
  <c r="DR32" i="3"/>
  <c r="DQ32" i="3"/>
  <c r="DP32" i="3"/>
  <c r="DO32" i="3"/>
  <c r="DN32" i="3"/>
  <c r="DM32" i="3"/>
  <c r="DL32" i="3"/>
  <c r="DK32" i="3"/>
  <c r="DJ32" i="3"/>
  <c r="DI32" i="3"/>
  <c r="DH32" i="3"/>
  <c r="DG32" i="3"/>
  <c r="DF32" i="3"/>
  <c r="DE32" i="3"/>
  <c r="DD32" i="3"/>
  <c r="DC32" i="3"/>
  <c r="DB32" i="3"/>
  <c r="DA32" i="3"/>
  <c r="CZ32" i="3"/>
  <c r="CY32" i="3"/>
  <c r="CX32" i="3"/>
  <c r="CW32" i="3"/>
  <c r="CV32" i="3"/>
  <c r="CU32" i="3"/>
  <c r="CT32" i="3"/>
  <c r="CS32" i="3"/>
  <c r="CR32" i="3"/>
  <c r="CQ32" i="3"/>
  <c r="CP32" i="3"/>
  <c r="CO32" i="3"/>
  <c r="CN32" i="3"/>
  <c r="CM32" i="3"/>
  <c r="CL32" i="3"/>
  <c r="CK32" i="3"/>
  <c r="CJ32" i="3"/>
  <c r="CI32" i="3"/>
  <c r="CH32" i="3"/>
  <c r="CG32" i="3"/>
  <c r="CF32" i="3"/>
  <c r="CE32" i="3"/>
  <c r="CD32" i="3"/>
  <c r="CC32" i="3"/>
  <c r="CB32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FA31" i="3"/>
  <c r="EZ31" i="3"/>
  <c r="EY31" i="3"/>
  <c r="EX31" i="3"/>
  <c r="EW31" i="3"/>
  <c r="EV31" i="3"/>
  <c r="EU31" i="3"/>
  <c r="ET31" i="3"/>
  <c r="ES31" i="3"/>
  <c r="ER31" i="3"/>
  <c r="EQ31" i="3"/>
  <c r="EP31" i="3"/>
  <c r="EO31" i="3"/>
  <c r="EN31" i="3"/>
  <c r="EM31" i="3"/>
  <c r="EL31" i="3"/>
  <c r="EK31" i="3"/>
  <c r="EJ31" i="3"/>
  <c r="EI31" i="3"/>
  <c r="EH31" i="3"/>
  <c r="EG31" i="3"/>
  <c r="EF31" i="3"/>
  <c r="EE31" i="3"/>
  <c r="ED31" i="3"/>
  <c r="EC31" i="3"/>
  <c r="EB31" i="3"/>
  <c r="EA31" i="3"/>
  <c r="DZ31" i="3"/>
  <c r="DY31" i="3"/>
  <c r="DX31" i="3"/>
  <c r="DW31" i="3"/>
  <c r="DV31" i="3"/>
  <c r="DU31" i="3"/>
  <c r="DT31" i="3"/>
  <c r="DS31" i="3"/>
  <c r="DR31" i="3"/>
  <c r="DQ31" i="3"/>
  <c r="DP31" i="3"/>
  <c r="DO31" i="3"/>
  <c r="DN31" i="3"/>
  <c r="DM31" i="3"/>
  <c r="DL31" i="3"/>
  <c r="DK31" i="3"/>
  <c r="DJ31" i="3"/>
  <c r="DI31" i="3"/>
  <c r="DH31" i="3"/>
  <c r="DG31" i="3"/>
  <c r="DF31" i="3"/>
  <c r="DE31" i="3"/>
  <c r="DD31" i="3"/>
  <c r="DC31" i="3"/>
  <c r="DB31" i="3"/>
  <c r="DA31" i="3"/>
  <c r="CZ31" i="3"/>
  <c r="CY31" i="3"/>
  <c r="CX31" i="3"/>
  <c r="CW31" i="3"/>
  <c r="CV31" i="3"/>
  <c r="CU31" i="3"/>
  <c r="CT31" i="3"/>
  <c r="CS31" i="3"/>
  <c r="CR31" i="3"/>
  <c r="CQ31" i="3"/>
  <c r="CP31" i="3"/>
  <c r="CO31" i="3"/>
  <c r="CN31" i="3"/>
  <c r="CM31" i="3"/>
  <c r="CL31" i="3"/>
  <c r="CK31" i="3"/>
  <c r="CJ31" i="3"/>
  <c r="CI31" i="3"/>
  <c r="CH31" i="3"/>
  <c r="CG31" i="3"/>
  <c r="CF31" i="3"/>
  <c r="CE31" i="3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FA30" i="3"/>
  <c r="EZ30" i="3"/>
  <c r="EY30" i="3"/>
  <c r="EX30" i="3"/>
  <c r="EW30" i="3"/>
  <c r="EV30" i="3"/>
  <c r="EU30" i="3"/>
  <c r="ET30" i="3"/>
  <c r="ES30" i="3"/>
  <c r="ER30" i="3"/>
  <c r="EQ30" i="3"/>
  <c r="EP30" i="3"/>
  <c r="EO30" i="3"/>
  <c r="EN30" i="3"/>
  <c r="EM30" i="3"/>
  <c r="EL30" i="3"/>
  <c r="EK30" i="3"/>
  <c r="EJ30" i="3"/>
  <c r="EI30" i="3"/>
  <c r="EH30" i="3"/>
  <c r="EG30" i="3"/>
  <c r="EF30" i="3"/>
  <c r="EE30" i="3"/>
  <c r="ED30" i="3"/>
  <c r="EC30" i="3"/>
  <c r="EB30" i="3"/>
  <c r="EA30" i="3"/>
  <c r="DZ30" i="3"/>
  <c r="DY30" i="3"/>
  <c r="DX30" i="3"/>
  <c r="DW30" i="3"/>
  <c r="DV30" i="3"/>
  <c r="DU30" i="3"/>
  <c r="DT30" i="3"/>
  <c r="DS30" i="3"/>
  <c r="DR30" i="3"/>
  <c r="DQ30" i="3"/>
  <c r="DP30" i="3"/>
  <c r="DO30" i="3"/>
  <c r="DN30" i="3"/>
  <c r="DM30" i="3"/>
  <c r="DL30" i="3"/>
  <c r="DK30" i="3"/>
  <c r="DJ30" i="3"/>
  <c r="DI30" i="3"/>
  <c r="DH30" i="3"/>
  <c r="DG30" i="3"/>
  <c r="DF30" i="3"/>
  <c r="DE30" i="3"/>
  <c r="DD30" i="3"/>
  <c r="DC30" i="3"/>
  <c r="DB30" i="3"/>
  <c r="DA30" i="3"/>
  <c r="CZ30" i="3"/>
  <c r="CY30" i="3"/>
  <c r="CX30" i="3"/>
  <c r="CW30" i="3"/>
  <c r="CV30" i="3"/>
  <c r="CU30" i="3"/>
  <c r="CT30" i="3"/>
  <c r="CS30" i="3"/>
  <c r="CR30" i="3"/>
  <c r="CQ30" i="3"/>
  <c r="CP30" i="3"/>
  <c r="CO30" i="3"/>
  <c r="CN30" i="3"/>
  <c r="CM30" i="3"/>
  <c r="CL30" i="3"/>
  <c r="CK30" i="3"/>
  <c r="CJ30" i="3"/>
  <c r="CI30" i="3"/>
  <c r="CH30" i="3"/>
  <c r="CG30" i="3"/>
  <c r="CF30" i="3"/>
  <c r="CE30" i="3"/>
  <c r="CD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BO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FA29" i="3"/>
  <c r="EZ29" i="3"/>
  <c r="EY29" i="3"/>
  <c r="EX29" i="3"/>
  <c r="EW29" i="3"/>
  <c r="EV29" i="3"/>
  <c r="EU29" i="3"/>
  <c r="ET29" i="3"/>
  <c r="ES29" i="3"/>
  <c r="ER29" i="3"/>
  <c r="EQ29" i="3"/>
  <c r="EP29" i="3"/>
  <c r="EO29" i="3"/>
  <c r="EN29" i="3"/>
  <c r="EM29" i="3"/>
  <c r="EL29" i="3"/>
  <c r="EK29" i="3"/>
  <c r="EJ29" i="3"/>
  <c r="EI29" i="3"/>
  <c r="EH29" i="3"/>
  <c r="EG29" i="3"/>
  <c r="EF29" i="3"/>
  <c r="EE29" i="3"/>
  <c r="ED29" i="3"/>
  <c r="EC29" i="3"/>
  <c r="EB29" i="3"/>
  <c r="EA29" i="3"/>
  <c r="DZ29" i="3"/>
  <c r="DY29" i="3"/>
  <c r="DX29" i="3"/>
  <c r="DW29" i="3"/>
  <c r="DV29" i="3"/>
  <c r="DU29" i="3"/>
  <c r="DT29" i="3"/>
  <c r="DS29" i="3"/>
  <c r="DR29" i="3"/>
  <c r="DQ29" i="3"/>
  <c r="DP29" i="3"/>
  <c r="DO29" i="3"/>
  <c r="DN29" i="3"/>
  <c r="DM29" i="3"/>
  <c r="DL29" i="3"/>
  <c r="DK29" i="3"/>
  <c r="DJ29" i="3"/>
  <c r="DI29" i="3"/>
  <c r="DH29" i="3"/>
  <c r="DG29" i="3"/>
  <c r="DF29" i="3"/>
  <c r="DE29" i="3"/>
  <c r="DD29" i="3"/>
  <c r="DC29" i="3"/>
  <c r="DB29" i="3"/>
  <c r="DA29" i="3"/>
  <c r="CZ29" i="3"/>
  <c r="CY29" i="3"/>
  <c r="CX29" i="3"/>
  <c r="CW29" i="3"/>
  <c r="CV29" i="3"/>
  <c r="CU29" i="3"/>
  <c r="CT29" i="3"/>
  <c r="CS29" i="3"/>
  <c r="CR29" i="3"/>
  <c r="CQ29" i="3"/>
  <c r="CP29" i="3"/>
  <c r="CO29" i="3"/>
  <c r="CN29" i="3"/>
  <c r="CM29" i="3"/>
  <c r="CL29" i="3"/>
  <c r="CK29" i="3"/>
  <c r="CJ29" i="3"/>
  <c r="CI29" i="3"/>
  <c r="CH29" i="3"/>
  <c r="CG29" i="3"/>
  <c r="CF29" i="3"/>
  <c r="CE29" i="3"/>
  <c r="CD29" i="3"/>
  <c r="CC29" i="3"/>
  <c r="CB29" i="3"/>
  <c r="CA29" i="3"/>
  <c r="BZ29" i="3"/>
  <c r="BY29" i="3"/>
  <c r="BX29" i="3"/>
  <c r="BW29" i="3"/>
  <c r="BV29" i="3"/>
  <c r="BU29" i="3"/>
  <c r="BT29" i="3"/>
  <c r="BS29" i="3"/>
  <c r="BR29" i="3"/>
  <c r="BQ29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FA28" i="3"/>
  <c r="EZ28" i="3"/>
  <c r="EY28" i="3"/>
  <c r="EX28" i="3"/>
  <c r="EW28" i="3"/>
  <c r="EV28" i="3"/>
  <c r="EU28" i="3"/>
  <c r="ET28" i="3"/>
  <c r="ES28" i="3"/>
  <c r="ER28" i="3"/>
  <c r="EQ28" i="3"/>
  <c r="EP28" i="3"/>
  <c r="EO28" i="3"/>
  <c r="EN28" i="3"/>
  <c r="EM28" i="3"/>
  <c r="EL28" i="3"/>
  <c r="EK28" i="3"/>
  <c r="EJ28" i="3"/>
  <c r="EI28" i="3"/>
  <c r="EH28" i="3"/>
  <c r="EG28" i="3"/>
  <c r="EF28" i="3"/>
  <c r="EE28" i="3"/>
  <c r="ED28" i="3"/>
  <c r="EC28" i="3"/>
  <c r="EB28" i="3"/>
  <c r="EA28" i="3"/>
  <c r="DZ28" i="3"/>
  <c r="DY28" i="3"/>
  <c r="DX28" i="3"/>
  <c r="DW28" i="3"/>
  <c r="DV28" i="3"/>
  <c r="DU28" i="3"/>
  <c r="DT28" i="3"/>
  <c r="DS28" i="3"/>
  <c r="DR28" i="3"/>
  <c r="DQ28" i="3"/>
  <c r="DP28" i="3"/>
  <c r="DO28" i="3"/>
  <c r="DN28" i="3"/>
  <c r="DM28" i="3"/>
  <c r="DL28" i="3"/>
  <c r="DK28" i="3"/>
  <c r="DJ28" i="3"/>
  <c r="DI28" i="3"/>
  <c r="DH28" i="3"/>
  <c r="DG28" i="3"/>
  <c r="DF28" i="3"/>
  <c r="DE28" i="3"/>
  <c r="DD28" i="3"/>
  <c r="DC28" i="3"/>
  <c r="DB28" i="3"/>
  <c r="DA28" i="3"/>
  <c r="CZ28" i="3"/>
  <c r="CY28" i="3"/>
  <c r="CX28" i="3"/>
  <c r="CW28" i="3"/>
  <c r="CV28" i="3"/>
  <c r="CU28" i="3"/>
  <c r="CT28" i="3"/>
  <c r="CS28" i="3"/>
  <c r="CR28" i="3"/>
  <c r="CQ28" i="3"/>
  <c r="CP28" i="3"/>
  <c r="CO28" i="3"/>
  <c r="CN28" i="3"/>
  <c r="CM28" i="3"/>
  <c r="CL28" i="3"/>
  <c r="CK28" i="3"/>
  <c r="CJ28" i="3"/>
  <c r="CI28" i="3"/>
  <c r="CH28" i="3"/>
  <c r="CG28" i="3"/>
  <c r="CF28" i="3"/>
  <c r="CE28" i="3"/>
  <c r="CD28" i="3"/>
  <c r="CC28" i="3"/>
  <c r="CB28" i="3"/>
  <c r="CA28" i="3"/>
  <c r="BZ28" i="3"/>
  <c r="BY28" i="3"/>
  <c r="BX28" i="3"/>
  <c r="BW28" i="3"/>
  <c r="BV28" i="3"/>
  <c r="BU28" i="3"/>
  <c r="BT28" i="3"/>
  <c r="BS28" i="3"/>
  <c r="BR28" i="3"/>
  <c r="BQ28" i="3"/>
  <c r="BP28" i="3"/>
  <c r="BO28" i="3"/>
  <c r="BN28" i="3"/>
  <c r="BM28" i="3"/>
  <c r="BL28" i="3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FA27" i="3"/>
  <c r="EZ27" i="3"/>
  <c r="EY27" i="3"/>
  <c r="EX27" i="3"/>
  <c r="EW27" i="3"/>
  <c r="EV27" i="3"/>
  <c r="EU27" i="3"/>
  <c r="ET27" i="3"/>
  <c r="ES27" i="3"/>
  <c r="ER27" i="3"/>
  <c r="EQ27" i="3"/>
  <c r="EP27" i="3"/>
  <c r="EO27" i="3"/>
  <c r="EN27" i="3"/>
  <c r="EM27" i="3"/>
  <c r="EL27" i="3"/>
  <c r="EK27" i="3"/>
  <c r="EJ27" i="3"/>
  <c r="EI27" i="3"/>
  <c r="EH27" i="3"/>
  <c r="EG27" i="3"/>
  <c r="EF27" i="3"/>
  <c r="EE27" i="3"/>
  <c r="ED27" i="3"/>
  <c r="EC27" i="3"/>
  <c r="EB27" i="3"/>
  <c r="EA27" i="3"/>
  <c r="DZ27" i="3"/>
  <c r="DY27" i="3"/>
  <c r="DX27" i="3"/>
  <c r="DW27" i="3"/>
  <c r="DV27" i="3"/>
  <c r="DU27" i="3"/>
  <c r="DT27" i="3"/>
  <c r="DS27" i="3"/>
  <c r="DR27" i="3"/>
  <c r="DQ27" i="3"/>
  <c r="DP27" i="3"/>
  <c r="DO27" i="3"/>
  <c r="DN27" i="3"/>
  <c r="DM27" i="3"/>
  <c r="DL27" i="3"/>
  <c r="DK27" i="3"/>
  <c r="DJ27" i="3"/>
  <c r="DI27" i="3"/>
  <c r="DH27" i="3"/>
  <c r="DG27" i="3"/>
  <c r="DF27" i="3"/>
  <c r="DE27" i="3"/>
  <c r="DD27" i="3"/>
  <c r="DC27" i="3"/>
  <c r="DB27" i="3"/>
  <c r="DA27" i="3"/>
  <c r="CZ27" i="3"/>
  <c r="CY27" i="3"/>
  <c r="CX27" i="3"/>
  <c r="CW27" i="3"/>
  <c r="CV27" i="3"/>
  <c r="CU27" i="3"/>
  <c r="CT27" i="3"/>
  <c r="CS27" i="3"/>
  <c r="CR27" i="3"/>
  <c r="CQ27" i="3"/>
  <c r="CP27" i="3"/>
  <c r="CO27" i="3"/>
  <c r="CN27" i="3"/>
  <c r="CM27" i="3"/>
  <c r="CL27" i="3"/>
  <c r="CK27" i="3"/>
  <c r="CJ27" i="3"/>
  <c r="CI27" i="3"/>
  <c r="CH27" i="3"/>
  <c r="CG27" i="3"/>
  <c r="CF27" i="3"/>
  <c r="CE27" i="3"/>
  <c r="CD27" i="3"/>
  <c r="CC27" i="3"/>
  <c r="CB27" i="3"/>
  <c r="CA27" i="3"/>
  <c r="BZ27" i="3"/>
  <c r="BY27" i="3"/>
  <c r="BX27" i="3"/>
  <c r="BW27" i="3"/>
  <c r="BV27" i="3"/>
  <c r="BU27" i="3"/>
  <c r="BT27" i="3"/>
  <c r="BS27" i="3"/>
  <c r="BR27" i="3"/>
  <c r="BQ27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FA26" i="3"/>
  <c r="EZ26" i="3"/>
  <c r="EY26" i="3"/>
  <c r="EX26" i="3"/>
  <c r="EW26" i="3"/>
  <c r="EV26" i="3"/>
  <c r="EU26" i="3"/>
  <c r="ET26" i="3"/>
  <c r="ES26" i="3"/>
  <c r="ER26" i="3"/>
  <c r="EQ26" i="3"/>
  <c r="EP26" i="3"/>
  <c r="EO26" i="3"/>
  <c r="EN26" i="3"/>
  <c r="EM26" i="3"/>
  <c r="EL26" i="3"/>
  <c r="EK26" i="3"/>
  <c r="EJ26" i="3"/>
  <c r="EI26" i="3"/>
  <c r="EH26" i="3"/>
  <c r="EG26" i="3"/>
  <c r="EF26" i="3"/>
  <c r="EE26" i="3"/>
  <c r="ED26" i="3"/>
  <c r="EC26" i="3"/>
  <c r="EB26" i="3"/>
  <c r="EA26" i="3"/>
  <c r="DZ26" i="3"/>
  <c r="DY26" i="3"/>
  <c r="DX26" i="3"/>
  <c r="DW26" i="3"/>
  <c r="DV26" i="3"/>
  <c r="DU26" i="3"/>
  <c r="DT26" i="3"/>
  <c r="DS26" i="3"/>
  <c r="DR26" i="3"/>
  <c r="DQ26" i="3"/>
  <c r="DP26" i="3"/>
  <c r="DO26" i="3"/>
  <c r="DN26" i="3"/>
  <c r="DM26" i="3"/>
  <c r="DL26" i="3"/>
  <c r="DK26" i="3"/>
  <c r="DJ26" i="3"/>
  <c r="DI26" i="3"/>
  <c r="DH26" i="3"/>
  <c r="DG26" i="3"/>
  <c r="DF26" i="3"/>
  <c r="DE26" i="3"/>
  <c r="DD26" i="3"/>
  <c r="DC26" i="3"/>
  <c r="DB26" i="3"/>
  <c r="DA26" i="3"/>
  <c r="CZ26" i="3"/>
  <c r="CY26" i="3"/>
  <c r="CX26" i="3"/>
  <c r="CW26" i="3"/>
  <c r="CV26" i="3"/>
  <c r="CU26" i="3"/>
  <c r="CT26" i="3"/>
  <c r="CS26" i="3"/>
  <c r="CR26" i="3"/>
  <c r="CQ26" i="3"/>
  <c r="CP26" i="3"/>
  <c r="CO26" i="3"/>
  <c r="CN26" i="3"/>
  <c r="CM26" i="3"/>
  <c r="CL26" i="3"/>
  <c r="CK26" i="3"/>
  <c r="CJ26" i="3"/>
  <c r="CI26" i="3"/>
  <c r="CH26" i="3"/>
  <c r="CG26" i="3"/>
  <c r="CF26" i="3"/>
  <c r="CE26" i="3"/>
  <c r="CD26" i="3"/>
  <c r="CC26" i="3"/>
  <c r="CB26" i="3"/>
  <c r="CA26" i="3"/>
  <c r="BZ26" i="3"/>
  <c r="BY26" i="3"/>
  <c r="BX26" i="3"/>
  <c r="BW26" i="3"/>
  <c r="BV26" i="3"/>
  <c r="BU26" i="3"/>
  <c r="BT26" i="3"/>
  <c r="BS26" i="3"/>
  <c r="BR26" i="3"/>
  <c r="BQ26" i="3"/>
  <c r="BP26" i="3"/>
  <c r="BO26" i="3"/>
  <c r="BN26" i="3"/>
  <c r="BM26" i="3"/>
  <c r="BL26" i="3"/>
  <c r="BK26" i="3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FA25" i="3"/>
  <c r="EZ25" i="3"/>
  <c r="EY25" i="3"/>
  <c r="EX25" i="3"/>
  <c r="EW25" i="3"/>
  <c r="EV25" i="3"/>
  <c r="EU25" i="3"/>
  <c r="ET25" i="3"/>
  <c r="ES25" i="3"/>
  <c r="ER25" i="3"/>
  <c r="EQ25" i="3"/>
  <c r="EP25" i="3"/>
  <c r="EO25" i="3"/>
  <c r="EN25" i="3"/>
  <c r="EM25" i="3"/>
  <c r="EL25" i="3"/>
  <c r="EK25" i="3"/>
  <c r="EJ25" i="3"/>
  <c r="EI25" i="3"/>
  <c r="EH25" i="3"/>
  <c r="EG25" i="3"/>
  <c r="EF25" i="3"/>
  <c r="EE25" i="3"/>
  <c r="ED25" i="3"/>
  <c r="EC25" i="3"/>
  <c r="EB25" i="3"/>
  <c r="EA25" i="3"/>
  <c r="DZ25" i="3"/>
  <c r="DY25" i="3"/>
  <c r="DX25" i="3"/>
  <c r="DW25" i="3"/>
  <c r="DV25" i="3"/>
  <c r="DU25" i="3"/>
  <c r="DT25" i="3"/>
  <c r="DS25" i="3"/>
  <c r="DR25" i="3"/>
  <c r="DQ25" i="3"/>
  <c r="DP25" i="3"/>
  <c r="DO25" i="3"/>
  <c r="DN25" i="3"/>
  <c r="DM25" i="3"/>
  <c r="DL25" i="3"/>
  <c r="DK25" i="3"/>
  <c r="DJ25" i="3"/>
  <c r="DI25" i="3"/>
  <c r="DH25" i="3"/>
  <c r="DG25" i="3"/>
  <c r="DF25" i="3"/>
  <c r="DE25" i="3"/>
  <c r="DD25" i="3"/>
  <c r="DC25" i="3"/>
  <c r="DB25" i="3"/>
  <c r="DA25" i="3"/>
  <c r="CZ25" i="3"/>
  <c r="CY25" i="3"/>
  <c r="CX25" i="3"/>
  <c r="CW25" i="3"/>
  <c r="CV25" i="3"/>
  <c r="CU25" i="3"/>
  <c r="CT25" i="3"/>
  <c r="CS25" i="3"/>
  <c r="CR25" i="3"/>
  <c r="CQ25" i="3"/>
  <c r="CP25" i="3"/>
  <c r="CO25" i="3"/>
  <c r="CN25" i="3"/>
  <c r="CM25" i="3"/>
  <c r="CL25" i="3"/>
  <c r="CK25" i="3"/>
  <c r="CJ25" i="3"/>
  <c r="CI25" i="3"/>
  <c r="CH25" i="3"/>
  <c r="CG25" i="3"/>
  <c r="CF25" i="3"/>
  <c r="CE25" i="3"/>
  <c r="CD25" i="3"/>
  <c r="CC25" i="3"/>
  <c r="CB25" i="3"/>
  <c r="CA25" i="3"/>
  <c r="BZ25" i="3"/>
  <c r="BY25" i="3"/>
  <c r="BX25" i="3"/>
  <c r="BW25" i="3"/>
  <c r="BV25" i="3"/>
  <c r="BU25" i="3"/>
  <c r="BT25" i="3"/>
  <c r="BS25" i="3"/>
  <c r="BR25" i="3"/>
  <c r="BQ25" i="3"/>
  <c r="BP25" i="3"/>
  <c r="BO25" i="3"/>
  <c r="BN25" i="3"/>
  <c r="BM25" i="3"/>
  <c r="BL25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FA24" i="3"/>
  <c r="EZ24" i="3"/>
  <c r="EY24" i="3"/>
  <c r="EX24" i="3"/>
  <c r="EW24" i="3"/>
  <c r="EV24" i="3"/>
  <c r="EU24" i="3"/>
  <c r="ET24" i="3"/>
  <c r="ES24" i="3"/>
  <c r="ER24" i="3"/>
  <c r="EQ24" i="3"/>
  <c r="EP24" i="3"/>
  <c r="EO24" i="3"/>
  <c r="EN24" i="3"/>
  <c r="EM24" i="3"/>
  <c r="EL24" i="3"/>
  <c r="EK24" i="3"/>
  <c r="EJ24" i="3"/>
  <c r="EI24" i="3"/>
  <c r="EH24" i="3"/>
  <c r="EG24" i="3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FA23" i="3"/>
  <c r="EZ23" i="3"/>
  <c r="EY23" i="3"/>
  <c r="EX23" i="3"/>
  <c r="EW23" i="3"/>
  <c r="EV23" i="3"/>
  <c r="EU23" i="3"/>
  <c r="ET23" i="3"/>
  <c r="ES23" i="3"/>
  <c r="ER23" i="3"/>
  <c r="EQ23" i="3"/>
  <c r="EP23" i="3"/>
  <c r="EO23" i="3"/>
  <c r="EN23" i="3"/>
  <c r="EM23" i="3"/>
  <c r="EL23" i="3"/>
  <c r="EK23" i="3"/>
  <c r="EJ23" i="3"/>
  <c r="EI23" i="3"/>
  <c r="EH23" i="3"/>
  <c r="EG23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FA22" i="3"/>
  <c r="FA5" i="3" s="1"/>
  <c r="EZ22" i="3"/>
  <c r="EZ5" i="3" s="1"/>
  <c r="EY22" i="3"/>
  <c r="EY5" i="3" s="1"/>
  <c r="EX22" i="3"/>
  <c r="EX5" i="3" s="1"/>
  <c r="EW22" i="3"/>
  <c r="EW5" i="3" s="1"/>
  <c r="EV22" i="3"/>
  <c r="EV5" i="3" s="1"/>
  <c r="EU22" i="3"/>
  <c r="EU5" i="3" s="1"/>
  <c r="ET22" i="3"/>
  <c r="ET5" i="3" s="1"/>
  <c r="ES22" i="3"/>
  <c r="ES5" i="3" s="1"/>
  <c r="ER22" i="3"/>
  <c r="ER5" i="3" s="1"/>
  <c r="EQ22" i="3"/>
  <c r="EQ5" i="3" s="1"/>
  <c r="EP22" i="3"/>
  <c r="EP5" i="3" s="1"/>
  <c r="EO22" i="3"/>
  <c r="EO5" i="3" s="1"/>
  <c r="EN22" i="3"/>
  <c r="EN5" i="3" s="1"/>
  <c r="EM22" i="3"/>
  <c r="EM5" i="3" s="1"/>
  <c r="EL22" i="3"/>
  <c r="EL5" i="3" s="1"/>
  <c r="EK22" i="3"/>
  <c r="EK5" i="3" s="1"/>
  <c r="EJ22" i="3"/>
  <c r="EJ5" i="3" s="1"/>
  <c r="EI22" i="3"/>
  <c r="EI5" i="3" s="1"/>
  <c r="EH22" i="3"/>
  <c r="EH5" i="3" s="1"/>
  <c r="EG22" i="3"/>
  <c r="EG5" i="3" s="1"/>
  <c r="EF22" i="3"/>
  <c r="EF5" i="3" s="1"/>
  <c r="EE22" i="3"/>
  <c r="EE5" i="3" s="1"/>
  <c r="ED22" i="3"/>
  <c r="ED5" i="3" s="1"/>
  <c r="EC22" i="3"/>
  <c r="EC5" i="3" s="1"/>
  <c r="EB22" i="3"/>
  <c r="EB5" i="3" s="1"/>
  <c r="EA22" i="3"/>
  <c r="EA5" i="3" s="1"/>
  <c r="DZ22" i="3"/>
  <c r="DZ5" i="3" s="1"/>
  <c r="DY22" i="3"/>
  <c r="DY5" i="3" s="1"/>
  <c r="DX22" i="3"/>
  <c r="DX5" i="3" s="1"/>
  <c r="DW22" i="3"/>
  <c r="DW5" i="3" s="1"/>
  <c r="DV22" i="3"/>
  <c r="DV5" i="3" s="1"/>
  <c r="DU22" i="3"/>
  <c r="DU5" i="3" s="1"/>
  <c r="DT22" i="3"/>
  <c r="DT5" i="3" s="1"/>
  <c r="DS22" i="3"/>
  <c r="DS5" i="3" s="1"/>
  <c r="DR22" i="3"/>
  <c r="DR5" i="3" s="1"/>
  <c r="DQ22" i="3"/>
  <c r="DQ5" i="3" s="1"/>
  <c r="DP22" i="3"/>
  <c r="DP5" i="3" s="1"/>
  <c r="DO22" i="3"/>
  <c r="DO5" i="3" s="1"/>
  <c r="DN22" i="3"/>
  <c r="DN5" i="3" s="1"/>
  <c r="DM22" i="3"/>
  <c r="DM5" i="3" s="1"/>
  <c r="DL22" i="3"/>
  <c r="DL5" i="3" s="1"/>
  <c r="DK22" i="3"/>
  <c r="DK5" i="3" s="1"/>
  <c r="DJ22" i="3"/>
  <c r="DJ5" i="3" s="1"/>
  <c r="DI22" i="3"/>
  <c r="DI5" i="3" s="1"/>
  <c r="DH22" i="3"/>
  <c r="DH5" i="3" s="1"/>
  <c r="DG22" i="3"/>
  <c r="DG5" i="3" s="1"/>
  <c r="DF22" i="3"/>
  <c r="DF5" i="3" s="1"/>
  <c r="DE22" i="3"/>
  <c r="DE5" i="3" s="1"/>
  <c r="DD22" i="3"/>
  <c r="DD5" i="3" s="1"/>
  <c r="DC22" i="3"/>
  <c r="DC5" i="3" s="1"/>
  <c r="DB22" i="3"/>
  <c r="DB5" i="3" s="1"/>
  <c r="DA22" i="3"/>
  <c r="DA5" i="3" s="1"/>
  <c r="CZ22" i="3"/>
  <c r="CZ5" i="3" s="1"/>
  <c r="CY22" i="3"/>
  <c r="CY5" i="3" s="1"/>
  <c r="CX22" i="3"/>
  <c r="CX5" i="3" s="1"/>
  <c r="CW22" i="3"/>
  <c r="CW5" i="3" s="1"/>
  <c r="CV22" i="3"/>
  <c r="CV5" i="3" s="1"/>
  <c r="CU22" i="3"/>
  <c r="CU5" i="3" s="1"/>
  <c r="CT22" i="3"/>
  <c r="CT5" i="3" s="1"/>
  <c r="CS22" i="3"/>
  <c r="CS5" i="3" s="1"/>
  <c r="CR22" i="3"/>
  <c r="CR5" i="3" s="1"/>
  <c r="CQ22" i="3"/>
  <c r="CQ5" i="3" s="1"/>
  <c r="CP22" i="3"/>
  <c r="CP5" i="3" s="1"/>
  <c r="CO22" i="3"/>
  <c r="CO5" i="3" s="1"/>
  <c r="CN22" i="3"/>
  <c r="CN5" i="3" s="1"/>
  <c r="CM22" i="3"/>
  <c r="CM5" i="3" s="1"/>
  <c r="CL22" i="3"/>
  <c r="CL5" i="3" s="1"/>
  <c r="CK22" i="3"/>
  <c r="CK5" i="3" s="1"/>
  <c r="CJ22" i="3"/>
  <c r="CJ5" i="3" s="1"/>
  <c r="CI22" i="3"/>
  <c r="CI5" i="3" s="1"/>
  <c r="CH22" i="3"/>
  <c r="CH5" i="3" s="1"/>
  <c r="CG22" i="3"/>
  <c r="CG5" i="3" s="1"/>
  <c r="CF22" i="3"/>
  <c r="CF5" i="3" s="1"/>
  <c r="CE22" i="3"/>
  <c r="CE5" i="3" s="1"/>
  <c r="CD22" i="3"/>
  <c r="CD5" i="3" s="1"/>
  <c r="CC22" i="3"/>
  <c r="CC5" i="3" s="1"/>
  <c r="CB22" i="3"/>
  <c r="CB5" i="3" s="1"/>
  <c r="CA22" i="3"/>
  <c r="CA5" i="3" s="1"/>
  <c r="BZ22" i="3"/>
  <c r="BZ5" i="3" s="1"/>
  <c r="BY22" i="3"/>
  <c r="BY5" i="3" s="1"/>
  <c r="BX22" i="3"/>
  <c r="BX5" i="3" s="1"/>
  <c r="BW22" i="3"/>
  <c r="BW5" i="3" s="1"/>
  <c r="BV22" i="3"/>
  <c r="BV5" i="3" s="1"/>
  <c r="BU22" i="3"/>
  <c r="BU5" i="3" s="1"/>
  <c r="BT22" i="3"/>
  <c r="BT5" i="3" s="1"/>
  <c r="BS22" i="3"/>
  <c r="BS5" i="3" s="1"/>
  <c r="BR22" i="3"/>
  <c r="BR5" i="3" s="1"/>
  <c r="BQ22" i="3"/>
  <c r="BQ5" i="3" s="1"/>
  <c r="BP22" i="3"/>
  <c r="BP5" i="3" s="1"/>
  <c r="BO22" i="3"/>
  <c r="BO5" i="3" s="1"/>
  <c r="BN22" i="3"/>
  <c r="BN5" i="3" s="1"/>
  <c r="BM22" i="3"/>
  <c r="BM5" i="3" s="1"/>
  <c r="BL22" i="3"/>
  <c r="BL5" i="3" s="1"/>
  <c r="BK22" i="3"/>
  <c r="BK5" i="3" s="1"/>
  <c r="BJ22" i="3"/>
  <c r="BJ5" i="3" s="1"/>
  <c r="BI22" i="3"/>
  <c r="BI5" i="3" s="1"/>
  <c r="BH22" i="3"/>
  <c r="BH5" i="3" s="1"/>
  <c r="BG22" i="3"/>
  <c r="BG5" i="3" s="1"/>
  <c r="BF22" i="3"/>
  <c r="BF5" i="3" s="1"/>
  <c r="BE22" i="3"/>
  <c r="BE5" i="3" s="1"/>
  <c r="BD22" i="3"/>
  <c r="BD5" i="3" s="1"/>
  <c r="BC22" i="3"/>
  <c r="BC5" i="3" s="1"/>
  <c r="BB22" i="3"/>
  <c r="BB5" i="3" s="1"/>
  <c r="BA22" i="3"/>
  <c r="BA5" i="3" s="1"/>
  <c r="AZ22" i="3"/>
  <c r="AZ5" i="3" s="1"/>
  <c r="AY22" i="3"/>
  <c r="AY5" i="3" s="1"/>
  <c r="AX22" i="3"/>
  <c r="AX5" i="3" s="1"/>
  <c r="AW22" i="3"/>
  <c r="AW5" i="3" s="1"/>
  <c r="AV22" i="3"/>
  <c r="AV5" i="3" s="1"/>
  <c r="AU22" i="3"/>
  <c r="AU5" i="3" s="1"/>
  <c r="AT22" i="3"/>
  <c r="AT5" i="3" s="1"/>
  <c r="AS22" i="3"/>
  <c r="AS5" i="3" s="1"/>
  <c r="AR22" i="3"/>
  <c r="AR5" i="3" s="1"/>
  <c r="AQ22" i="3"/>
  <c r="AQ5" i="3" s="1"/>
  <c r="AP22" i="3"/>
  <c r="AP5" i="3" s="1"/>
  <c r="AO22" i="3"/>
  <c r="AO5" i="3" s="1"/>
  <c r="AN22" i="3"/>
  <c r="AN5" i="3" s="1"/>
  <c r="AM22" i="3"/>
  <c r="AM5" i="3" s="1"/>
  <c r="AL22" i="3"/>
  <c r="AL5" i="3" s="1"/>
  <c r="AK22" i="3"/>
  <c r="AK5" i="3" s="1"/>
  <c r="AJ22" i="3"/>
  <c r="AJ5" i="3" s="1"/>
  <c r="AI22" i="3"/>
  <c r="AI5" i="3" s="1"/>
  <c r="AH22" i="3"/>
  <c r="AH5" i="3" s="1"/>
  <c r="AG22" i="3"/>
  <c r="AG5" i="3" s="1"/>
  <c r="AF22" i="3"/>
  <c r="AF5" i="3" s="1"/>
  <c r="AE22" i="3"/>
  <c r="AE5" i="3" s="1"/>
  <c r="AD22" i="3"/>
  <c r="AD5" i="3" s="1"/>
  <c r="AC22" i="3"/>
  <c r="AC5" i="3" s="1"/>
  <c r="AB22" i="3"/>
  <c r="AB5" i="3" s="1"/>
  <c r="AA22" i="3"/>
  <c r="AA5" i="3" s="1"/>
  <c r="Z22" i="3"/>
  <c r="Z5" i="3" s="1"/>
  <c r="Y22" i="3"/>
  <c r="Y5" i="3" s="1"/>
  <c r="X22" i="3"/>
  <c r="X5" i="3" s="1"/>
  <c r="W22" i="3"/>
  <c r="W5" i="3" s="1"/>
  <c r="V22" i="3"/>
  <c r="V5" i="3" s="1"/>
  <c r="U22" i="3"/>
  <c r="U5" i="3" s="1"/>
  <c r="T22" i="3"/>
  <c r="T5" i="3" s="1"/>
  <c r="S22" i="3"/>
  <c r="S5" i="3" s="1"/>
  <c r="R22" i="3"/>
  <c r="R5" i="3" s="1"/>
  <c r="Q22" i="3"/>
  <c r="Q5" i="3" s="1"/>
  <c r="P22" i="3"/>
  <c r="P5" i="3" s="1"/>
  <c r="O22" i="3"/>
  <c r="O5" i="3" s="1"/>
  <c r="N22" i="3"/>
  <c r="N5" i="3" s="1"/>
  <c r="M22" i="3"/>
  <c r="M5" i="3" s="1"/>
  <c r="L22" i="3"/>
  <c r="L5" i="3" s="1"/>
  <c r="K22" i="3"/>
  <c r="K5" i="3" s="1"/>
  <c r="J22" i="3"/>
  <c r="J5" i="3" s="1"/>
  <c r="I22" i="3"/>
  <c r="I5" i="3" s="1"/>
  <c r="H5" i="3"/>
  <c r="G22" i="3"/>
  <c r="G5" i="3" s="1"/>
  <c r="F22" i="3"/>
  <c r="E22" i="3"/>
  <c r="FA21" i="3"/>
  <c r="EZ21" i="3"/>
  <c r="EY21" i="3"/>
  <c r="EX21" i="3"/>
  <c r="EW21" i="3"/>
  <c r="EV21" i="3"/>
  <c r="EU21" i="3"/>
  <c r="ET21" i="3"/>
  <c r="ES21" i="3"/>
  <c r="ER21" i="3"/>
  <c r="EQ21" i="3"/>
  <c r="EP21" i="3"/>
  <c r="EO21" i="3"/>
  <c r="EN21" i="3"/>
  <c r="EM21" i="3"/>
  <c r="EL21" i="3"/>
  <c r="EK21" i="3"/>
  <c r="EJ21" i="3"/>
  <c r="EI21" i="3"/>
  <c r="EH21" i="3"/>
  <c r="EG21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B7" i="21" l="1"/>
  <c r="B17" i="7"/>
  <c r="B16" i="7"/>
  <c r="C34" i="1"/>
  <c r="FC20" i="3"/>
  <c r="FB20" i="3"/>
  <c r="FA20" i="3"/>
  <c r="EZ20" i="3"/>
  <c r="EY20" i="3"/>
  <c r="EX20" i="3"/>
  <c r="EW20" i="3"/>
  <c r="EV20" i="3"/>
  <c r="EU20" i="3"/>
  <c r="ET20" i="3"/>
  <c r="ES20" i="3"/>
  <c r="ER20" i="3"/>
  <c r="EQ20" i="3"/>
  <c r="EP20" i="3"/>
  <c r="EO20" i="3"/>
  <c r="EN20" i="3"/>
  <c r="EM20" i="3"/>
  <c r="EL20" i="3"/>
  <c r="EK20" i="3"/>
  <c r="EJ20" i="3"/>
  <c r="EI20" i="3"/>
  <c r="EH20" i="3"/>
  <c r="EG20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G26" i="18" l="1"/>
  <c r="A63" i="18"/>
  <c r="A65" i="18" s="1"/>
  <c r="FB34" i="1"/>
  <c r="FA34" i="1"/>
  <c r="EZ34" i="1"/>
  <c r="EY34" i="1"/>
  <c r="EX34" i="1"/>
  <c r="EW34" i="1"/>
  <c r="EV34" i="1"/>
  <c r="EU34" i="1"/>
  <c r="ET34" i="1"/>
  <c r="ES34" i="1"/>
  <c r="ER34" i="1"/>
  <c r="EQ34" i="1"/>
  <c r="EP34" i="1"/>
  <c r="EO34" i="1"/>
  <c r="EN34" i="1"/>
  <c r="EM34" i="1"/>
  <c r="EL34" i="1"/>
  <c r="EK34" i="1"/>
  <c r="EJ34" i="1"/>
  <c r="EI34" i="1"/>
  <c r="EH34" i="1"/>
  <c r="EG34" i="1"/>
  <c r="EF34" i="1"/>
  <c r="EE34" i="1"/>
  <c r="ED34" i="1"/>
  <c r="EC34" i="1"/>
  <c r="EB34" i="1"/>
  <c r="EA34" i="1"/>
  <c r="DZ34" i="1"/>
  <c r="DY34" i="1"/>
  <c r="DX34" i="1"/>
  <c r="DW34" i="1"/>
  <c r="DV34" i="1"/>
  <c r="DU34" i="1"/>
  <c r="DT34" i="1"/>
  <c r="DS34" i="1"/>
  <c r="DR34" i="1"/>
  <c r="DQ34" i="1"/>
  <c r="DP34" i="1"/>
  <c r="DO34" i="1"/>
  <c r="DN34" i="1"/>
  <c r="DM34" i="1"/>
  <c r="DL34" i="1"/>
  <c r="DK34" i="1"/>
  <c r="DJ34" i="1"/>
  <c r="DI34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FG27" i="18" l="1"/>
  <c r="FF27" i="18"/>
  <c r="FE27" i="18"/>
  <c r="FD27" i="18"/>
  <c r="FC27" i="18"/>
  <c r="FB27" i="18"/>
  <c r="FA27" i="18"/>
  <c r="EZ27" i="18"/>
  <c r="EY27" i="18"/>
  <c r="EX27" i="18"/>
  <c r="EW27" i="18"/>
  <c r="EV27" i="18"/>
  <c r="EU27" i="18"/>
  <c r="ET27" i="18"/>
  <c r="ES27" i="18"/>
  <c r="ER27" i="18"/>
  <c r="EQ27" i="18"/>
  <c r="EP27" i="18"/>
  <c r="EO27" i="18"/>
  <c r="EN27" i="18"/>
  <c r="EM27" i="18"/>
  <c r="EL27" i="18"/>
  <c r="EK27" i="18"/>
  <c r="EJ27" i="18"/>
  <c r="EI27" i="18"/>
  <c r="EH27" i="18"/>
  <c r="EG27" i="18"/>
  <c r="EF27" i="18"/>
  <c r="EE27" i="18"/>
  <c r="ED27" i="18"/>
  <c r="EC27" i="18"/>
  <c r="EB27" i="18"/>
  <c r="EA27" i="18"/>
  <c r="DZ27" i="18"/>
  <c r="DY27" i="18"/>
  <c r="DX27" i="18"/>
  <c r="DW27" i="18"/>
  <c r="DV27" i="18"/>
  <c r="DU27" i="18"/>
  <c r="DT27" i="18"/>
  <c r="DS27" i="18"/>
  <c r="DR27" i="18"/>
  <c r="DQ27" i="18"/>
  <c r="DP27" i="18"/>
  <c r="DO27" i="18"/>
  <c r="DN27" i="18"/>
  <c r="DM27" i="18"/>
  <c r="DL27" i="18"/>
  <c r="DK27" i="18"/>
  <c r="DJ27" i="18"/>
  <c r="DI27" i="18"/>
  <c r="DH27" i="18"/>
  <c r="DG27" i="18"/>
  <c r="DF27" i="18"/>
  <c r="DE27" i="18"/>
  <c r="DD27" i="18"/>
  <c r="DC27" i="18"/>
  <c r="DB27" i="18"/>
  <c r="DA27" i="18"/>
  <c r="CZ27" i="18"/>
  <c r="CY27" i="18"/>
  <c r="CX27" i="18"/>
  <c r="CW27" i="18"/>
  <c r="CV27" i="18"/>
  <c r="CU27" i="18"/>
  <c r="CT27" i="18"/>
  <c r="CS27" i="18"/>
  <c r="CR27" i="18"/>
  <c r="CQ27" i="18"/>
  <c r="CP27" i="18"/>
  <c r="CO27" i="18"/>
  <c r="CN27" i="18"/>
  <c r="CM27" i="18"/>
  <c r="CL27" i="18"/>
  <c r="CK27" i="18"/>
  <c r="CJ27" i="18"/>
  <c r="CI27" i="18"/>
  <c r="CH27" i="18"/>
  <c r="CG27" i="18"/>
  <c r="CF27" i="18"/>
  <c r="CE27" i="18"/>
  <c r="CD27" i="18"/>
  <c r="CC27" i="18"/>
  <c r="CB27" i="18"/>
  <c r="CA27" i="18"/>
  <c r="BZ27" i="18"/>
  <c r="BY27" i="18"/>
  <c r="BX27" i="18"/>
  <c r="BW27" i="18"/>
  <c r="BV27" i="18"/>
  <c r="BU27" i="18"/>
  <c r="BT27" i="18"/>
  <c r="BS27" i="18"/>
  <c r="BR27" i="18"/>
  <c r="BQ27" i="18"/>
  <c r="BP27" i="18"/>
  <c r="BO27" i="18"/>
  <c r="BN27" i="18"/>
  <c r="BM27" i="18"/>
  <c r="BL27" i="18"/>
  <c r="BK27" i="18"/>
  <c r="BJ27" i="18"/>
  <c r="BI27" i="18"/>
  <c r="BH27" i="18"/>
  <c r="BG27" i="18"/>
  <c r="BF27" i="18"/>
  <c r="BE27" i="18"/>
  <c r="BD27" i="18"/>
  <c r="BC27" i="18"/>
  <c r="BB27" i="18"/>
  <c r="BA27" i="18"/>
  <c r="AZ27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CO5" i="21"/>
  <c r="BH2" i="3" l="1"/>
  <c r="BI2" i="3"/>
  <c r="BJ2" i="3"/>
  <c r="BK2" i="3"/>
  <c r="BL2" i="3"/>
  <c r="BM2" i="3"/>
  <c r="BN2" i="3"/>
  <c r="BO2" i="3"/>
  <c r="BP2" i="3"/>
  <c r="BQ2" i="3"/>
  <c r="BR2" i="3"/>
  <c r="BS2" i="3"/>
  <c r="BT2" i="3"/>
  <c r="BU2" i="3"/>
  <c r="BV2" i="3"/>
  <c r="BW2" i="3"/>
  <c r="BX2" i="3"/>
  <c r="BY2" i="3"/>
  <c r="BZ2" i="3"/>
  <c r="CA2" i="3"/>
  <c r="CB2" i="3"/>
  <c r="CC2" i="3"/>
  <c r="CD2" i="3"/>
  <c r="CE2" i="3"/>
  <c r="CF2" i="3"/>
  <c r="CG2" i="3"/>
  <c r="BA2" i="3"/>
  <c r="AZ2" i="3"/>
  <c r="AY2" i="3"/>
  <c r="AX2" i="3"/>
  <c r="AW2" i="3"/>
  <c r="AV2" i="3"/>
  <c r="AU2" i="3"/>
  <c r="AT2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FA2" i="3"/>
  <c r="EE2" i="3"/>
  <c r="EX2" i="3"/>
  <c r="FC2" i="3"/>
  <c r="ER2" i="3"/>
  <c r="EQ2" i="3"/>
  <c r="EZ2" i="3"/>
  <c r="EW2" i="3"/>
  <c r="FB2" i="3"/>
  <c r="ED2" i="3"/>
  <c r="EV2" i="3"/>
  <c r="EP2" i="3"/>
  <c r="EY2" i="3"/>
  <c r="EC2" i="3"/>
  <c r="EB2" i="3"/>
  <c r="EO2" i="3"/>
  <c r="EU2" i="3"/>
  <c r="EA2" i="3"/>
  <c r="EN2" i="3"/>
  <c r="ET2" i="3"/>
  <c r="ES2" i="3"/>
  <c r="EM2" i="3"/>
  <c r="DZ2" i="3"/>
  <c r="DY2" i="3"/>
  <c r="EL2" i="3"/>
  <c r="CZ2" i="3"/>
  <c r="CY2" i="3"/>
  <c r="DX2" i="3"/>
  <c r="EK2" i="3"/>
  <c r="CX2" i="3"/>
  <c r="EJ2" i="3"/>
  <c r="DW2" i="3"/>
  <c r="CW2" i="3"/>
  <c r="DV2" i="3"/>
  <c r="EI2" i="3"/>
  <c r="CV2" i="3"/>
  <c r="DU2" i="3"/>
  <c r="EH2" i="3"/>
  <c r="CU2" i="3"/>
  <c r="EG2" i="3"/>
  <c r="DT2" i="3"/>
  <c r="CT2" i="3"/>
  <c r="EF2" i="3"/>
  <c r="DS2" i="3"/>
  <c r="CS2" i="3"/>
  <c r="DR2" i="3"/>
  <c r="CR2" i="3"/>
  <c r="DQ2" i="3"/>
  <c r="CQ2" i="3"/>
  <c r="DP2" i="3"/>
  <c r="DO2" i="3"/>
  <c r="CP2" i="3"/>
  <c r="CO2" i="3"/>
  <c r="DN2" i="3"/>
  <c r="CN2" i="3"/>
  <c r="DM2" i="3"/>
  <c r="CM2" i="3"/>
  <c r="DL2" i="3"/>
  <c r="CL2" i="3"/>
  <c r="DK2" i="3"/>
  <c r="CK2" i="3"/>
  <c r="DJ2" i="3"/>
  <c r="DI2" i="3"/>
  <c r="CJ2" i="3"/>
  <c r="DH2" i="3"/>
  <c r="CI2" i="3"/>
  <c r="DG2" i="3"/>
  <c r="CH2" i="3"/>
  <c r="CW5" i="7"/>
  <c r="CV5" i="7"/>
  <c r="CU5" i="7"/>
  <c r="CT5" i="7"/>
  <c r="CS5" i="7"/>
  <c r="CR5" i="7"/>
  <c r="CP5" i="7"/>
  <c r="CO5" i="7"/>
  <c r="CN5" i="7"/>
  <c r="CM5" i="7"/>
  <c r="CL5" i="7"/>
  <c r="CK5" i="7"/>
  <c r="CJ5" i="7"/>
  <c r="CI5" i="7"/>
  <c r="CH5" i="7"/>
  <c r="CG5" i="7"/>
  <c r="CF5" i="7"/>
  <c r="CE5" i="7"/>
  <c r="CD5" i="7"/>
  <c r="CC5" i="7"/>
  <c r="CB5" i="7"/>
  <c r="CA5" i="7"/>
  <c r="BZ5" i="7"/>
  <c r="BY5" i="7"/>
  <c r="BX5" i="7"/>
  <c r="BW5" i="7"/>
  <c r="BV5" i="7"/>
  <c r="BU5" i="7"/>
  <c r="BT5" i="7"/>
  <c r="BS5" i="7"/>
  <c r="BR5" i="7"/>
  <c r="BQ5" i="7"/>
  <c r="BP5" i="7"/>
  <c r="BO5" i="7"/>
  <c r="BN5" i="7"/>
  <c r="BM5" i="7"/>
  <c r="BL5" i="7"/>
  <c r="BK5" i="7"/>
  <c r="BJ5" i="7"/>
  <c r="BI5" i="7"/>
  <c r="BH5" i="7"/>
  <c r="BG5" i="7"/>
  <c r="FE5" i="7"/>
  <c r="BE5" i="7"/>
  <c r="BD5" i="7"/>
  <c r="BC5" i="7"/>
  <c r="BB5" i="7"/>
  <c r="BA5" i="7"/>
  <c r="AZ5" i="7"/>
  <c r="AY5" i="7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GR5" i="7"/>
  <c r="GQ5" i="7"/>
  <c r="GQ11" i="7" s="1"/>
  <c r="GQ2" i="9" s="1"/>
  <c r="GP5" i="7"/>
  <c r="GO5" i="7"/>
  <c r="GO11" i="7" s="1"/>
  <c r="GO2" i="9" s="1"/>
  <c r="GN5" i="7"/>
  <c r="GN11" i="7" s="1"/>
  <c r="GN2" i="9" s="1"/>
  <c r="GM5" i="7"/>
  <c r="GM11" i="7" s="1"/>
  <c r="GM2" i="9" s="1"/>
  <c r="CQ5" i="7"/>
  <c r="GL5" i="7"/>
  <c r="GL11" i="7" s="1"/>
  <c r="GL2" i="9" s="1"/>
  <c r="GK5" i="7"/>
  <c r="GJ5" i="7"/>
  <c r="GI5" i="7"/>
  <c r="GI11" i="7" s="1"/>
  <c r="GI2" i="9" s="1"/>
  <c r="GH5" i="7"/>
  <c r="GH11" i="7" s="1"/>
  <c r="GH2" i="9" s="1"/>
  <c r="GG5" i="7"/>
  <c r="GG11" i="7" s="1"/>
  <c r="GG2" i="9" s="1"/>
  <c r="GF5" i="7"/>
  <c r="GF11" i="7" s="1"/>
  <c r="GF2" i="9" s="1"/>
  <c r="GE5" i="7"/>
  <c r="GE11" i="7" s="1"/>
  <c r="GE2" i="9" s="1"/>
  <c r="GD5" i="7"/>
  <c r="GD11" i="7" s="1"/>
  <c r="GD2" i="9" s="1"/>
  <c r="GC5" i="7"/>
  <c r="GC11" i="7" s="1"/>
  <c r="GC2" i="9" s="1"/>
  <c r="GB5" i="7"/>
  <c r="GB11" i="7" s="1"/>
  <c r="GB2" i="9" s="1"/>
  <c r="GA5" i="7"/>
  <c r="GA11" i="7" s="1"/>
  <c r="GA2" i="9" s="1"/>
  <c r="FZ5" i="7"/>
  <c r="FZ11" i="7" s="1"/>
  <c r="FZ2" i="9" s="1"/>
  <c r="FY5" i="7"/>
  <c r="FY11" i="7" s="1"/>
  <c r="FY2" i="9" s="1"/>
  <c r="FX5" i="7"/>
  <c r="FX11" i="7" s="1"/>
  <c r="FX2" i="9" s="1"/>
  <c r="FW5" i="7"/>
  <c r="FV5" i="7"/>
  <c r="FV11" i="7" s="1"/>
  <c r="FV2" i="9" s="1"/>
  <c r="FU5" i="7"/>
  <c r="FT5" i="7"/>
  <c r="FS5" i="7"/>
  <c r="FS11" i="7" s="1"/>
  <c r="FS2" i="9" s="1"/>
  <c r="FR5" i="7"/>
  <c r="FR11" i="7" s="1"/>
  <c r="FR2" i="9" s="1"/>
  <c r="FQ5" i="7"/>
  <c r="FQ11" i="7" s="1"/>
  <c r="FQ2" i="9" s="1"/>
  <c r="FP5" i="7"/>
  <c r="FO5" i="7"/>
  <c r="FN5" i="7"/>
  <c r="FM5" i="7"/>
  <c r="FL5" i="7"/>
  <c r="FK5" i="7"/>
  <c r="FJ5" i="7"/>
  <c r="FI5" i="7"/>
  <c r="FH5" i="7"/>
  <c r="FG5" i="7"/>
  <c r="FF5" i="7"/>
  <c r="FD5" i="7"/>
  <c r="FC5" i="7"/>
  <c r="FB5" i="7"/>
  <c r="FA5" i="7"/>
  <c r="EZ5" i="7"/>
  <c r="EY5" i="7"/>
  <c r="EX5" i="7"/>
  <c r="EW5" i="7"/>
  <c r="EV5" i="7"/>
  <c r="EU5" i="7"/>
  <c r="ET5" i="7"/>
  <c r="ES5" i="7"/>
  <c r="ER5" i="7"/>
  <c r="EQ5" i="7"/>
  <c r="EP5" i="7"/>
  <c r="EO5" i="7"/>
  <c r="EN5" i="7"/>
  <c r="EM5" i="7"/>
  <c r="EL5" i="7"/>
  <c r="EK5" i="7"/>
  <c r="EJ5" i="7"/>
  <c r="EI5" i="7"/>
  <c r="EH5" i="7"/>
  <c r="EG5" i="7"/>
  <c r="EF5" i="7"/>
  <c r="BF5" i="7"/>
  <c r="EE5" i="7"/>
  <c r="ED5" i="7"/>
  <c r="EC5" i="7"/>
  <c r="EB5" i="7"/>
  <c r="EA5" i="7"/>
  <c r="DZ5" i="7"/>
  <c r="DY5" i="7"/>
  <c r="DX5" i="7"/>
  <c r="DW5" i="7"/>
  <c r="DV5" i="7"/>
  <c r="DU5" i="7"/>
  <c r="DT5" i="7"/>
  <c r="DS5" i="7"/>
  <c r="DR5" i="7"/>
  <c r="DQ5" i="7"/>
  <c r="DP5" i="7"/>
  <c r="DO5" i="7"/>
  <c r="DN5" i="7"/>
  <c r="DM5" i="7"/>
  <c r="DL5" i="7"/>
  <c r="DK5" i="7"/>
  <c r="DJ5" i="7"/>
  <c r="DI5" i="7"/>
  <c r="DH5" i="7"/>
  <c r="DG5" i="7"/>
  <c r="DF5" i="7"/>
  <c r="DE5" i="7"/>
  <c r="DD5" i="7"/>
  <c r="DC5" i="7"/>
  <c r="DB5" i="7"/>
  <c r="DA5" i="7"/>
  <c r="CZ5" i="7"/>
  <c r="CY5" i="7"/>
  <c r="CX5" i="7"/>
  <c r="DF2" i="3"/>
  <c r="BG2" i="3"/>
  <c r="DE2" i="3"/>
  <c r="BF2" i="3"/>
  <c r="DD2" i="3"/>
  <c r="BE2" i="3"/>
  <c r="BD2" i="3"/>
  <c r="DC2" i="3"/>
  <c r="BC2" i="3"/>
  <c r="DB2" i="3"/>
  <c r="BB2" i="3"/>
  <c r="DA2" i="3"/>
  <c r="C2" i="3"/>
  <c r="P3" i="3"/>
  <c r="O3" i="3"/>
  <c r="N3" i="3"/>
  <c r="M3" i="3"/>
  <c r="L3" i="3"/>
  <c r="K3" i="3"/>
  <c r="J3" i="3"/>
  <c r="I3" i="3"/>
  <c r="H3" i="3"/>
  <c r="G3" i="3"/>
  <c r="F3" i="3"/>
  <c r="DH3" i="3"/>
  <c r="FA3" i="3"/>
  <c r="EF3" i="3"/>
  <c r="FC3" i="3"/>
  <c r="BL3" i="3"/>
  <c r="EX3" i="3"/>
  <c r="ER3" i="3"/>
  <c r="DG3" i="3"/>
  <c r="EE3" i="3"/>
  <c r="BK3" i="3"/>
  <c r="EW3" i="3"/>
  <c r="FB3" i="3"/>
  <c r="EZ3" i="3"/>
  <c r="EQ3" i="3"/>
  <c r="DF3" i="3"/>
  <c r="EY3" i="3"/>
  <c r="ED3" i="3"/>
  <c r="BJ3" i="3"/>
  <c r="EV3" i="3"/>
  <c r="EP3" i="3"/>
  <c r="DE3" i="3"/>
  <c r="EO3" i="3"/>
  <c r="BI3" i="3"/>
  <c r="EC3" i="3"/>
  <c r="EU3" i="3"/>
  <c r="DD3" i="3"/>
  <c r="EN3" i="3"/>
  <c r="BH3" i="3"/>
  <c r="EB3" i="3"/>
  <c r="ET3" i="3"/>
  <c r="BG3" i="3"/>
  <c r="EM3" i="3"/>
  <c r="EA3" i="3"/>
  <c r="DC3" i="3"/>
  <c r="ES3" i="3"/>
  <c r="DB3" i="3"/>
  <c r="EL3" i="3"/>
  <c r="DZ3" i="3"/>
  <c r="BF3" i="3"/>
  <c r="DA3" i="3"/>
  <c r="DY3" i="3"/>
  <c r="EK3" i="3"/>
  <c r="BE3" i="3"/>
  <c r="CZ3" i="3"/>
  <c r="EJ3" i="3"/>
  <c r="BD3" i="3"/>
  <c r="DX3" i="3"/>
  <c r="CY3" i="3"/>
  <c r="EI3" i="3"/>
  <c r="BC3" i="3"/>
  <c r="DW3" i="3"/>
  <c r="CX3" i="3"/>
  <c r="EH3" i="3"/>
  <c r="BB3" i="3"/>
  <c r="DV3" i="3"/>
  <c r="EG3" i="3"/>
  <c r="CW3" i="3"/>
  <c r="BA3" i="3"/>
  <c r="DU3" i="3"/>
  <c r="DT3" i="3"/>
  <c r="CV3" i="3"/>
  <c r="AZ3" i="3"/>
  <c r="DS3" i="3"/>
  <c r="CU3" i="3"/>
  <c r="AY3" i="3"/>
  <c r="CT3" i="3"/>
  <c r="AX3" i="3"/>
  <c r="DR3" i="3"/>
  <c r="CS3" i="3"/>
  <c r="AW3" i="3"/>
  <c r="DQ3" i="3"/>
  <c r="DP3" i="3"/>
  <c r="CR3" i="3"/>
  <c r="AV3" i="3"/>
  <c r="CQ3" i="3"/>
  <c r="AU3" i="3"/>
  <c r="DO3" i="3"/>
  <c r="CP3" i="3"/>
  <c r="AT3" i="3"/>
  <c r="DN3" i="3"/>
  <c r="AS3" i="3"/>
  <c r="CO3" i="3"/>
  <c r="DM3" i="3"/>
  <c r="AR3" i="3"/>
  <c r="CN3" i="3"/>
  <c r="DL3" i="3"/>
  <c r="CM3" i="3"/>
  <c r="AQ3" i="3"/>
  <c r="DK3" i="3"/>
  <c r="DJ3" i="3"/>
  <c r="CL3" i="3"/>
  <c r="AP3" i="3"/>
  <c r="AO3" i="3"/>
  <c r="DI3" i="3"/>
  <c r="CK3" i="3"/>
  <c r="CJ3" i="3"/>
  <c r="AN3" i="3"/>
  <c r="AM3" i="3"/>
  <c r="CI3" i="3"/>
  <c r="AL3" i="3"/>
  <c r="CH3" i="3"/>
  <c r="AK3" i="3"/>
  <c r="CG3" i="3"/>
  <c r="AJ3" i="3"/>
  <c r="CF3" i="3"/>
  <c r="AI3" i="3"/>
  <c r="CE3" i="3"/>
  <c r="AH3" i="3"/>
  <c r="CD3" i="3"/>
  <c r="AG3" i="3"/>
  <c r="CC3" i="3"/>
  <c r="AF3" i="3"/>
  <c r="CB3" i="3"/>
  <c r="AE3" i="3"/>
  <c r="CA3" i="3"/>
  <c r="AD3" i="3"/>
  <c r="BZ3" i="3"/>
  <c r="AC3" i="3"/>
  <c r="BY3" i="3"/>
  <c r="AB3" i="3"/>
  <c r="BX3" i="3"/>
  <c r="AA3" i="3"/>
  <c r="BW3" i="3"/>
  <c r="Z3" i="3"/>
  <c r="BV3" i="3"/>
  <c r="Y3" i="3"/>
  <c r="BU3" i="3"/>
  <c r="X3" i="3"/>
  <c r="BT3" i="3"/>
  <c r="W3" i="3"/>
  <c r="BS3" i="3"/>
  <c r="V3" i="3"/>
  <c r="BR3" i="3"/>
  <c r="U3" i="3"/>
  <c r="BQ3" i="3"/>
  <c r="T3" i="3"/>
  <c r="BP3" i="3"/>
  <c r="S3" i="3"/>
  <c r="BO3" i="3"/>
  <c r="R3" i="3"/>
  <c r="BN3" i="3"/>
  <c r="BM3" i="3"/>
  <c r="C5" i="21"/>
  <c r="C3" i="21"/>
  <c r="B3" i="21" s="1"/>
  <c r="D5" i="21"/>
  <c r="D6" i="21"/>
  <c r="D6" i="7" s="1"/>
  <c r="E5" i="21"/>
  <c r="F5" i="21"/>
  <c r="G5" i="21"/>
  <c r="G6" i="21"/>
  <c r="H5" i="21"/>
  <c r="H6" i="21"/>
  <c r="I5" i="21"/>
  <c r="I6" i="21"/>
  <c r="J5" i="21"/>
  <c r="J6" i="21"/>
  <c r="K5" i="21"/>
  <c r="K6" i="21"/>
  <c r="L5" i="21"/>
  <c r="L6" i="21"/>
  <c r="M5" i="21"/>
  <c r="M6" i="21"/>
  <c r="N5" i="21"/>
  <c r="N6" i="21"/>
  <c r="O5" i="21"/>
  <c r="O6" i="21"/>
  <c r="P5" i="21"/>
  <c r="Q5" i="21"/>
  <c r="Q6" i="21"/>
  <c r="R5" i="21"/>
  <c r="S5" i="21"/>
  <c r="S6" i="21"/>
  <c r="T5" i="21"/>
  <c r="T6" i="21"/>
  <c r="U5" i="21"/>
  <c r="V5" i="21"/>
  <c r="V6" i="21"/>
  <c r="W5" i="21"/>
  <c r="W6" i="21"/>
  <c r="X5" i="21"/>
  <c r="X6" i="21"/>
  <c r="Y5" i="21"/>
  <c r="Y6" i="21"/>
  <c r="Z5" i="21"/>
  <c r="Z6" i="21"/>
  <c r="AA5" i="21"/>
  <c r="AB5" i="21"/>
  <c r="AC5" i="21"/>
  <c r="AC6" i="21"/>
  <c r="AD5" i="21"/>
  <c r="AE5" i="21"/>
  <c r="AE6" i="21"/>
  <c r="AF5" i="21"/>
  <c r="AF6" i="21"/>
  <c r="AG5" i="21"/>
  <c r="AG6" i="21"/>
  <c r="AH5" i="21"/>
  <c r="AH6" i="21"/>
  <c r="AI5" i="21"/>
  <c r="AI6" i="21"/>
  <c r="AJ5" i="21"/>
  <c r="AJ6" i="21"/>
  <c r="AK5" i="21"/>
  <c r="AK6" i="21"/>
  <c r="AL5" i="21"/>
  <c r="AM5" i="21"/>
  <c r="AM6" i="21"/>
  <c r="AN5" i="21"/>
  <c r="AN6" i="21"/>
  <c r="AO5" i="21"/>
  <c r="AO6" i="21"/>
  <c r="AP5" i="21"/>
  <c r="AP6" i="21"/>
  <c r="AQ5" i="21"/>
  <c r="AQ6" i="21"/>
  <c r="AR5" i="21"/>
  <c r="AR6" i="21"/>
  <c r="AS5" i="21"/>
  <c r="AS6" i="21"/>
  <c r="AT5" i="21"/>
  <c r="AT6" i="21"/>
  <c r="AU5" i="21"/>
  <c r="AU6" i="21"/>
  <c r="AV5" i="21"/>
  <c r="AW5" i="21"/>
  <c r="AW6" i="21"/>
  <c r="AX5" i="21"/>
  <c r="AY5" i="21"/>
  <c r="AY6" i="21"/>
  <c r="AZ5" i="21"/>
  <c r="AZ6" i="21"/>
  <c r="BA5" i="21"/>
  <c r="BA6" i="21"/>
  <c r="BB5" i="21"/>
  <c r="BB6" i="21"/>
  <c r="BC5" i="21"/>
  <c r="BC6" i="21"/>
  <c r="BE5" i="21"/>
  <c r="BF5" i="21"/>
  <c r="BF6" i="21"/>
  <c r="BG5" i="21"/>
  <c r="BG6" i="21"/>
  <c r="BH5" i="21"/>
  <c r="BI5" i="21"/>
  <c r="BJ5" i="21"/>
  <c r="BK5" i="21"/>
  <c r="BL5" i="21"/>
  <c r="BL6" i="21"/>
  <c r="BM5" i="21"/>
  <c r="BM6" i="21"/>
  <c r="BN5" i="21"/>
  <c r="BO5" i="21"/>
  <c r="BP5" i="21"/>
  <c r="BP6" i="21"/>
  <c r="BQ5" i="21"/>
  <c r="BQ6" i="21"/>
  <c r="BR5" i="21"/>
  <c r="BR6" i="21"/>
  <c r="BS5" i="21"/>
  <c r="BS6" i="21"/>
  <c r="BT5" i="21"/>
  <c r="BT6" i="21"/>
  <c r="BU5" i="21"/>
  <c r="BU6" i="21"/>
  <c r="BV5" i="21"/>
  <c r="BV6" i="21"/>
  <c r="BW5" i="21"/>
  <c r="BX5" i="21"/>
  <c r="BX6" i="21"/>
  <c r="BY5" i="21"/>
  <c r="BY6" i="21"/>
  <c r="BZ5" i="21"/>
  <c r="BZ6" i="21"/>
  <c r="CA5" i="21"/>
  <c r="CA6" i="21"/>
  <c r="CB5" i="21"/>
  <c r="CB6" i="21"/>
  <c r="CC5" i="21"/>
  <c r="CC6" i="21"/>
  <c r="CD5" i="21"/>
  <c r="CE5" i="21"/>
  <c r="CE6" i="21"/>
  <c r="CF5" i="21"/>
  <c r="CG5" i="21"/>
  <c r="CH5" i="21"/>
  <c r="CH6" i="21"/>
  <c r="CJ5" i="21"/>
  <c r="CJ6" i="21"/>
  <c r="CK5" i="21"/>
  <c r="CK6" i="21"/>
  <c r="CL5" i="21"/>
  <c r="CL6" i="21"/>
  <c r="CM5" i="21"/>
  <c r="CM6" i="21"/>
  <c r="CN5" i="21"/>
  <c r="CN6" i="21"/>
  <c r="CP5" i="21"/>
  <c r="CQ5" i="21"/>
  <c r="CQ6" i="21"/>
  <c r="CR5" i="21"/>
  <c r="CR6" i="21"/>
  <c r="CS5" i="21"/>
  <c r="CS6" i="21"/>
  <c r="CT5" i="21"/>
  <c r="CT6" i="21"/>
  <c r="CU5" i="21"/>
  <c r="CU6" i="21"/>
  <c r="CV5" i="21"/>
  <c r="CV6" i="21"/>
  <c r="CW5" i="21"/>
  <c r="CX5" i="21"/>
  <c r="CY5" i="21"/>
  <c r="CY6" i="21"/>
  <c r="CZ5" i="21"/>
  <c r="CZ6" i="21"/>
  <c r="DA5" i="21"/>
  <c r="DA6" i="21"/>
  <c r="DB5" i="21"/>
  <c r="DB6" i="21"/>
  <c r="DC5" i="21"/>
  <c r="DC6" i="21"/>
  <c r="DD5" i="21"/>
  <c r="DD6" i="21"/>
  <c r="DE5" i="21"/>
  <c r="DE6" i="21"/>
  <c r="DF5" i="21"/>
  <c r="DF6" i="21"/>
  <c r="DG5" i="21"/>
  <c r="DG6" i="21"/>
  <c r="DH5" i="21"/>
  <c r="DH6" i="21"/>
  <c r="DI5" i="21"/>
  <c r="DI6" i="21"/>
  <c r="DJ5" i="21"/>
  <c r="DJ6" i="21"/>
  <c r="DK5" i="21"/>
  <c r="DL5" i="21"/>
  <c r="DL6" i="21"/>
  <c r="DM5" i="21"/>
  <c r="DM6" i="21"/>
  <c r="DN5" i="21"/>
  <c r="DN6" i="21"/>
  <c r="DO5" i="21"/>
  <c r="DO6" i="21"/>
  <c r="DP5" i="21"/>
  <c r="DQ5" i="21"/>
  <c r="DQ6" i="21"/>
  <c r="DR5" i="21"/>
  <c r="DR6" i="21"/>
  <c r="DS5" i="21"/>
  <c r="DS6" i="21"/>
  <c r="DT5" i="21"/>
  <c r="DT6" i="21"/>
  <c r="DU5" i="21"/>
  <c r="DV5" i="21"/>
  <c r="DW5" i="21"/>
  <c r="DW6" i="21"/>
  <c r="DX5" i="21"/>
  <c r="DY5" i="21"/>
  <c r="DY6" i="21"/>
  <c r="DZ5" i="21"/>
  <c r="DZ6" i="21"/>
  <c r="EA5" i="21"/>
  <c r="EB5" i="21"/>
  <c r="EB6" i="21"/>
  <c r="EC5" i="21"/>
  <c r="EC6" i="21"/>
  <c r="ED5" i="21"/>
  <c r="EE5" i="21"/>
  <c r="EE6" i="21"/>
  <c r="EF5" i="21"/>
  <c r="EF6" i="21"/>
  <c r="EG5" i="21"/>
  <c r="EH5" i="21"/>
  <c r="EI5" i="21"/>
  <c r="EI6" i="21"/>
  <c r="EJ5" i="21"/>
  <c r="EJ6" i="21"/>
  <c r="EK5" i="21"/>
  <c r="EL5" i="21"/>
  <c r="EL6" i="21"/>
  <c r="EM5" i="21"/>
  <c r="EM6" i="21"/>
  <c r="EN5" i="21"/>
  <c r="EN6" i="21"/>
  <c r="EO5" i="21"/>
  <c r="EO6" i="21"/>
  <c r="EP5" i="21"/>
  <c r="EP6" i="21"/>
  <c r="EQ5" i="21"/>
  <c r="EQ6" i="21"/>
  <c r="ER5" i="21"/>
  <c r="ES5" i="21"/>
  <c r="ET5" i="21"/>
  <c r="ET6" i="21"/>
  <c r="EU5" i="21"/>
  <c r="EV5" i="21"/>
  <c r="EV6" i="21"/>
  <c r="EW5" i="21"/>
  <c r="EW6" i="21"/>
  <c r="EX5" i="21"/>
  <c r="EX6" i="21"/>
  <c r="EY5" i="21"/>
  <c r="EY6" i="21"/>
  <c r="EZ5" i="21"/>
  <c r="EZ6" i="21"/>
  <c r="FA5" i="21"/>
  <c r="FA6" i="21"/>
  <c r="FB5" i="21"/>
  <c r="FC5" i="21"/>
  <c r="FC6" i="21"/>
  <c r="FD5" i="21"/>
  <c r="FD6" i="21"/>
  <c r="FE5" i="21"/>
  <c r="FF5" i="21"/>
  <c r="FF6" i="21"/>
  <c r="FG5" i="21"/>
  <c r="FH5" i="21"/>
  <c r="FH6" i="21"/>
  <c r="FI5" i="21"/>
  <c r="FI6" i="21"/>
  <c r="FJ5" i="21"/>
  <c r="FK5" i="21"/>
  <c r="FK6" i="21"/>
  <c r="FL5" i="21"/>
  <c r="FL6" i="21"/>
  <c r="FM5" i="21"/>
  <c r="FM6" i="21"/>
  <c r="FN5" i="21"/>
  <c r="FO5" i="21"/>
  <c r="FP5" i="21"/>
  <c r="FP6" i="21"/>
  <c r="FP6" i="7" s="1"/>
  <c r="BD5" i="21"/>
  <c r="BD6" i="21"/>
  <c r="CI5" i="21"/>
  <c r="D34" i="2"/>
  <c r="B5" i="7" l="1"/>
  <c r="B5" i="21"/>
  <c r="Q3" i="3"/>
  <c r="FC6" i="7"/>
  <c r="FK6" i="7"/>
  <c r="FK11" i="7" s="1"/>
  <c r="FK2" i="9" s="1"/>
  <c r="FL6" i="7"/>
  <c r="FL11" i="7" s="1"/>
  <c r="FL2" i="9" s="1"/>
  <c r="EY6" i="7"/>
  <c r="EX6" i="7"/>
  <c r="EV6" i="7"/>
  <c r="EM6" i="7"/>
  <c r="EL6" i="7"/>
  <c r="EI6" i="7"/>
  <c r="EE6" i="7"/>
  <c r="DS6" i="7"/>
  <c r="DN6" i="7"/>
  <c r="DE6" i="7"/>
  <c r="DC6" i="7"/>
  <c r="CZ6" i="7"/>
  <c r="CU6" i="7"/>
  <c r="CR6" i="7"/>
  <c r="CQ6" i="7"/>
  <c r="CM6" i="7"/>
  <c r="CJ6" i="7"/>
  <c r="BY6" i="7"/>
  <c r="BX6" i="7"/>
  <c r="BP6" i="7"/>
  <c r="BL6" i="7"/>
  <c r="BC6" i="7"/>
  <c r="AT6" i="7"/>
  <c r="AR6" i="7"/>
  <c r="AQ6" i="7"/>
  <c r="AP6" i="7"/>
  <c r="AO6" i="7"/>
  <c r="AJ6" i="7"/>
  <c r="AH6" i="7"/>
  <c r="AG6" i="7"/>
  <c r="AE6" i="7"/>
  <c r="S6" i="7"/>
  <c r="M6" i="7"/>
  <c r="L6" i="7"/>
  <c r="K6" i="7"/>
  <c r="J6" i="7"/>
  <c r="I6" i="7"/>
  <c r="G6" i="7"/>
  <c r="C6" i="21"/>
  <c r="CI6" i="21"/>
  <c r="BT6" i="7" s="1"/>
  <c r="FO6" i="21"/>
  <c r="FO6" i="7" s="1"/>
  <c r="FN6" i="21"/>
  <c r="FH6" i="7" s="1"/>
  <c r="FH11" i="7" s="1"/>
  <c r="FH2" i="9" s="1"/>
  <c r="FJ6" i="21"/>
  <c r="FG6" i="21"/>
  <c r="FF6" i="7" s="1"/>
  <c r="FF11" i="7" s="1"/>
  <c r="FF2" i="9" s="1"/>
  <c r="FE6" i="21"/>
  <c r="FB6" i="21"/>
  <c r="EW6" i="7" s="1"/>
  <c r="EU6" i="21"/>
  <c r="ES6" i="21"/>
  <c r="EO6" i="7" s="1"/>
  <c r="ER6" i="21"/>
  <c r="EK6" i="21"/>
  <c r="EK6" i="7" s="1"/>
  <c r="EH6" i="21"/>
  <c r="EG6" i="21"/>
  <c r="ED6" i="21"/>
  <c r="EC6" i="7" s="1"/>
  <c r="EA6" i="21"/>
  <c r="DX6" i="21"/>
  <c r="DA6" i="7" s="1"/>
  <c r="DV6" i="21"/>
  <c r="DU6" i="21"/>
  <c r="DT6" i="7" s="1"/>
  <c r="DP6" i="21"/>
  <c r="DK6" i="21"/>
  <c r="CX6" i="21"/>
  <c r="CX6" i="7" s="1"/>
  <c r="CW6" i="21"/>
  <c r="CP6" i="21"/>
  <c r="CL6" i="7" s="1"/>
  <c r="CO6" i="21"/>
  <c r="CG6" i="21"/>
  <c r="BR6" i="7" s="1"/>
  <c r="CF6" i="21"/>
  <c r="CB6" i="7" s="1"/>
  <c r="CD6" i="21"/>
  <c r="CC6" i="7" s="1"/>
  <c r="BW6" i="21"/>
  <c r="BO6" i="21"/>
  <c r="BN6" i="21"/>
  <c r="BK6" i="21"/>
  <c r="BJ6" i="21"/>
  <c r="BI6" i="21"/>
  <c r="BI6" i="7" s="1"/>
  <c r="BH6" i="21"/>
  <c r="BG6" i="7" s="1"/>
  <c r="BE6" i="21"/>
  <c r="BD6" i="7" s="1"/>
  <c r="CI6" i="7"/>
  <c r="AX6" i="21"/>
  <c r="AW6" i="7" s="1"/>
  <c r="AV6" i="21"/>
  <c r="AL6" i="21"/>
  <c r="AI6" i="7" s="1"/>
  <c r="AD6" i="21"/>
  <c r="AB6" i="21"/>
  <c r="AB6" i="7" s="1"/>
  <c r="AA6" i="21"/>
  <c r="U6" i="21"/>
  <c r="R6" i="21"/>
  <c r="Q6" i="7" s="1"/>
  <c r="P6" i="21"/>
  <c r="F6" i="21"/>
  <c r="F6" i="7" s="1"/>
  <c r="FC11" i="7" l="1"/>
  <c r="FC2" i="9" s="1"/>
  <c r="CT6" i="7"/>
  <c r="Y6" i="7"/>
  <c r="DJ6" i="7"/>
  <c r="DG6" i="7"/>
  <c r="CN6" i="7"/>
  <c r="CK6" i="7"/>
  <c r="BJ6" i="7"/>
  <c r="BF6" i="7"/>
  <c r="W6" i="7"/>
  <c r="X6" i="7"/>
  <c r="FN6" i="7"/>
  <c r="FM6" i="7"/>
  <c r="FM11" i="7" s="1"/>
  <c r="FM2" i="9" s="1"/>
  <c r="FJ6" i="7"/>
  <c r="FJ11" i="7" s="1"/>
  <c r="FJ2" i="9" s="1"/>
  <c r="FI6" i="7"/>
  <c r="FI11" i="7" s="1"/>
  <c r="FI2" i="9" s="1"/>
  <c r="FE6" i="7"/>
  <c r="FD6" i="7"/>
  <c r="EZ6" i="7"/>
  <c r="FA6" i="7"/>
  <c r="EQ6" i="7"/>
  <c r="EP6" i="7"/>
  <c r="EB6" i="7"/>
  <c r="FG6" i="7"/>
  <c r="FG11" i="7" s="1"/>
  <c r="FG2" i="9" s="1"/>
  <c r="AK6" i="7"/>
  <c r="AF6" i="7"/>
  <c r="BK6" i="7"/>
  <c r="AY6" i="7"/>
  <c r="BM6" i="7"/>
  <c r="AZ6" i="7"/>
  <c r="DV6" i="7"/>
  <c r="CY6" i="7"/>
  <c r="EF6" i="7"/>
  <c r="DH6" i="7"/>
  <c r="ES6" i="7"/>
  <c r="DQ6" i="7"/>
  <c r="ET6" i="7"/>
  <c r="DR6" i="7"/>
  <c r="FB6" i="7"/>
  <c r="DY6" i="7"/>
  <c r="U6" i="7"/>
  <c r="T6" i="7"/>
  <c r="AA6" i="7"/>
  <c r="Z6" i="7"/>
  <c r="BW6" i="7"/>
  <c r="BV6" i="7"/>
  <c r="CF6" i="7"/>
  <c r="CE6" i="7"/>
  <c r="CW6" i="7"/>
  <c r="CV6" i="7"/>
  <c r="DP6" i="7"/>
  <c r="DO6" i="7"/>
  <c r="BU6" i="7"/>
  <c r="CH6" i="7"/>
  <c r="P6" i="7"/>
  <c r="N6" i="7"/>
  <c r="R6" i="7"/>
  <c r="O6" i="7"/>
  <c r="AD6" i="7"/>
  <c r="V6" i="7"/>
  <c r="AL6" i="7"/>
  <c r="AC6" i="7"/>
  <c r="AV6" i="7"/>
  <c r="AM6" i="7"/>
  <c r="AX6" i="7"/>
  <c r="AN6" i="7"/>
  <c r="BE6" i="7"/>
  <c r="AS6" i="7"/>
  <c r="BH6" i="7"/>
  <c r="AU6" i="7"/>
  <c r="BN6" i="7"/>
  <c r="BA6" i="7"/>
  <c r="BO6" i="7"/>
  <c r="BB6" i="7"/>
  <c r="CD6" i="7"/>
  <c r="BQ6" i="7"/>
  <c r="CG6" i="7"/>
  <c r="BS6" i="7"/>
  <c r="CO6" i="7"/>
  <c r="BZ6" i="7"/>
  <c r="CP6" i="7"/>
  <c r="CA6" i="7"/>
  <c r="DK6" i="7"/>
  <c r="CS6" i="7"/>
  <c r="DU6" i="7"/>
  <c r="DB6" i="7"/>
  <c r="DX6" i="7"/>
  <c r="DD6" i="7"/>
  <c r="EA6" i="7"/>
  <c r="DF6" i="7"/>
  <c r="ED6" i="7"/>
  <c r="DI6" i="7"/>
  <c r="EG6" i="7"/>
  <c r="DL6" i="7"/>
  <c r="EH6" i="7"/>
  <c r="DM6" i="7"/>
  <c r="ER6" i="7"/>
  <c r="DW6" i="7"/>
  <c r="EU6" i="7"/>
  <c r="DZ6" i="7"/>
  <c r="EJ6" i="7"/>
  <c r="EN6" i="7"/>
  <c r="E6" i="21"/>
  <c r="B6" i="21" s="1"/>
  <c r="B19" i="7" s="1"/>
  <c r="C6" i="7"/>
  <c r="E6" i="7"/>
  <c r="C35" i="2"/>
  <c r="FD11" i="7" l="1"/>
  <c r="FD2" i="9" s="1"/>
  <c r="FE11" i="7"/>
  <c r="FE2" i="9" s="1"/>
  <c r="B6" i="7"/>
  <c r="A28" i="16"/>
  <c r="C28" i="16" s="1"/>
  <c r="A29" i="16"/>
  <c r="A30" i="16"/>
  <c r="A31" i="16"/>
  <c r="A32" i="16"/>
  <c r="A33" i="16"/>
  <c r="A34" i="16"/>
  <c r="G34" i="16" s="1"/>
  <c r="Q1" i="16" s="1"/>
  <c r="A35" i="16"/>
  <c r="C35" i="16" s="1"/>
  <c r="A36" i="16"/>
  <c r="A37" i="16"/>
  <c r="A38" i="16"/>
  <c r="A39" i="16"/>
  <c r="A40" i="16"/>
  <c r="A41" i="16"/>
  <c r="A42" i="16"/>
  <c r="C42" i="16" s="1"/>
  <c r="A43" i="16"/>
  <c r="A44" i="16"/>
  <c r="C44" i="16" s="1"/>
  <c r="A45" i="16"/>
  <c r="A46" i="16"/>
  <c r="A47" i="16"/>
  <c r="A48" i="16"/>
  <c r="A49" i="16"/>
  <c r="A50" i="16"/>
  <c r="A27" i="16"/>
  <c r="C27" i="16" l="1"/>
  <c r="G27" i="16"/>
  <c r="F27" i="16"/>
  <c r="E27" i="16"/>
  <c r="C50" i="16"/>
  <c r="G50" i="16"/>
  <c r="F50" i="16"/>
  <c r="C49" i="16"/>
  <c r="G49" i="16"/>
  <c r="E49" i="16"/>
  <c r="C48" i="16"/>
  <c r="G48" i="16"/>
  <c r="F48" i="16"/>
  <c r="E48" i="16"/>
  <c r="C47" i="16"/>
  <c r="G47" i="16"/>
  <c r="F47" i="16"/>
  <c r="E47" i="16"/>
  <c r="C46" i="16"/>
  <c r="G46" i="16"/>
  <c r="F46" i="16"/>
  <c r="E46" i="16"/>
  <c r="C45" i="16"/>
  <c r="G45" i="16"/>
  <c r="F45" i="16"/>
  <c r="E45" i="16"/>
  <c r="G44" i="16"/>
  <c r="F44" i="16"/>
  <c r="E44" i="16"/>
  <c r="C43" i="16"/>
  <c r="G43" i="16"/>
  <c r="E43" i="16"/>
  <c r="G42" i="16"/>
  <c r="F42" i="16"/>
  <c r="E42" i="16"/>
  <c r="C41" i="16"/>
  <c r="G41" i="16"/>
  <c r="F41" i="16"/>
  <c r="E41" i="16"/>
  <c r="C40" i="16"/>
  <c r="G40" i="16"/>
  <c r="F40" i="16"/>
  <c r="E40" i="16"/>
  <c r="C39" i="16"/>
  <c r="G39" i="16"/>
  <c r="F39" i="16"/>
  <c r="E39" i="16"/>
  <c r="C38" i="16"/>
  <c r="F38" i="16"/>
  <c r="E38" i="16"/>
  <c r="C37" i="16"/>
  <c r="G37" i="16"/>
  <c r="F37" i="16"/>
  <c r="C36" i="16"/>
  <c r="F36" i="16"/>
  <c r="E36" i="16"/>
  <c r="G35" i="16"/>
  <c r="F35" i="16"/>
  <c r="E35" i="16"/>
  <c r="C34" i="16"/>
  <c r="F34" i="16"/>
  <c r="E34" i="16"/>
  <c r="C33" i="16"/>
  <c r="G33" i="16"/>
  <c r="F33" i="16"/>
  <c r="E33" i="16"/>
  <c r="C32" i="16"/>
  <c r="G32" i="16"/>
  <c r="F32" i="16"/>
  <c r="E32" i="16"/>
  <c r="G31" i="16"/>
  <c r="F31" i="16"/>
  <c r="E31" i="16"/>
  <c r="C30" i="16"/>
  <c r="G30" i="16"/>
  <c r="E30" i="16"/>
  <c r="C29" i="16"/>
  <c r="G29" i="16"/>
  <c r="F29" i="16"/>
  <c r="E29" i="16"/>
  <c r="G28" i="16"/>
  <c r="F28" i="16"/>
  <c r="E28" i="16"/>
  <c r="D31" i="18"/>
  <c r="F30" i="16" s="1"/>
  <c r="E32" i="18"/>
  <c r="C31" i="16" s="1"/>
  <c r="B32" i="16"/>
  <c r="C39" i="18"/>
  <c r="E37" i="16" s="1"/>
  <c r="D45" i="18"/>
  <c r="F43" i="16" s="1"/>
  <c r="D51" i="18"/>
  <c r="F49" i="16" s="1"/>
  <c r="B37" i="16" l="1"/>
  <c r="B49" i="16"/>
  <c r="B50" i="16"/>
  <c r="D21" i="3"/>
  <c r="C21" i="3" s="1"/>
  <c r="D44" i="3"/>
  <c r="C44" i="3" s="1"/>
  <c r="D45" i="3"/>
  <c r="C45" i="3" s="1"/>
  <c r="D46" i="3"/>
  <c r="C46" i="3" s="1"/>
  <c r="D47" i="3"/>
  <c r="C47" i="3" s="1"/>
  <c r="D48" i="3"/>
  <c r="C48" i="3" s="1"/>
  <c r="D49" i="3"/>
  <c r="C49" i="3" s="1"/>
  <c r="D50" i="3"/>
  <c r="C50" i="3" s="1"/>
  <c r="D22" i="3"/>
  <c r="D23" i="3"/>
  <c r="C23" i="3" s="1"/>
  <c r="D24" i="3"/>
  <c r="C24" i="3" s="1"/>
  <c r="D25" i="3"/>
  <c r="C25" i="3" s="1"/>
  <c r="D26" i="3"/>
  <c r="C26" i="3" s="1"/>
  <c r="D27" i="3"/>
  <c r="C27" i="3" s="1"/>
  <c r="D28" i="3"/>
  <c r="C28" i="3" s="1"/>
  <c r="D29" i="3"/>
  <c r="C29" i="3" s="1"/>
  <c r="D30" i="3"/>
  <c r="C30" i="3" s="1"/>
  <c r="D31" i="3"/>
  <c r="C31" i="3" s="1"/>
  <c r="D32" i="3"/>
  <c r="C32" i="3" s="1"/>
  <c r="D33" i="3"/>
  <c r="C33" i="3" s="1"/>
  <c r="D34" i="3"/>
  <c r="C34" i="3" s="1"/>
  <c r="D35" i="3"/>
  <c r="C35" i="3" s="1"/>
  <c r="D36" i="3"/>
  <c r="C36" i="3" s="1"/>
  <c r="D37" i="3"/>
  <c r="C37" i="3" s="1"/>
  <c r="D38" i="3"/>
  <c r="C38" i="3" s="1"/>
  <c r="D39" i="3"/>
  <c r="C39" i="3" s="1"/>
  <c r="D40" i="3"/>
  <c r="C40" i="3" s="1"/>
  <c r="D41" i="3"/>
  <c r="C41" i="3" s="1"/>
  <c r="D42" i="3"/>
  <c r="C42" i="3" s="1"/>
  <c r="D43" i="3"/>
  <c r="C43" i="3" s="1"/>
  <c r="C22" i="3" l="1"/>
  <c r="B4" i="3" s="1"/>
  <c r="D5" i="3"/>
  <c r="C52" i="3"/>
  <c r="C53" i="3" s="1"/>
  <c r="C3" i="3"/>
  <c r="E52" i="3"/>
  <c r="F52" i="3"/>
  <c r="G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A52" i="3"/>
  <c r="BB52" i="3"/>
  <c r="BC52" i="3"/>
  <c r="BD52" i="3"/>
  <c r="BE52" i="3"/>
  <c r="BF52" i="3"/>
  <c r="BG52" i="3"/>
  <c r="BH52" i="3"/>
  <c r="BI52" i="3"/>
  <c r="BJ52" i="3"/>
  <c r="BK52" i="3"/>
  <c r="BL52" i="3"/>
  <c r="BM52" i="3"/>
  <c r="BN52" i="3"/>
  <c r="BO52" i="3"/>
  <c r="BP52" i="3"/>
  <c r="BQ52" i="3"/>
  <c r="BR52" i="3"/>
  <c r="BS52" i="3"/>
  <c r="BT52" i="3"/>
  <c r="BU52" i="3"/>
  <c r="BV52" i="3"/>
  <c r="BW52" i="3"/>
  <c r="BX52" i="3"/>
  <c r="BY52" i="3"/>
  <c r="BZ52" i="3"/>
  <c r="CA52" i="3"/>
  <c r="CB52" i="3"/>
  <c r="CC52" i="3"/>
  <c r="CD52" i="3"/>
  <c r="CE52" i="3"/>
  <c r="CF52" i="3"/>
  <c r="CG52" i="3"/>
  <c r="CH52" i="3"/>
  <c r="CI52" i="3"/>
  <c r="CJ52" i="3"/>
  <c r="CK52" i="3"/>
  <c r="CL52" i="3"/>
  <c r="CM52" i="3"/>
  <c r="CN52" i="3"/>
  <c r="CO52" i="3"/>
  <c r="CP52" i="3"/>
  <c r="CQ52" i="3"/>
  <c r="CR52" i="3"/>
  <c r="CS52" i="3"/>
  <c r="CT52" i="3"/>
  <c r="CU52" i="3"/>
  <c r="CV52" i="3"/>
  <c r="CW52" i="3"/>
  <c r="CX52" i="3"/>
  <c r="CY52" i="3"/>
  <c r="CZ52" i="3"/>
  <c r="DA52" i="3"/>
  <c r="DB52" i="3"/>
  <c r="DC52" i="3"/>
  <c r="DD52" i="3"/>
  <c r="DE52" i="3"/>
  <c r="DF52" i="3"/>
  <c r="DG52" i="3"/>
  <c r="DH52" i="3"/>
  <c r="DI52" i="3"/>
  <c r="DJ52" i="3"/>
  <c r="DK52" i="3"/>
  <c r="DL52" i="3"/>
  <c r="DM52" i="3"/>
  <c r="DN52" i="3"/>
  <c r="DO52" i="3"/>
  <c r="DP52" i="3"/>
  <c r="DQ52" i="3"/>
  <c r="DR52" i="3"/>
  <c r="DS52" i="3"/>
  <c r="DT52" i="3"/>
  <c r="DU52" i="3"/>
  <c r="DV52" i="3"/>
  <c r="DW52" i="3"/>
  <c r="DX52" i="3"/>
  <c r="DY52" i="3"/>
  <c r="DZ52" i="3"/>
  <c r="EA52" i="3"/>
  <c r="EB52" i="3"/>
  <c r="EC52" i="3"/>
  <c r="ED52" i="3"/>
  <c r="EE52" i="3"/>
  <c r="EF52" i="3"/>
  <c r="EG52" i="3"/>
  <c r="EH52" i="3"/>
  <c r="EI52" i="3"/>
  <c r="EJ52" i="3"/>
  <c r="EK52" i="3"/>
  <c r="EL52" i="3"/>
  <c r="EM52" i="3"/>
  <c r="EN52" i="3"/>
  <c r="EO52" i="3"/>
  <c r="EP52" i="3"/>
  <c r="EQ52" i="3"/>
  <c r="ER52" i="3"/>
  <c r="ES52" i="3"/>
  <c r="ET52" i="3"/>
  <c r="EU52" i="3"/>
  <c r="EV52" i="3"/>
  <c r="EW52" i="3"/>
  <c r="EX52" i="3"/>
  <c r="EY52" i="3"/>
  <c r="EZ52" i="3"/>
  <c r="FA52" i="3"/>
  <c r="D52" i="3"/>
  <c r="GL14" i="3" l="1"/>
  <c r="GK14" i="3"/>
  <c r="GJ14" i="3"/>
  <c r="GI14" i="3"/>
  <c r="GH14" i="3"/>
  <c r="GG14" i="3"/>
  <c r="GF14" i="3"/>
  <c r="GE14" i="3"/>
  <c r="GD14" i="3"/>
  <c r="GC14" i="3"/>
  <c r="GB14" i="3"/>
  <c r="GA14" i="3"/>
  <c r="FZ14" i="3"/>
  <c r="FY14" i="3"/>
  <c r="FX14" i="3"/>
  <c r="FW14" i="3"/>
  <c r="FV14" i="3"/>
  <c r="FU14" i="3"/>
  <c r="FT14" i="3"/>
  <c r="FS14" i="3"/>
  <c r="FR14" i="3"/>
  <c r="FQ14" i="3"/>
  <c r="FP14" i="3"/>
  <c r="FO14" i="3"/>
  <c r="FN14" i="3"/>
  <c r="FM14" i="3"/>
  <c r="FL14" i="3"/>
  <c r="FK14" i="3"/>
  <c r="FJ14" i="3"/>
  <c r="FI14" i="3"/>
  <c r="FH14" i="3"/>
  <c r="FG14" i="3"/>
  <c r="FF14" i="3"/>
  <c r="FE14" i="3"/>
  <c r="FD14" i="3"/>
  <c r="GL12" i="3"/>
  <c r="GL13" i="3" s="1"/>
  <c r="GK12" i="3"/>
  <c r="GK13" i="3" s="1"/>
  <c r="GJ12" i="3"/>
  <c r="GJ13" i="3" s="1"/>
  <c r="GI12" i="3"/>
  <c r="GI13" i="3" s="1"/>
  <c r="GH12" i="3"/>
  <c r="GH13" i="3" s="1"/>
  <c r="GG12" i="3"/>
  <c r="GG13" i="3" s="1"/>
  <c r="GF12" i="3"/>
  <c r="GF13" i="3" s="1"/>
  <c r="GE12" i="3"/>
  <c r="GE13" i="3" s="1"/>
  <c r="GD12" i="3"/>
  <c r="GD13" i="3" s="1"/>
  <c r="GC12" i="3"/>
  <c r="GC13" i="3" s="1"/>
  <c r="GB12" i="3"/>
  <c r="GB13" i="3" s="1"/>
  <c r="GA12" i="3"/>
  <c r="GA13" i="3" s="1"/>
  <c r="FZ12" i="3"/>
  <c r="FZ13" i="3" s="1"/>
  <c r="FY12" i="3"/>
  <c r="FY13" i="3" s="1"/>
  <c r="FX12" i="3"/>
  <c r="FX13" i="3" s="1"/>
  <c r="FW12" i="3"/>
  <c r="FW13" i="3" s="1"/>
  <c r="FV12" i="3"/>
  <c r="FV13" i="3" s="1"/>
  <c r="FU12" i="3"/>
  <c r="FU13" i="3" s="1"/>
  <c r="FT12" i="3"/>
  <c r="FT13" i="3" s="1"/>
  <c r="FS12" i="3"/>
  <c r="FS13" i="3" s="1"/>
  <c r="FR12" i="3"/>
  <c r="FR13" i="3" s="1"/>
  <c r="FQ12" i="3"/>
  <c r="FQ13" i="3" s="1"/>
  <c r="FP12" i="3"/>
  <c r="FP13" i="3" s="1"/>
  <c r="FO12" i="3"/>
  <c r="FO13" i="3" s="1"/>
  <c r="FN12" i="3"/>
  <c r="FN13" i="3" s="1"/>
  <c r="FM12" i="3"/>
  <c r="FM13" i="3" s="1"/>
  <c r="FL12" i="3"/>
  <c r="FL13" i="3" s="1"/>
  <c r="FK12" i="3"/>
  <c r="FK13" i="3" s="1"/>
  <c r="FJ12" i="3"/>
  <c r="FJ13" i="3" s="1"/>
  <c r="FI12" i="3"/>
  <c r="FI13" i="3" s="1"/>
  <c r="FH12" i="3"/>
  <c r="FH13" i="3" s="1"/>
  <c r="FG12" i="3"/>
  <c r="FG13" i="3" s="1"/>
  <c r="FF12" i="3"/>
  <c r="FF13" i="3" s="1"/>
  <c r="FE12" i="3"/>
  <c r="FE13" i="3" s="1"/>
  <c r="FD12" i="3"/>
  <c r="FD13" i="3" s="1"/>
  <c r="GL10" i="3"/>
  <c r="GL11" i="3" s="1"/>
  <c r="GK10" i="3"/>
  <c r="GK11" i="3" s="1"/>
  <c r="GJ10" i="3"/>
  <c r="GJ11" i="3" s="1"/>
  <c r="GI10" i="3"/>
  <c r="GI11" i="3" s="1"/>
  <c r="GH10" i="3"/>
  <c r="GH11" i="3" s="1"/>
  <c r="GG10" i="3"/>
  <c r="GG11" i="3" s="1"/>
  <c r="GF10" i="3"/>
  <c r="GF11" i="3" s="1"/>
  <c r="GE10" i="3"/>
  <c r="GE11" i="3" s="1"/>
  <c r="GD10" i="3"/>
  <c r="GD11" i="3" s="1"/>
  <c r="GC10" i="3"/>
  <c r="GC11" i="3" s="1"/>
  <c r="GB10" i="3"/>
  <c r="GB11" i="3" s="1"/>
  <c r="GA10" i="3"/>
  <c r="GA11" i="3" s="1"/>
  <c r="FZ10" i="3"/>
  <c r="FZ11" i="3" s="1"/>
  <c r="FY10" i="3"/>
  <c r="FY11" i="3" s="1"/>
  <c r="FX10" i="3"/>
  <c r="FX11" i="3" s="1"/>
  <c r="FW10" i="3"/>
  <c r="FW11" i="3" s="1"/>
  <c r="FV10" i="3"/>
  <c r="FV11" i="3" s="1"/>
  <c r="FU10" i="3"/>
  <c r="FU11" i="3" s="1"/>
  <c r="FT10" i="3"/>
  <c r="FT11" i="3" s="1"/>
  <c r="FS10" i="3"/>
  <c r="FS11" i="3" s="1"/>
  <c r="FR10" i="3"/>
  <c r="FR11" i="3" s="1"/>
  <c r="FQ10" i="3"/>
  <c r="FQ11" i="3" s="1"/>
  <c r="FP10" i="3"/>
  <c r="FP11" i="3" s="1"/>
  <c r="FO10" i="3"/>
  <c r="FO11" i="3" s="1"/>
  <c r="FN10" i="3"/>
  <c r="FN11" i="3" s="1"/>
  <c r="FM10" i="3"/>
  <c r="FM11" i="3" s="1"/>
  <c r="FL10" i="3"/>
  <c r="FL11" i="3" s="1"/>
  <c r="FK10" i="3"/>
  <c r="FK11" i="3" s="1"/>
  <c r="FJ10" i="3"/>
  <c r="FJ11" i="3" s="1"/>
  <c r="FI10" i="3"/>
  <c r="FI11" i="3" s="1"/>
  <c r="FH10" i="3"/>
  <c r="FH11" i="3" s="1"/>
  <c r="FG10" i="3"/>
  <c r="FG11" i="3" s="1"/>
  <c r="FF10" i="3"/>
  <c r="FF11" i="3" s="1"/>
  <c r="FE10" i="3"/>
  <c r="FE11" i="3" s="1"/>
  <c r="FD10" i="3"/>
  <c r="FD11" i="3" s="1"/>
  <c r="GL8" i="3"/>
  <c r="GL9" i="3" s="1"/>
  <c r="GK8" i="3"/>
  <c r="GK9" i="3" s="1"/>
  <c r="GJ8" i="3"/>
  <c r="GJ9" i="3" s="1"/>
  <c r="GI8" i="3"/>
  <c r="GI9" i="3" s="1"/>
  <c r="GH8" i="3"/>
  <c r="GH9" i="3" s="1"/>
  <c r="GG8" i="3"/>
  <c r="GG9" i="3" s="1"/>
  <c r="GF8" i="3"/>
  <c r="GF9" i="3" s="1"/>
  <c r="GE8" i="3"/>
  <c r="GE9" i="3" s="1"/>
  <c r="GD8" i="3"/>
  <c r="GD9" i="3" s="1"/>
  <c r="GC8" i="3"/>
  <c r="GC9" i="3" s="1"/>
  <c r="GB8" i="3"/>
  <c r="GB9" i="3" s="1"/>
  <c r="GA8" i="3"/>
  <c r="GA9" i="3" s="1"/>
  <c r="FZ8" i="3"/>
  <c r="FZ9" i="3" s="1"/>
  <c r="FY8" i="3"/>
  <c r="FY9" i="3" s="1"/>
  <c r="FX8" i="3"/>
  <c r="FX9" i="3" s="1"/>
  <c r="FW8" i="3"/>
  <c r="FW9" i="3" s="1"/>
  <c r="FV8" i="3"/>
  <c r="FV9" i="3" s="1"/>
  <c r="FU8" i="3"/>
  <c r="FU9" i="3" s="1"/>
  <c r="FT8" i="3"/>
  <c r="FT9" i="3" s="1"/>
  <c r="FS8" i="3"/>
  <c r="FS9" i="3" s="1"/>
  <c r="FR8" i="3"/>
  <c r="FR9" i="3" s="1"/>
  <c r="FQ8" i="3"/>
  <c r="FQ9" i="3" s="1"/>
  <c r="FP8" i="3"/>
  <c r="FP9" i="3" s="1"/>
  <c r="FO8" i="3"/>
  <c r="FO9" i="3" s="1"/>
  <c r="FN8" i="3"/>
  <c r="FN9" i="3" s="1"/>
  <c r="FM8" i="3"/>
  <c r="FM9" i="3" s="1"/>
  <c r="FL8" i="3"/>
  <c r="FL9" i="3" s="1"/>
  <c r="FK8" i="3"/>
  <c r="FK9" i="3" s="1"/>
  <c r="FJ8" i="3"/>
  <c r="FJ9" i="3" s="1"/>
  <c r="FI8" i="3"/>
  <c r="FI9" i="3" s="1"/>
  <c r="FH8" i="3"/>
  <c r="FH9" i="3" s="1"/>
  <c r="FG8" i="3"/>
  <c r="FG9" i="3" s="1"/>
  <c r="FF8" i="3"/>
  <c r="FF9" i="3" s="1"/>
  <c r="FE8" i="3"/>
  <c r="FE9" i="3" s="1"/>
  <c r="FD8" i="3"/>
  <c r="FD9" i="3" s="1"/>
  <c r="B48" i="16"/>
  <c r="B43" i="16"/>
  <c r="B44" i="16"/>
  <c r="B45" i="16"/>
  <c r="B46" i="16"/>
  <c r="B47" i="16"/>
  <c r="GN8" i="3" l="1"/>
  <c r="GN9" i="3" s="1"/>
  <c r="GO8" i="3"/>
  <c r="GO9" i="3" s="1"/>
  <c r="GP8" i="3"/>
  <c r="GP9" i="3" s="1"/>
  <c r="GQ8" i="3"/>
  <c r="GQ9" i="3" s="1"/>
  <c r="GR8" i="3"/>
  <c r="GR9" i="3" s="1"/>
  <c r="GN10" i="3"/>
  <c r="GN11" i="3" s="1"/>
  <c r="GO10" i="3"/>
  <c r="GO11" i="3" s="1"/>
  <c r="GP10" i="3"/>
  <c r="GP11" i="3" s="1"/>
  <c r="GQ10" i="3"/>
  <c r="GQ11" i="3" s="1"/>
  <c r="GR10" i="3"/>
  <c r="GR11" i="3" s="1"/>
  <c r="GN12" i="3"/>
  <c r="GN13" i="3" s="1"/>
  <c r="GO12" i="3"/>
  <c r="GO13" i="3" s="1"/>
  <c r="GP12" i="3"/>
  <c r="GP13" i="3" s="1"/>
  <c r="GQ12" i="3"/>
  <c r="GQ13" i="3" s="1"/>
  <c r="GR12" i="3"/>
  <c r="GR13" i="3" s="1"/>
  <c r="GN14" i="3"/>
  <c r="GO14" i="3"/>
  <c r="GP14" i="3"/>
  <c r="GQ14" i="3"/>
  <c r="GR14" i="3"/>
  <c r="GM8" i="3"/>
  <c r="GM9" i="3" s="1"/>
  <c r="GM10" i="3"/>
  <c r="GM11" i="3" s="1"/>
  <c r="GM12" i="3"/>
  <c r="GM13" i="3" s="1"/>
  <c r="GM14" i="3"/>
  <c r="J3" i="16"/>
  <c r="J4" i="16"/>
  <c r="J5" i="16"/>
  <c r="J52" i="16"/>
  <c r="D24" i="16"/>
  <c r="E24" i="16" s="1"/>
  <c r="F24" i="16" s="1"/>
  <c r="G24" i="16" s="1"/>
  <c r="H24" i="16" s="1"/>
  <c r="I24" i="16" s="1"/>
  <c r="J24" i="16" s="1"/>
  <c r="K24" i="16" s="1"/>
  <c r="D53" i="16"/>
  <c r="E53" i="16" s="1"/>
  <c r="F53" i="16" s="1"/>
  <c r="G53" i="16" s="1"/>
  <c r="H53" i="16" s="1"/>
  <c r="I53" i="16" s="1"/>
  <c r="J53" i="16" s="1"/>
  <c r="K53" i="16" s="1"/>
  <c r="I3" i="16"/>
  <c r="I4" i="16"/>
  <c r="I5" i="16"/>
  <c r="I25" i="16"/>
  <c r="I52" i="16"/>
  <c r="I54" i="16"/>
  <c r="M53" i="16" l="1"/>
  <c r="L53" i="16"/>
  <c r="L54" i="16" s="1"/>
  <c r="M24" i="16"/>
  <c r="L24" i="16"/>
  <c r="L25" i="16" s="1"/>
  <c r="I18" i="16"/>
  <c r="J54" i="16"/>
  <c r="J25" i="16"/>
  <c r="J18" i="16"/>
  <c r="M25" i="16" l="1"/>
  <c r="K25" i="16"/>
  <c r="M54" i="16"/>
  <c r="K54" i="16"/>
  <c r="ER6" i="3" l="1"/>
  <c r="ER7" i="3" s="1"/>
  <c r="ER26" i="8" s="1"/>
  <c r="ES6" i="3"/>
  <c r="ES7" i="3" s="1"/>
  <c r="ES26" i="8" s="1"/>
  <c r="ET6" i="3"/>
  <c r="ET7" i="3" s="1"/>
  <c r="ET26" i="8" s="1"/>
  <c r="EU6" i="3"/>
  <c r="EU7" i="3" s="1"/>
  <c r="EU26" i="8" s="1"/>
  <c r="EV6" i="3"/>
  <c r="EV7" i="3" s="1"/>
  <c r="EV26" i="8" s="1"/>
  <c r="EW6" i="3"/>
  <c r="EW7" i="3" s="1"/>
  <c r="EW26" i="8" s="1"/>
  <c r="EX6" i="3"/>
  <c r="EX7" i="3" s="1"/>
  <c r="EX26" i="8" s="1"/>
  <c r="EY6" i="3"/>
  <c r="EY7" i="3" s="1"/>
  <c r="EY26" i="8" s="1"/>
  <c r="EZ6" i="3"/>
  <c r="EZ7" i="3" s="1"/>
  <c r="EZ26" i="8" s="1"/>
  <c r="FA6" i="3"/>
  <c r="FA7" i="3" s="1"/>
  <c r="FA26" i="8" s="1"/>
  <c r="FB6" i="3"/>
  <c r="FB7" i="3" s="1"/>
  <c r="FB26" i="8" s="1"/>
  <c r="FC6" i="3"/>
  <c r="FC7" i="3" s="1"/>
  <c r="FC26" i="8" s="1"/>
  <c r="FC27" i="8" s="1"/>
  <c r="FC29" i="8" s="1"/>
  <c r="F10" i="18" l="1"/>
  <c r="F5" i="18"/>
  <c r="EX27" i="8" l="1"/>
  <c r="EX29" i="8" s="1"/>
  <c r="EX19" i="3"/>
  <c r="EW2" i="7" s="1"/>
  <c r="EW11" i="7" s="1"/>
  <c r="EW2" i="9" s="1"/>
  <c r="EY27" i="8"/>
  <c r="EY29" i="8" s="1"/>
  <c r="EY19" i="3"/>
  <c r="EX2" i="7" s="1"/>
  <c r="EX11" i="7" s="1"/>
  <c r="EX2" i="9" s="1"/>
  <c r="EZ27" i="8"/>
  <c r="EZ29" i="8" s="1"/>
  <c r="EZ19" i="3"/>
  <c r="EY2" i="7" s="1"/>
  <c r="EY11" i="7" s="1"/>
  <c r="EY2" i="9" s="1"/>
  <c r="FA27" i="8"/>
  <c r="FA29" i="8" s="1"/>
  <c r="FA19" i="3"/>
  <c r="EZ2" i="7" s="1"/>
  <c r="EZ11" i="7" s="1"/>
  <c r="EZ2" i="9" s="1"/>
  <c r="FB27" i="8"/>
  <c r="FB29" i="8" s="1"/>
  <c r="FB19" i="3"/>
  <c r="FA2" i="7" s="1"/>
  <c r="FA11" i="7" s="1"/>
  <c r="FA2" i="9" s="1"/>
  <c r="FC19" i="3"/>
  <c r="FB2" i="7" s="1"/>
  <c r="ER27" i="8"/>
  <c r="ER29" i="8" s="1"/>
  <c r="ER19" i="3"/>
  <c r="EQ2" i="7" s="1"/>
  <c r="EQ11" i="7" s="1"/>
  <c r="EQ2" i="9" s="1"/>
  <c r="ES27" i="8"/>
  <c r="ES29" i="8" s="1"/>
  <c r="ES19" i="3"/>
  <c r="ER2" i="7" s="1"/>
  <c r="ER11" i="7" s="1"/>
  <c r="ER2" i="9" s="1"/>
  <c r="ET27" i="8"/>
  <c r="ET29" i="8" s="1"/>
  <c r="ET19" i="3"/>
  <c r="ES2" i="7" s="1"/>
  <c r="ES11" i="7" s="1"/>
  <c r="ES2" i="9" s="1"/>
  <c r="EU27" i="8"/>
  <c r="EU29" i="8" s="1"/>
  <c r="EU19" i="3"/>
  <c r="ET2" i="7" s="1"/>
  <c r="ET11" i="7" s="1"/>
  <c r="ET2" i="9" s="1"/>
  <c r="EV27" i="8"/>
  <c r="EV29" i="8" s="1"/>
  <c r="EV19" i="3"/>
  <c r="EU2" i="7" s="1"/>
  <c r="EU11" i="7" s="1"/>
  <c r="EU2" i="9" s="1"/>
  <c r="EW27" i="8"/>
  <c r="EW29" i="8" s="1"/>
  <c r="EW19" i="3"/>
  <c r="EV2" i="7" s="1"/>
  <c r="EV11" i="7" s="1"/>
  <c r="EV2" i="9" s="1"/>
  <c r="EQ6" i="3"/>
  <c r="EP6" i="3"/>
  <c r="EO6" i="3"/>
  <c r="FB11" i="7" l="1"/>
  <c r="FB2" i="9" s="1"/>
  <c r="EO7" i="3"/>
  <c r="EO26" i="8" s="1"/>
  <c r="EP7" i="3"/>
  <c r="EP26" i="8" s="1"/>
  <c r="EQ7" i="3"/>
  <c r="EQ26" i="8" s="1"/>
  <c r="H52" i="16"/>
  <c r="H54" i="16"/>
  <c r="H5" i="16"/>
  <c r="H25" i="16" s="1"/>
  <c r="H4" i="16"/>
  <c r="H3" i="16"/>
  <c r="H18" i="16" s="1"/>
  <c r="F43" i="20" l="1"/>
  <c r="G25" i="16" l="1"/>
  <c r="D52" i="16" l="1"/>
  <c r="B34" i="16"/>
  <c r="M32" i="20"/>
  <c r="D28" i="20"/>
  <c r="E28" i="20"/>
  <c r="F28" i="20"/>
  <c r="G28" i="20"/>
  <c r="H28" i="20"/>
  <c r="I28" i="20"/>
  <c r="J28" i="20"/>
  <c r="K28" i="20"/>
  <c r="L28" i="20"/>
  <c r="C28" i="20"/>
  <c r="C26" i="20"/>
  <c r="L26" i="20"/>
  <c r="D26" i="20"/>
  <c r="E26" i="20"/>
  <c r="F26" i="20"/>
  <c r="G26" i="20"/>
  <c r="H26" i="20"/>
  <c r="I26" i="20"/>
  <c r="J26" i="20"/>
  <c r="K26" i="20"/>
  <c r="L25" i="20"/>
  <c r="K25" i="20"/>
  <c r="J25" i="20"/>
  <c r="I25" i="20"/>
  <c r="H25" i="20"/>
  <c r="G25" i="20"/>
  <c r="F25" i="20"/>
  <c r="E25" i="20"/>
  <c r="D25" i="20"/>
  <c r="C25" i="20"/>
  <c r="M3" i="20"/>
  <c r="M4" i="20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" i="20"/>
  <c r="B3" i="20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" i="20"/>
  <c r="C27" i="20" l="1"/>
  <c r="C39" i="20" s="1"/>
  <c r="D27" i="20"/>
  <c r="D39" i="20" s="1"/>
  <c r="E27" i="20"/>
  <c r="E39" i="20" s="1"/>
  <c r="F27" i="20"/>
  <c r="F39" i="20" s="1"/>
  <c r="G27" i="20"/>
  <c r="G39" i="20" s="1"/>
  <c r="H27" i="20"/>
  <c r="H39" i="20" s="1"/>
  <c r="I27" i="20"/>
  <c r="I39" i="20" s="1"/>
  <c r="J27" i="20"/>
  <c r="J39" i="20" s="1"/>
  <c r="K27" i="20"/>
  <c r="K39" i="20" s="1"/>
  <c r="L27" i="20"/>
  <c r="L39" i="20" s="1"/>
  <c r="EN6" i="3" l="1"/>
  <c r="EN7" i="3" s="1"/>
  <c r="EN26" i="8" s="1"/>
  <c r="L30" i="20"/>
  <c r="L37" i="20"/>
  <c r="L38" i="20" s="1"/>
  <c r="K30" i="20"/>
  <c r="K37" i="20"/>
  <c r="K38" i="20" s="1"/>
  <c r="J30" i="20"/>
  <c r="J37" i="20"/>
  <c r="J38" i="20" s="1"/>
  <c r="I30" i="20"/>
  <c r="I37" i="20"/>
  <c r="I38" i="20" s="1"/>
  <c r="H30" i="20"/>
  <c r="H37" i="20"/>
  <c r="H38" i="20" s="1"/>
  <c r="G30" i="20"/>
  <c r="G37" i="20"/>
  <c r="G38" i="20" s="1"/>
  <c r="F30" i="20"/>
  <c r="F37" i="20"/>
  <c r="F38" i="20" s="1"/>
  <c r="E30" i="20"/>
  <c r="E37" i="20"/>
  <c r="E38" i="20" s="1"/>
  <c r="D30" i="20"/>
  <c r="D37" i="20"/>
  <c r="D38" i="20" s="1"/>
  <c r="C30" i="20"/>
  <c r="C37" i="20"/>
  <c r="C38" i="20" s="1"/>
  <c r="B28" i="20" s="1"/>
  <c r="C35" i="20"/>
  <c r="B27" i="20" s="1"/>
  <c r="F40" i="18" l="1"/>
  <c r="G38" i="16" s="1"/>
  <c r="F38" i="18"/>
  <c r="G36" i="16" s="1"/>
  <c r="G52" i="16" s="1"/>
  <c r="B42" i="16" l="1"/>
  <c r="B41" i="16"/>
  <c r="B40" i="16"/>
  <c r="B39" i="16"/>
  <c r="B38" i="16"/>
  <c r="B36" i="16"/>
  <c r="G54" i="16"/>
  <c r="EM6" i="3" l="1"/>
  <c r="EM7" i="3" s="1"/>
  <c r="EM26" i="8" s="1"/>
  <c r="EL6" i="3"/>
  <c r="EL7" i="3" s="1"/>
  <c r="EL26" i="8" s="1"/>
  <c r="EK6" i="3"/>
  <c r="EK7" i="3" s="1"/>
  <c r="EK26" i="8" s="1"/>
  <c r="EJ6" i="3"/>
  <c r="EJ7" i="3" s="1"/>
  <c r="EJ26" i="8" s="1"/>
  <c r="EI6" i="3"/>
  <c r="EI7" i="3" s="1"/>
  <c r="EI26" i="8" s="1"/>
  <c r="EH6" i="3"/>
  <c r="EH7" i="3" s="1"/>
  <c r="EH26" i="8" s="1"/>
  <c r="EG6" i="3"/>
  <c r="EG7" i="3" s="1"/>
  <c r="EG26" i="8" s="1"/>
  <c r="EF6" i="3"/>
  <c r="EF7" i="3" s="1"/>
  <c r="EF26" i="8" s="1"/>
  <c r="EE6" i="3"/>
  <c r="EE7" i="3" s="1"/>
  <c r="EE26" i="8" s="1"/>
  <c r="ED6" i="3"/>
  <c r="ED7" i="3" s="1"/>
  <c r="ED26" i="8" s="1"/>
  <c r="EC6" i="3"/>
  <c r="EC7" i="3" s="1"/>
  <c r="EC26" i="8" s="1"/>
  <c r="EB6" i="3"/>
  <c r="EB7" i="3" s="1"/>
  <c r="EB26" i="8" s="1"/>
  <c r="EA6" i="3"/>
  <c r="EA7" i="3" s="1"/>
  <c r="EA26" i="8" s="1"/>
  <c r="DZ6" i="3"/>
  <c r="DZ7" i="3" s="1"/>
  <c r="DZ26" i="8" s="1"/>
  <c r="DY6" i="3"/>
  <c r="DY7" i="3" s="1"/>
  <c r="DY26" i="8" s="1"/>
  <c r="DX6" i="3"/>
  <c r="DX7" i="3" s="1"/>
  <c r="DX26" i="8" s="1"/>
  <c r="DW6" i="3"/>
  <c r="DW7" i="3" s="1"/>
  <c r="DW26" i="8" s="1"/>
  <c r="DV6" i="3"/>
  <c r="DV7" i="3" s="1"/>
  <c r="DV26" i="8" s="1"/>
  <c r="DU6" i="3"/>
  <c r="DU7" i="3" s="1"/>
  <c r="DU26" i="8" s="1"/>
  <c r="DT6" i="3"/>
  <c r="DT7" i="3" s="1"/>
  <c r="DT26" i="8" s="1"/>
  <c r="DS6" i="3"/>
  <c r="DS7" i="3" s="1"/>
  <c r="DS26" i="8" s="1"/>
  <c r="DR6" i="3"/>
  <c r="DR7" i="3" s="1"/>
  <c r="DR26" i="8" s="1"/>
  <c r="DQ6" i="3"/>
  <c r="DQ7" i="3" s="1"/>
  <c r="DQ26" i="8" s="1"/>
  <c r="DP6" i="3"/>
  <c r="DP7" i="3" s="1"/>
  <c r="DP26" i="8" s="1"/>
  <c r="DO6" i="3"/>
  <c r="DO7" i="3" s="1"/>
  <c r="DO26" i="8" s="1"/>
  <c r="DN6" i="3"/>
  <c r="DN7" i="3" s="1"/>
  <c r="DN26" i="8" s="1"/>
  <c r="DM6" i="3"/>
  <c r="DM7" i="3" s="1"/>
  <c r="DM26" i="8" s="1"/>
  <c r="DL6" i="3"/>
  <c r="DL7" i="3" s="1"/>
  <c r="DL26" i="8" s="1"/>
  <c r="DK6" i="3"/>
  <c r="DK7" i="3" s="1"/>
  <c r="DK26" i="8" s="1"/>
  <c r="DJ6" i="3"/>
  <c r="DJ7" i="3" s="1"/>
  <c r="DJ26" i="8" s="1"/>
  <c r="DI6" i="3"/>
  <c r="DI7" i="3" s="1"/>
  <c r="DI26" i="8" s="1"/>
  <c r="DH6" i="3"/>
  <c r="DH7" i="3" s="1"/>
  <c r="DH26" i="8" s="1"/>
  <c r="A2" i="19" l="1" a="1"/>
  <c r="A2" i="19"/>
  <c r="D19" i="16" l="1"/>
  <c r="E19" i="16" s="1"/>
  <c r="F19" i="16" s="1"/>
  <c r="G19" i="16" s="1"/>
  <c r="H19" i="16" s="1"/>
  <c r="I19" i="16" s="1"/>
  <c r="J19" i="16" s="1"/>
  <c r="K19" i="16" s="1"/>
  <c r="C3" i="16"/>
  <c r="B16" i="16"/>
  <c r="M19" i="16" l="1"/>
  <c r="L19" i="16"/>
  <c r="L20" i="16" s="1"/>
  <c r="G20" i="16"/>
  <c r="C37" i="1"/>
  <c r="C35" i="1"/>
  <c r="D3" i="16"/>
  <c r="F3" i="16"/>
  <c r="D4" i="16"/>
  <c r="F4" i="16"/>
  <c r="D5" i="16"/>
  <c r="D25" i="16" s="1"/>
  <c r="E5" i="16"/>
  <c r="E25" i="16" s="1"/>
  <c r="C5" i="16"/>
  <c r="B5" i="16" s="1"/>
  <c r="B15" i="16"/>
  <c r="C4" i="16"/>
  <c r="C18" i="16" s="1"/>
  <c r="A15" i="16"/>
  <c r="A4" i="16"/>
  <c r="A5" i="16"/>
  <c r="A6" i="16"/>
  <c r="A7" i="16"/>
  <c r="A8" i="16"/>
  <c r="A9" i="16"/>
  <c r="A10" i="16"/>
  <c r="A11" i="16"/>
  <c r="A12" i="16"/>
  <c r="A3" i="16"/>
  <c r="F18" i="16" l="1"/>
  <c r="D18" i="16"/>
  <c r="B14" i="16"/>
  <c r="B12" i="16"/>
  <c r="B11" i="16"/>
  <c r="B10" i="16"/>
  <c r="B9" i="16"/>
  <c r="B8" i="16"/>
  <c r="B3" i="16"/>
  <c r="H20" i="16"/>
  <c r="B27" i="16"/>
  <c r="B35" i="16"/>
  <c r="B33" i="16"/>
  <c r="B31" i="16"/>
  <c r="E52" i="16"/>
  <c r="B30" i="16"/>
  <c r="B29" i="16"/>
  <c r="C25" i="16"/>
  <c r="D20" i="16"/>
  <c r="D54" i="16"/>
  <c r="C14" i="18"/>
  <c r="C13" i="18"/>
  <c r="C12" i="18"/>
  <c r="E11" i="18"/>
  <c r="E8" i="18"/>
  <c r="C7" i="18"/>
  <c r="D6" i="18"/>
  <c r="C3" i="18"/>
  <c r="G63" i="18"/>
  <c r="C2" i="18"/>
  <c r="F52" i="16" l="1"/>
  <c r="B4" i="16"/>
  <c r="B6" i="16"/>
  <c r="B7" i="16"/>
  <c r="I20" i="16"/>
  <c r="F25" i="16"/>
  <c r="B25" i="16" s="1"/>
  <c r="B17" i="16"/>
  <c r="E59" i="18"/>
  <c r="A1" i="3" s="1"/>
  <c r="C1" i="3" s="1"/>
  <c r="J20" i="16" l="1"/>
  <c r="D3" i="3"/>
  <c r="F20" i="16"/>
  <c r="F54" i="16"/>
  <c r="C20" i="16"/>
  <c r="B18" i="16"/>
  <c r="M20" i="16" l="1"/>
  <c r="K20" i="16"/>
  <c r="B18" i="7"/>
  <c r="E20" i="16"/>
  <c r="E54" i="16"/>
  <c r="B20" i="16" l="1"/>
  <c r="DG6" i="3" l="1"/>
  <c r="DG7" i="3" s="1"/>
  <c r="DG26" i="8" s="1"/>
  <c r="DF6" i="3"/>
  <c r="DF7" i="3" s="1"/>
  <c r="DF26" i="8" s="1"/>
  <c r="DE6" i="3"/>
  <c r="DE7" i="3" s="1"/>
  <c r="DE26" i="8" s="1"/>
  <c r="DD6" i="3"/>
  <c r="DD7" i="3" s="1"/>
  <c r="DD26" i="8" s="1"/>
  <c r="DC6" i="3"/>
  <c r="DC7" i="3" s="1"/>
  <c r="DC26" i="8" s="1"/>
  <c r="DB6" i="3"/>
  <c r="DB7" i="3" s="1"/>
  <c r="DB26" i="8" s="1"/>
  <c r="DA6" i="3"/>
  <c r="DA7" i="3" s="1"/>
  <c r="DA26" i="8" s="1"/>
  <c r="CZ6" i="3"/>
  <c r="CZ7" i="3" s="1"/>
  <c r="CZ26" i="8" s="1"/>
  <c r="CY6" i="3"/>
  <c r="CY7" i="3" s="1"/>
  <c r="CY26" i="8" s="1"/>
  <c r="CX6" i="3"/>
  <c r="CX7" i="3" s="1"/>
  <c r="CX26" i="8" s="1"/>
  <c r="CW6" i="3"/>
  <c r="CW7" i="3" s="1"/>
  <c r="CW26" i="8" s="1"/>
  <c r="CV6" i="3"/>
  <c r="CV7" i="3" s="1"/>
  <c r="CV26" i="8" s="1"/>
  <c r="CU6" i="3"/>
  <c r="CU7" i="3" s="1"/>
  <c r="CU26" i="8" s="1"/>
  <c r="CT6" i="3"/>
  <c r="CT7" i="3" s="1"/>
  <c r="CT26" i="8" s="1"/>
  <c r="CS6" i="3"/>
  <c r="CS7" i="3" s="1"/>
  <c r="CS26" i="8" s="1"/>
  <c r="CR6" i="3"/>
  <c r="CR7" i="3" s="1"/>
  <c r="CR26" i="8" s="1"/>
  <c r="CQ6" i="3"/>
  <c r="CQ7" i="3" s="1"/>
  <c r="CQ26" i="8" s="1"/>
  <c r="CP6" i="3"/>
  <c r="CP7" i="3" s="1"/>
  <c r="CP26" i="8" s="1"/>
  <c r="CO6" i="3"/>
  <c r="CO7" i="3" s="1"/>
  <c r="CO26" i="8" s="1"/>
  <c r="CN6" i="3"/>
  <c r="CN7" i="3" s="1"/>
  <c r="CN26" i="8" s="1"/>
  <c r="CM6" i="3"/>
  <c r="CM7" i="3" s="1"/>
  <c r="CM26" i="8" s="1"/>
  <c r="CL6" i="3"/>
  <c r="CL7" i="3" s="1"/>
  <c r="CL26" i="8" s="1"/>
  <c r="CK6" i="3"/>
  <c r="CK7" i="3" s="1"/>
  <c r="CK26" i="8" s="1"/>
  <c r="CJ6" i="3"/>
  <c r="CJ7" i="3" s="1"/>
  <c r="CJ26" i="8" s="1"/>
  <c r="CI6" i="3"/>
  <c r="CI7" i="3" s="1"/>
  <c r="CI26" i="8" s="1"/>
  <c r="CH6" i="3"/>
  <c r="CH7" i="3" s="1"/>
  <c r="CH26" i="8" s="1"/>
  <c r="CG6" i="3"/>
  <c r="CG7" i="3" s="1"/>
  <c r="CG26" i="8" s="1"/>
  <c r="CF6" i="3"/>
  <c r="CF7" i="3" s="1"/>
  <c r="CF26" i="8" s="1"/>
  <c r="CE6" i="3"/>
  <c r="CE7" i="3" s="1"/>
  <c r="CE26" i="8" s="1"/>
  <c r="CD6" i="3"/>
  <c r="CD7" i="3" s="1"/>
  <c r="CD26" i="8" s="1"/>
  <c r="CC6" i="3"/>
  <c r="CC7" i="3" s="1"/>
  <c r="CC26" i="8" s="1"/>
  <c r="CB6" i="3"/>
  <c r="CB7" i="3" s="1"/>
  <c r="CB26" i="8" s="1"/>
  <c r="CA6" i="3"/>
  <c r="CA7" i="3" s="1"/>
  <c r="CA26" i="8" s="1"/>
  <c r="BZ6" i="3"/>
  <c r="BZ7" i="3" s="1"/>
  <c r="BZ26" i="8" s="1"/>
  <c r="BY6" i="3"/>
  <c r="BY7" i="3" s="1"/>
  <c r="BY26" i="8" s="1"/>
  <c r="BX6" i="3"/>
  <c r="BX7" i="3" s="1"/>
  <c r="BX26" i="8" s="1"/>
  <c r="BW6" i="3"/>
  <c r="BW7" i="3" s="1"/>
  <c r="BW26" i="8" s="1"/>
  <c r="BV6" i="3"/>
  <c r="BV7" i="3" s="1"/>
  <c r="BV26" i="8" s="1"/>
  <c r="BU6" i="3"/>
  <c r="BU7" i="3" s="1"/>
  <c r="BU26" i="8" s="1"/>
  <c r="BT6" i="3"/>
  <c r="BT7" i="3" s="1"/>
  <c r="BT26" i="8" s="1"/>
  <c r="BS6" i="3"/>
  <c r="BS7" i="3" s="1"/>
  <c r="BS26" i="8" s="1"/>
  <c r="BR6" i="3"/>
  <c r="BR7" i="3" s="1"/>
  <c r="BR26" i="8" s="1"/>
  <c r="BQ6" i="3"/>
  <c r="BQ7" i="3" s="1"/>
  <c r="BQ26" i="8" s="1"/>
  <c r="BP6" i="3"/>
  <c r="BP7" i="3" s="1"/>
  <c r="BP26" i="8" s="1"/>
  <c r="BO6" i="3"/>
  <c r="BO7" i="3" s="1"/>
  <c r="BO26" i="8" s="1"/>
  <c r="BN6" i="3"/>
  <c r="BN7" i="3" s="1"/>
  <c r="BN26" i="8" s="1"/>
  <c r="BM6" i="3"/>
  <c r="BM7" i="3" s="1"/>
  <c r="BM26" i="8" s="1"/>
  <c r="BL6" i="3"/>
  <c r="BL7" i="3" s="1"/>
  <c r="BL26" i="8" s="1"/>
  <c r="BK6" i="3"/>
  <c r="BK7" i="3" s="1"/>
  <c r="BK26" i="8" s="1"/>
  <c r="BJ6" i="3"/>
  <c r="BJ7" i="3" s="1"/>
  <c r="BJ26" i="8" s="1"/>
  <c r="BI6" i="3"/>
  <c r="BI7" i="3" s="1"/>
  <c r="BI26" i="8" s="1"/>
  <c r="BH6" i="3"/>
  <c r="BH7" i="3" s="1"/>
  <c r="BH26" i="8" s="1"/>
  <c r="BG6" i="3"/>
  <c r="BG7" i="3" s="1"/>
  <c r="BG26" i="8" s="1"/>
  <c r="BF6" i="3"/>
  <c r="BF7" i="3" s="1"/>
  <c r="BF26" i="8" s="1"/>
  <c r="BE6" i="3"/>
  <c r="BE7" i="3" s="1"/>
  <c r="BE26" i="8" s="1"/>
  <c r="BD6" i="3"/>
  <c r="BD7" i="3" s="1"/>
  <c r="BD26" i="8" s="1"/>
  <c r="BC6" i="3"/>
  <c r="BC7" i="3" s="1"/>
  <c r="BC26" i="8" s="1"/>
  <c r="BB6" i="3"/>
  <c r="BB7" i="3" s="1"/>
  <c r="BB26" i="8" s="1"/>
  <c r="BA6" i="3"/>
  <c r="BA7" i="3" s="1"/>
  <c r="BA26" i="8" s="1"/>
  <c r="AZ6" i="3"/>
  <c r="AZ7" i="3" s="1"/>
  <c r="AZ26" i="8" s="1"/>
  <c r="AY6" i="3"/>
  <c r="AY7" i="3" s="1"/>
  <c r="AY26" i="8" s="1"/>
  <c r="AX6" i="3"/>
  <c r="AX7" i="3" s="1"/>
  <c r="AX26" i="8" s="1"/>
  <c r="AW6" i="3"/>
  <c r="AW7" i="3" s="1"/>
  <c r="AW26" i="8" s="1"/>
  <c r="AV6" i="3"/>
  <c r="AV7" i="3" s="1"/>
  <c r="AV26" i="8" s="1"/>
  <c r="AU6" i="3"/>
  <c r="AU7" i="3" s="1"/>
  <c r="AU26" i="8" s="1"/>
  <c r="AT6" i="3"/>
  <c r="AT7" i="3" s="1"/>
  <c r="AT26" i="8" s="1"/>
  <c r="AS6" i="3"/>
  <c r="AS7" i="3" s="1"/>
  <c r="AS26" i="8" s="1"/>
  <c r="AR6" i="3"/>
  <c r="AR7" i="3" s="1"/>
  <c r="AR26" i="8" s="1"/>
  <c r="AQ6" i="3"/>
  <c r="AQ7" i="3" s="1"/>
  <c r="AQ26" i="8" s="1"/>
  <c r="AP6" i="3"/>
  <c r="AP7" i="3" s="1"/>
  <c r="AP26" i="8" s="1"/>
  <c r="AO6" i="3"/>
  <c r="AO7" i="3" s="1"/>
  <c r="AO26" i="8" s="1"/>
  <c r="AN6" i="3"/>
  <c r="AN7" i="3" s="1"/>
  <c r="AN26" i="8" s="1"/>
  <c r="AM6" i="3"/>
  <c r="AM7" i="3" s="1"/>
  <c r="AM26" i="8" s="1"/>
  <c r="AL6" i="3"/>
  <c r="AL7" i="3" s="1"/>
  <c r="AL26" i="8" s="1"/>
  <c r="AK6" i="3"/>
  <c r="AK7" i="3" s="1"/>
  <c r="AK26" i="8" s="1"/>
  <c r="AJ6" i="3"/>
  <c r="AJ7" i="3" s="1"/>
  <c r="AJ26" i="8" s="1"/>
  <c r="AI6" i="3"/>
  <c r="AI7" i="3" s="1"/>
  <c r="AI26" i="8" s="1"/>
  <c r="AH6" i="3"/>
  <c r="AH7" i="3" s="1"/>
  <c r="AH26" i="8" s="1"/>
  <c r="AG6" i="3"/>
  <c r="AG7" i="3" s="1"/>
  <c r="AG26" i="8" s="1"/>
  <c r="AF6" i="3"/>
  <c r="AF7" i="3" s="1"/>
  <c r="AF26" i="8" s="1"/>
  <c r="AE6" i="3"/>
  <c r="AE7" i="3" s="1"/>
  <c r="AE26" i="8" s="1"/>
  <c r="AD6" i="3"/>
  <c r="AD7" i="3" s="1"/>
  <c r="AD26" i="8" s="1"/>
  <c r="AC6" i="3"/>
  <c r="AC7" i="3" s="1"/>
  <c r="AC26" i="8" s="1"/>
  <c r="AB6" i="3"/>
  <c r="AB7" i="3" s="1"/>
  <c r="AB26" i="8" s="1"/>
  <c r="AA6" i="3"/>
  <c r="AA7" i="3" s="1"/>
  <c r="AA26" i="8" s="1"/>
  <c r="Z6" i="3"/>
  <c r="Z7" i="3" s="1"/>
  <c r="Z26" i="8" s="1"/>
  <c r="Y6" i="3"/>
  <c r="Y7" i="3" s="1"/>
  <c r="Y26" i="8" s="1"/>
  <c r="X6" i="3"/>
  <c r="X7" i="3" s="1"/>
  <c r="X26" i="8" s="1"/>
  <c r="W6" i="3"/>
  <c r="W7" i="3" s="1"/>
  <c r="W26" i="8" s="1"/>
  <c r="V6" i="3"/>
  <c r="V7" i="3" s="1"/>
  <c r="V26" i="8" s="1"/>
  <c r="U6" i="3"/>
  <c r="U7" i="3" s="1"/>
  <c r="U26" i="8" s="1"/>
  <c r="T6" i="3"/>
  <c r="T7" i="3" s="1"/>
  <c r="T26" i="8" s="1"/>
  <c r="S6" i="3"/>
  <c r="S7" i="3" s="1"/>
  <c r="S26" i="8" s="1"/>
  <c r="R6" i="3"/>
  <c r="R7" i="3" s="1"/>
  <c r="R26" i="8" s="1"/>
  <c r="Q6" i="3"/>
  <c r="Q7" i="3" s="1"/>
  <c r="Q26" i="8" s="1"/>
  <c r="P6" i="3"/>
  <c r="P7" i="3" s="1"/>
  <c r="P26" i="8" s="1"/>
  <c r="O6" i="3"/>
  <c r="O7" i="3" s="1"/>
  <c r="O26" i="8" s="1"/>
  <c r="N6" i="3"/>
  <c r="N7" i="3" s="1"/>
  <c r="N26" i="8" s="1"/>
  <c r="M6" i="3"/>
  <c r="M7" i="3" s="1"/>
  <c r="M26" i="8" s="1"/>
  <c r="L6" i="3"/>
  <c r="L7" i="3" s="1"/>
  <c r="L26" i="8" s="1"/>
  <c r="K6" i="3"/>
  <c r="K7" i="3" s="1"/>
  <c r="K26" i="8" s="1"/>
  <c r="J6" i="3"/>
  <c r="J7" i="3" s="1"/>
  <c r="J26" i="8" s="1"/>
  <c r="I6" i="3"/>
  <c r="I7" i="3" s="1"/>
  <c r="I26" i="8" s="1"/>
  <c r="H6" i="3"/>
  <c r="H7" i="3" s="1"/>
  <c r="H26" i="8" s="1"/>
  <c r="G6" i="3"/>
  <c r="G7" i="3" s="1"/>
  <c r="G26" i="8" s="1"/>
  <c r="F6" i="3"/>
  <c r="F7" i="3" s="1"/>
  <c r="F26" i="8" s="1"/>
  <c r="E6" i="3"/>
  <c r="E7" i="3" s="1"/>
  <c r="E26" i="8" s="1"/>
  <c r="AX15" i="15" l="1"/>
  <c r="AX16" i="15"/>
  <c r="AX19" i="15"/>
  <c r="AX22" i="15"/>
  <c r="AX25" i="15"/>
  <c r="AX26" i="15"/>
  <c r="AX2" i="15"/>
  <c r="AX24" i="15" l="1"/>
  <c r="AX3" i="15"/>
  <c r="AX4" i="15"/>
  <c r="AX5" i="15"/>
  <c r="AX6" i="15"/>
  <c r="AX7" i="15"/>
  <c r="AX8" i="15"/>
  <c r="AX9" i="15"/>
  <c r="AX10" i="15"/>
  <c r="AX11" i="15"/>
  <c r="AX12" i="15"/>
  <c r="AX13" i="15"/>
  <c r="AX14" i="15"/>
  <c r="AX17" i="15"/>
  <c r="AX18" i="15"/>
  <c r="AX20" i="15"/>
  <c r="AX21" i="15"/>
  <c r="AX23" i="15"/>
  <c r="C28" i="14" l="1"/>
  <c r="B27" i="14"/>
  <c r="X28" i="14" l="1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B26" i="14"/>
  <c r="B25" i="14"/>
  <c r="B24" i="14"/>
  <c r="B23" i="14"/>
  <c r="Y28" i="14"/>
  <c r="B22" i="14"/>
  <c r="B28" i="14" s="1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K18" i="14"/>
  <c r="CJ18" i="14"/>
  <c r="CI18" i="14"/>
  <c r="CH18" i="14"/>
  <c r="CG18" i="14"/>
  <c r="CF18" i="14"/>
  <c r="CE18" i="14"/>
  <c r="CD18" i="14"/>
  <c r="CC18" i="14"/>
  <c r="CB18" i="14"/>
  <c r="CA18" i="14"/>
  <c r="BZ18" i="14"/>
  <c r="BY18" i="14"/>
  <c r="BX18" i="14"/>
  <c r="BW18" i="14"/>
  <c r="BV18" i="14"/>
  <c r="BU18" i="14"/>
  <c r="BT18" i="14"/>
  <c r="BS18" i="14"/>
  <c r="BR18" i="14"/>
  <c r="BQ18" i="14"/>
  <c r="BP18" i="14"/>
  <c r="BO18" i="14"/>
  <c r="BN18" i="14"/>
  <c r="BM18" i="14"/>
  <c r="BL18" i="14"/>
  <c r="BK18" i="14"/>
  <c r="BJ18" i="14"/>
  <c r="BI18" i="14"/>
  <c r="BH18" i="14"/>
  <c r="BG18" i="14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2" i="14"/>
  <c r="C18" i="14" s="1"/>
  <c r="A3" i="2" l="1"/>
  <c r="A21" i="3" l="1"/>
  <c r="B21" i="3" l="1"/>
  <c r="A22" i="3"/>
  <c r="B3" i="2"/>
  <c r="A4" i="2"/>
  <c r="B3" i="1"/>
  <c r="A4" i="1"/>
  <c r="B22" i="3"/>
  <c r="A5" i="1"/>
  <c r="B4" i="1"/>
  <c r="A5" i="2"/>
  <c r="B4" i="2"/>
  <c r="A24" i="3"/>
  <c r="B23" i="3"/>
  <c r="A6" i="1"/>
  <c r="B5" i="1"/>
  <c r="A6" i="2"/>
  <c r="B5" i="2"/>
  <c r="A25" i="3"/>
  <c r="B24" i="3"/>
  <c r="A7" i="1"/>
  <c r="B6" i="1"/>
  <c r="A7" i="2"/>
  <c r="B6" i="2"/>
  <c r="A26" i="3"/>
  <c r="B25" i="3"/>
  <c r="A8" i="1"/>
  <c r="B7" i="1"/>
  <c r="A8" i="2"/>
  <c r="B7" i="2"/>
  <c r="A27" i="3"/>
  <c r="B26" i="3"/>
  <c r="A9" i="1"/>
  <c r="B8" i="1"/>
  <c r="A9" i="2"/>
  <c r="B8" i="2"/>
  <c r="A28" i="3"/>
  <c r="B27" i="3"/>
  <c r="A10" i="1"/>
  <c r="B9" i="1"/>
  <c r="A10" i="2"/>
  <c r="B9" i="2"/>
  <c r="A29" i="3"/>
  <c r="B28" i="3"/>
  <c r="A11" i="1"/>
  <c r="B10" i="1"/>
  <c r="A11" i="2"/>
  <c r="B10" i="2"/>
  <c r="A30" i="3"/>
  <c r="B29" i="3"/>
  <c r="A12" i="1"/>
  <c r="B11" i="1"/>
  <c r="A12" i="2"/>
  <c r="B11" i="2"/>
  <c r="A31" i="3"/>
  <c r="B30" i="3"/>
  <c r="A13" i="1"/>
  <c r="B12" i="1"/>
  <c r="A13" i="2"/>
  <c r="B12" i="2"/>
  <c r="A32" i="3"/>
  <c r="B31" i="3"/>
  <c r="A14" i="1"/>
  <c r="B13" i="1"/>
  <c r="A14" i="2"/>
  <c r="B13" i="2"/>
  <c r="A33" i="3"/>
  <c r="B32" i="3"/>
  <c r="A15" i="1"/>
  <c r="B14" i="1"/>
  <c r="A15" i="2"/>
  <c r="B14" i="2"/>
  <c r="A34" i="3"/>
  <c r="B33" i="3"/>
  <c r="A16" i="1"/>
  <c r="B15" i="1"/>
  <c r="A16" i="2"/>
  <c r="B15" i="2"/>
  <c r="A35" i="3"/>
  <c r="B34" i="3"/>
  <c r="A17" i="1"/>
  <c r="B16" i="1"/>
  <c r="A17" i="2"/>
  <c r="B16" i="2"/>
  <c r="A36" i="3"/>
  <c r="B35" i="3"/>
  <c r="A18" i="1"/>
  <c r="B17" i="1"/>
  <c r="A18" i="2"/>
  <c r="B17" i="2"/>
  <c r="A37" i="3"/>
  <c r="B36" i="3"/>
  <c r="A19" i="1"/>
  <c r="B18" i="1"/>
  <c r="A19" i="2"/>
  <c r="B18" i="2"/>
  <c r="A38" i="3"/>
  <c r="B37" i="3"/>
  <c r="A20" i="1"/>
  <c r="B19" i="1"/>
  <c r="A20" i="2"/>
  <c r="B19" i="2"/>
  <c r="A39" i="3"/>
  <c r="B38" i="3"/>
  <c r="A21" i="1"/>
  <c r="B20" i="1"/>
  <c r="A21" i="2"/>
  <c r="B20" i="2"/>
  <c r="A40" i="3"/>
  <c r="B39" i="3"/>
  <c r="A22" i="1"/>
  <c r="B21" i="1"/>
  <c r="A22" i="2"/>
  <c r="B21" i="2"/>
  <c r="A41" i="3"/>
  <c r="B40" i="3"/>
  <c r="A23" i="1"/>
  <c r="B22" i="1"/>
  <c r="A23" i="2"/>
  <c r="B22" i="2"/>
  <c r="A42" i="3"/>
  <c r="B41" i="3"/>
  <c r="A24" i="1"/>
  <c r="B23" i="1"/>
  <c r="A24" i="2"/>
  <c r="B23" i="2"/>
  <c r="A43" i="3"/>
  <c r="B42" i="3"/>
  <c r="A25" i="1"/>
  <c r="B24" i="1"/>
  <c r="A25" i="2"/>
  <c r="B24" i="2"/>
  <c r="A44" i="3"/>
  <c r="B43" i="3"/>
  <c r="A26" i="1"/>
  <c r="B25" i="1"/>
  <c r="A26" i="2"/>
  <c r="B25" i="2"/>
  <c r="A45" i="3"/>
  <c r="B44" i="3"/>
  <c r="A27" i="1"/>
  <c r="B26" i="1"/>
  <c r="A27" i="2"/>
  <c r="B26" i="2"/>
  <c r="A46" i="3"/>
  <c r="B45" i="3"/>
  <c r="A28" i="1"/>
  <c r="B27" i="1"/>
  <c r="A28" i="2"/>
  <c r="B27" i="2"/>
  <c r="A47" i="3"/>
  <c r="B46" i="3"/>
  <c r="A29" i="1"/>
  <c r="B28" i="1"/>
  <c r="A29" i="2"/>
  <c r="B28" i="2"/>
  <c r="A48" i="3"/>
  <c r="B47" i="3"/>
  <c r="A30" i="1"/>
  <c r="A31" i="1" s="1"/>
  <c r="B29" i="1"/>
  <c r="A30" i="2"/>
  <c r="B29" i="2"/>
  <c r="A49" i="3"/>
  <c r="B48" i="3"/>
  <c r="B30" i="1"/>
  <c r="A31" i="2"/>
  <c r="B30" i="2"/>
  <c r="A50" i="3"/>
  <c r="A51" i="3" s="1"/>
  <c r="B51" i="3" s="1"/>
  <c r="B49" i="3"/>
  <c r="A32" i="2"/>
  <c r="A33" i="2" s="1"/>
  <c r="B33" i="2" s="1"/>
  <c r="B31" i="2"/>
  <c r="B50" i="3"/>
  <c r="B32" i="2"/>
  <c r="B31" i="1" l="1"/>
  <c r="A32" i="1"/>
  <c r="A33" i="1" s="1"/>
  <c r="B33" i="1" s="1"/>
  <c r="B32" i="1" l="1"/>
  <c r="ER8" i="3" l="1"/>
  <c r="ER9" i="3" s="1"/>
  <c r="ES8" i="3"/>
  <c r="ES9" i="3" s="1"/>
  <c r="ET8" i="3"/>
  <c r="ET9" i="3" s="1"/>
  <c r="EU8" i="3"/>
  <c r="EU9" i="3" s="1"/>
  <c r="EV8" i="3"/>
  <c r="EV9" i="3" s="1"/>
  <c r="EW8" i="3"/>
  <c r="EW9" i="3" s="1"/>
  <c r="EX8" i="3"/>
  <c r="EX9" i="3" s="1"/>
  <c r="EY8" i="3"/>
  <c r="EY9" i="3" s="1"/>
  <c r="EZ8" i="3"/>
  <c r="EZ9" i="3" s="1"/>
  <c r="FA8" i="3"/>
  <c r="FA9" i="3" s="1"/>
  <c r="FB8" i="3"/>
  <c r="FB9" i="3" s="1"/>
  <c r="FC8" i="3"/>
  <c r="FC9" i="3" s="1"/>
  <c r="ER10" i="3"/>
  <c r="ER11" i="3" s="1"/>
  <c r="ES10" i="3"/>
  <c r="ES11" i="3" s="1"/>
  <c r="ET10" i="3"/>
  <c r="ET11" i="3" s="1"/>
  <c r="EU10" i="3"/>
  <c r="EU11" i="3" s="1"/>
  <c r="EV10" i="3"/>
  <c r="EV11" i="3" s="1"/>
  <c r="EW10" i="3"/>
  <c r="EW11" i="3" s="1"/>
  <c r="EX10" i="3"/>
  <c r="EX11" i="3" s="1"/>
  <c r="EY10" i="3"/>
  <c r="EY11" i="3" s="1"/>
  <c r="EZ10" i="3"/>
  <c r="EZ11" i="3" s="1"/>
  <c r="FA10" i="3"/>
  <c r="FA11" i="3" s="1"/>
  <c r="FB10" i="3"/>
  <c r="FB11" i="3" s="1"/>
  <c r="FC10" i="3"/>
  <c r="FC11" i="3" s="1"/>
  <c r="ER12" i="3"/>
  <c r="ER13" i="3" s="1"/>
  <c r="ES12" i="3"/>
  <c r="ES13" i="3" s="1"/>
  <c r="ET12" i="3"/>
  <c r="ET13" i="3" s="1"/>
  <c r="EU12" i="3"/>
  <c r="EU13" i="3" s="1"/>
  <c r="EV12" i="3"/>
  <c r="EV13" i="3" s="1"/>
  <c r="EW12" i="3"/>
  <c r="EW13" i="3" s="1"/>
  <c r="EX12" i="3"/>
  <c r="EX13" i="3" s="1"/>
  <c r="EY12" i="3"/>
  <c r="EY13" i="3" s="1"/>
  <c r="EZ12" i="3"/>
  <c r="EZ13" i="3" s="1"/>
  <c r="FA12" i="3"/>
  <c r="FA13" i="3" s="1"/>
  <c r="FB12" i="3"/>
  <c r="FB13" i="3" s="1"/>
  <c r="FC12" i="3"/>
  <c r="FC13" i="3" s="1"/>
  <c r="ER14" i="3"/>
  <c r="ES14" i="3"/>
  <c r="ET14" i="3"/>
  <c r="EU14" i="3"/>
  <c r="EV14" i="3"/>
  <c r="EW14" i="3"/>
  <c r="EX14" i="3"/>
  <c r="EY14" i="3"/>
  <c r="EZ14" i="3"/>
  <c r="FA14" i="3"/>
  <c r="FB14" i="3"/>
  <c r="FC14" i="3"/>
  <c r="EO8" i="3"/>
  <c r="EP8" i="3"/>
  <c r="EQ8" i="3"/>
  <c r="EO10" i="3"/>
  <c r="EP10" i="3"/>
  <c r="EQ10" i="3"/>
  <c r="EO12" i="3"/>
  <c r="EP12" i="3"/>
  <c r="EQ12" i="3"/>
  <c r="EO14" i="3"/>
  <c r="EP14" i="3"/>
  <c r="EQ14" i="3"/>
  <c r="EN8" i="3"/>
  <c r="EN10" i="3"/>
  <c r="EN12" i="3"/>
  <c r="EN14" i="3"/>
  <c r="DH8" i="3"/>
  <c r="DI8" i="3"/>
  <c r="DJ8" i="3"/>
  <c r="DK8" i="3"/>
  <c r="DL8" i="3"/>
  <c r="DM8" i="3"/>
  <c r="DN8" i="3"/>
  <c r="DO8" i="3"/>
  <c r="DP8" i="3"/>
  <c r="DQ8" i="3"/>
  <c r="DR8" i="3"/>
  <c r="DS8" i="3"/>
  <c r="DT8" i="3"/>
  <c r="DU8" i="3"/>
  <c r="DV8" i="3"/>
  <c r="DW8" i="3"/>
  <c r="DX8" i="3"/>
  <c r="DY8" i="3"/>
  <c r="DZ8" i="3"/>
  <c r="EA8" i="3"/>
  <c r="EB8" i="3"/>
  <c r="EC8" i="3"/>
  <c r="ED8" i="3"/>
  <c r="EE8" i="3"/>
  <c r="EF8" i="3"/>
  <c r="EG8" i="3"/>
  <c r="EH8" i="3"/>
  <c r="EI8" i="3"/>
  <c r="EJ8" i="3"/>
  <c r="EK8" i="3"/>
  <c r="EL8" i="3"/>
  <c r="EM8" i="3"/>
  <c r="DH10" i="3"/>
  <c r="DI10" i="3"/>
  <c r="DJ10" i="3"/>
  <c r="DK10" i="3"/>
  <c r="DL10" i="3"/>
  <c r="DM10" i="3"/>
  <c r="DN10" i="3"/>
  <c r="DO10" i="3"/>
  <c r="DP10" i="3"/>
  <c r="DQ10" i="3"/>
  <c r="DR10" i="3"/>
  <c r="DS10" i="3"/>
  <c r="DT10" i="3"/>
  <c r="DU10" i="3"/>
  <c r="DV10" i="3"/>
  <c r="DW10" i="3"/>
  <c r="DX10" i="3"/>
  <c r="DY10" i="3"/>
  <c r="DZ10" i="3"/>
  <c r="EA10" i="3"/>
  <c r="EB10" i="3"/>
  <c r="EC10" i="3"/>
  <c r="ED10" i="3"/>
  <c r="EE10" i="3"/>
  <c r="EF10" i="3"/>
  <c r="EG10" i="3"/>
  <c r="EH10" i="3"/>
  <c r="EI10" i="3"/>
  <c r="EJ10" i="3"/>
  <c r="EK10" i="3"/>
  <c r="EL10" i="3"/>
  <c r="EM10" i="3"/>
  <c r="DH12" i="3"/>
  <c r="DI12" i="3"/>
  <c r="DJ12" i="3"/>
  <c r="DK12" i="3"/>
  <c r="DL12" i="3"/>
  <c r="DM12" i="3"/>
  <c r="DN12" i="3"/>
  <c r="DO12" i="3"/>
  <c r="DP12" i="3"/>
  <c r="DQ12" i="3"/>
  <c r="DR12" i="3"/>
  <c r="DS12" i="3"/>
  <c r="DT12" i="3"/>
  <c r="DU12" i="3"/>
  <c r="DV12" i="3"/>
  <c r="DW12" i="3"/>
  <c r="DX12" i="3"/>
  <c r="DY12" i="3"/>
  <c r="DZ12" i="3"/>
  <c r="EA12" i="3"/>
  <c r="EB12" i="3"/>
  <c r="EC12" i="3"/>
  <c r="ED12" i="3"/>
  <c r="EE12" i="3"/>
  <c r="EF12" i="3"/>
  <c r="EG12" i="3"/>
  <c r="EH12" i="3"/>
  <c r="EI12" i="3"/>
  <c r="EJ12" i="3"/>
  <c r="EK12" i="3"/>
  <c r="EL12" i="3"/>
  <c r="EM12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U14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EJ14" i="3"/>
  <c r="EK14" i="3"/>
  <c r="EL14" i="3"/>
  <c r="EM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G10" i="3"/>
  <c r="DF10" i="3"/>
  <c r="DE10" i="3"/>
  <c r="DD10" i="3"/>
  <c r="DC10" i="3"/>
  <c r="DB10" i="3"/>
  <c r="DA10" i="3"/>
  <c r="CZ10" i="3"/>
  <c r="CY10" i="3"/>
  <c r="CX10" i="3"/>
  <c r="CW10" i="3"/>
  <c r="CV10" i="3"/>
  <c r="CU10" i="3"/>
  <c r="CT10" i="3"/>
  <c r="CS10" i="3"/>
  <c r="CR10" i="3"/>
  <c r="CQ10" i="3"/>
  <c r="CP10" i="3"/>
  <c r="CO10" i="3"/>
  <c r="CN10" i="3"/>
  <c r="CM10" i="3"/>
  <c r="CL10" i="3"/>
  <c r="CK10" i="3"/>
  <c r="CJ10" i="3"/>
  <c r="CI10" i="3"/>
  <c r="CH10" i="3"/>
  <c r="CG10" i="3"/>
  <c r="CF10" i="3"/>
  <c r="CE10" i="3"/>
  <c r="CD10" i="3"/>
  <c r="CC10" i="3"/>
  <c r="CB10" i="3"/>
  <c r="CA10" i="3"/>
  <c r="BZ10" i="3"/>
  <c r="BY10" i="3"/>
  <c r="BX10" i="3"/>
  <c r="BW10" i="3"/>
  <c r="BV10" i="3"/>
  <c r="BU10" i="3"/>
  <c r="BT10" i="3"/>
  <c r="BS10" i="3"/>
  <c r="BR10" i="3"/>
  <c r="BQ10" i="3"/>
  <c r="BP10" i="3"/>
  <c r="BO10" i="3"/>
  <c r="BN10" i="3"/>
  <c r="BM10" i="3"/>
  <c r="BL10" i="3"/>
  <c r="BK10" i="3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G8" i="3"/>
  <c r="DF8" i="3"/>
  <c r="DE8" i="3"/>
  <c r="DD8" i="3"/>
  <c r="DC8" i="3"/>
  <c r="DB8" i="3"/>
  <c r="DA8" i="3"/>
  <c r="CZ8" i="3"/>
  <c r="CY8" i="3"/>
  <c r="CX8" i="3"/>
  <c r="CW8" i="3"/>
  <c r="CV8" i="3"/>
  <c r="CU8" i="3"/>
  <c r="CT8" i="3"/>
  <c r="CS8" i="3"/>
  <c r="CR8" i="3"/>
  <c r="CQ8" i="3"/>
  <c r="CP8" i="3"/>
  <c r="CO8" i="3"/>
  <c r="CN8" i="3"/>
  <c r="CM8" i="3"/>
  <c r="CL8" i="3"/>
  <c r="CK8" i="3"/>
  <c r="CJ8" i="3"/>
  <c r="CI8" i="3"/>
  <c r="CH8" i="3"/>
  <c r="CG8" i="3"/>
  <c r="CF8" i="3"/>
  <c r="CE8" i="3"/>
  <c r="CD8" i="3"/>
  <c r="CC8" i="3"/>
  <c r="CB8" i="3"/>
  <c r="CA8" i="3"/>
  <c r="BZ8" i="3"/>
  <c r="BY8" i="3"/>
  <c r="BX8" i="3"/>
  <c r="BW8" i="3"/>
  <c r="BV8" i="3"/>
  <c r="BU8" i="3"/>
  <c r="BT8" i="3"/>
  <c r="BS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6" i="3"/>
  <c r="D14" i="3" l="1"/>
  <c r="D12" i="3"/>
  <c r="D10" i="3"/>
  <c r="D8" i="3"/>
  <c r="CG9" i="3" l="1"/>
  <c r="DN13" i="3"/>
  <c r="BD9" i="3"/>
  <c r="AR9" i="3"/>
  <c r="AI9" i="3"/>
  <c r="AF9" i="3"/>
  <c r="AM9" i="3"/>
  <c r="AV9" i="3"/>
  <c r="BA9" i="3"/>
  <c r="BN9" i="3"/>
  <c r="BW9" i="3"/>
  <c r="BZ9" i="3"/>
  <c r="CC9" i="3"/>
  <c r="BK9" i="3"/>
  <c r="BM9" i="3"/>
  <c r="BP9" i="3"/>
  <c r="BV9" i="3"/>
  <c r="BY9" i="3"/>
  <c r="CB9" i="3"/>
  <c r="CF9" i="3"/>
  <c r="BS9" i="3"/>
  <c r="AN9" i="3"/>
  <c r="BR9" i="3"/>
  <c r="BO9" i="3"/>
  <c r="AP9" i="3"/>
  <c r="BE9" i="3"/>
  <c r="BL9" i="3"/>
  <c r="BI9" i="3"/>
  <c r="BF9" i="3"/>
  <c r="CD9" i="3"/>
  <c r="BB9" i="3"/>
  <c r="AQ9" i="3"/>
  <c r="BC9" i="3"/>
  <c r="AK9" i="3"/>
  <c r="AH9" i="3"/>
  <c r="AJ9" i="3"/>
  <c r="EN13" i="3"/>
  <c r="EM13" i="3"/>
  <c r="BJ9" i="3"/>
  <c r="EL13" i="3"/>
  <c r="AG9" i="3"/>
  <c r="EK13" i="3"/>
  <c r="EJ13" i="3"/>
  <c r="AU9" i="3"/>
  <c r="EI13" i="3"/>
  <c r="AS9" i="3"/>
  <c r="EH13" i="3"/>
  <c r="EG13" i="3"/>
  <c r="AW9" i="3"/>
  <c r="AO9" i="3"/>
  <c r="EF13" i="3"/>
  <c r="EE13" i="3"/>
  <c r="ED13" i="3"/>
  <c r="EC13" i="3"/>
  <c r="EB13" i="3"/>
  <c r="BX9" i="3"/>
  <c r="BU9" i="3"/>
  <c r="BT9" i="3"/>
  <c r="CA9" i="3"/>
  <c r="EA13" i="3"/>
  <c r="DZ13" i="3"/>
  <c r="DY13" i="3"/>
  <c r="DX13" i="3"/>
  <c r="CH9" i="3"/>
  <c r="DW13" i="3"/>
  <c r="DO13" i="3"/>
  <c r="DV13" i="3"/>
  <c r="DU13" i="3"/>
  <c r="CX9" i="3"/>
  <c r="DC9" i="3"/>
  <c r="DI13" i="3"/>
  <c r="DH13" i="3"/>
  <c r="DT13" i="3"/>
  <c r="DM13" i="3"/>
  <c r="DF9" i="3"/>
  <c r="DS13" i="3"/>
  <c r="DR13" i="3"/>
  <c r="DQ13" i="3"/>
  <c r="DP13" i="3"/>
  <c r="CI9" i="3"/>
  <c r="CK9" i="3"/>
  <c r="DL13" i="3"/>
  <c r="DK13" i="3"/>
  <c r="DJ13" i="3"/>
  <c r="DB9" i="3"/>
  <c r="DG9" i="3"/>
  <c r="DE9" i="3"/>
  <c r="DD9" i="3"/>
  <c r="DA9" i="3"/>
  <c r="CZ9" i="3"/>
  <c r="CY9" i="3"/>
  <c r="CW9" i="3"/>
  <c r="CV9" i="3"/>
  <c r="CU9" i="3"/>
  <c r="CT9" i="3"/>
  <c r="CS9" i="3"/>
  <c r="CR9" i="3"/>
  <c r="CQ9" i="3"/>
  <c r="CP9" i="3"/>
  <c r="CO9" i="3"/>
  <c r="CJ9" i="3"/>
  <c r="CN9" i="3"/>
  <c r="CM9" i="3"/>
  <c r="CL9" i="3"/>
  <c r="CE9" i="3"/>
  <c r="BQ9" i="3"/>
  <c r="BH9" i="3"/>
  <c r="BG9" i="3"/>
  <c r="AZ9" i="3"/>
  <c r="AY9" i="3"/>
  <c r="AX9" i="3"/>
  <c r="AT9" i="3"/>
  <c r="AL9" i="3"/>
  <c r="AE9" i="3"/>
  <c r="AD9" i="3"/>
  <c r="AC9" i="3"/>
  <c r="AB9" i="3"/>
  <c r="AA9" i="3"/>
  <c r="Z9" i="3"/>
  <c r="Y9" i="3"/>
  <c r="X9" i="3"/>
  <c r="W9" i="3"/>
  <c r="V9" i="3"/>
  <c r="U9" i="3"/>
  <c r="EO13" i="3"/>
  <c r="EP13" i="3"/>
  <c r="EQ13" i="3"/>
  <c r="EQ9" i="3" l="1"/>
  <c r="EQ11" i="3"/>
  <c r="EP9" i="3"/>
  <c r="EP11" i="3"/>
  <c r="EO9" i="3"/>
  <c r="EO11" i="3"/>
  <c r="U13" i="3"/>
  <c r="U11" i="3"/>
  <c r="V13" i="3"/>
  <c r="V11" i="3"/>
  <c r="W13" i="3"/>
  <c r="W11" i="3"/>
  <c r="X13" i="3"/>
  <c r="X11" i="3"/>
  <c r="Y13" i="3"/>
  <c r="Y11" i="3"/>
  <c r="Z13" i="3"/>
  <c r="Z11" i="3"/>
  <c r="AA13" i="3"/>
  <c r="AA11" i="3"/>
  <c r="AB13" i="3"/>
  <c r="AB11" i="3"/>
  <c r="AC13" i="3"/>
  <c r="AC11" i="3"/>
  <c r="AD13" i="3"/>
  <c r="AD11" i="3"/>
  <c r="AE13" i="3"/>
  <c r="AE11" i="3"/>
  <c r="AL13" i="3"/>
  <c r="AL11" i="3"/>
  <c r="AT13" i="3"/>
  <c r="AT11" i="3"/>
  <c r="AX13" i="3"/>
  <c r="AX11" i="3"/>
  <c r="AY13" i="3"/>
  <c r="AY11" i="3"/>
  <c r="AZ13" i="3"/>
  <c r="AZ11" i="3"/>
  <c r="BG13" i="3"/>
  <c r="BG11" i="3"/>
  <c r="BH13" i="3"/>
  <c r="BH11" i="3"/>
  <c r="BQ13" i="3"/>
  <c r="BQ11" i="3"/>
  <c r="CE13" i="3"/>
  <c r="CE11" i="3"/>
  <c r="CL13" i="3"/>
  <c r="CL11" i="3"/>
  <c r="CM13" i="3"/>
  <c r="CM11" i="3"/>
  <c r="CN13" i="3"/>
  <c r="CN11" i="3"/>
  <c r="CJ13" i="3"/>
  <c r="CJ11" i="3"/>
  <c r="CO13" i="3"/>
  <c r="CO11" i="3"/>
  <c r="CP13" i="3"/>
  <c r="CP11" i="3"/>
  <c r="CQ13" i="3"/>
  <c r="CQ11" i="3"/>
  <c r="CR13" i="3"/>
  <c r="CR11" i="3"/>
  <c r="CS13" i="3"/>
  <c r="CS11" i="3"/>
  <c r="CT13" i="3"/>
  <c r="CT11" i="3"/>
  <c r="CU13" i="3"/>
  <c r="CU11" i="3"/>
  <c r="CV13" i="3"/>
  <c r="CV11" i="3"/>
  <c r="CW13" i="3"/>
  <c r="CW11" i="3"/>
  <c r="CY13" i="3"/>
  <c r="CY11" i="3"/>
  <c r="CZ13" i="3"/>
  <c r="CZ11" i="3"/>
  <c r="DA13" i="3"/>
  <c r="DA11" i="3"/>
  <c r="DD13" i="3"/>
  <c r="DD11" i="3"/>
  <c r="DE13" i="3"/>
  <c r="DE11" i="3"/>
  <c r="DG13" i="3"/>
  <c r="DG11" i="3"/>
  <c r="DB13" i="3"/>
  <c r="DB11" i="3"/>
  <c r="DJ9" i="3"/>
  <c r="DJ11" i="3"/>
  <c r="DK9" i="3"/>
  <c r="DK11" i="3"/>
  <c r="DL9" i="3"/>
  <c r="DL11" i="3"/>
  <c r="CK13" i="3"/>
  <c r="CK11" i="3"/>
  <c r="CI13" i="3"/>
  <c r="CI11" i="3"/>
  <c r="DP9" i="3"/>
  <c r="DP11" i="3"/>
  <c r="DQ9" i="3"/>
  <c r="DQ11" i="3"/>
  <c r="DR9" i="3"/>
  <c r="DR11" i="3"/>
  <c r="DS9" i="3"/>
  <c r="DS11" i="3"/>
  <c r="DF13" i="3"/>
  <c r="DF11" i="3"/>
  <c r="DM9" i="3"/>
  <c r="DM11" i="3"/>
  <c r="DT9" i="3"/>
  <c r="DT11" i="3"/>
  <c r="DH9" i="3"/>
  <c r="DH11" i="3"/>
  <c r="DI9" i="3"/>
  <c r="DI11" i="3"/>
  <c r="DC13" i="3"/>
  <c r="DC11" i="3"/>
  <c r="CX13" i="3"/>
  <c r="CX11" i="3"/>
  <c r="DU9" i="3"/>
  <c r="DU11" i="3"/>
  <c r="DV9" i="3"/>
  <c r="DV11" i="3"/>
  <c r="DO9" i="3"/>
  <c r="DO11" i="3"/>
  <c r="DW9" i="3"/>
  <c r="DW11" i="3"/>
  <c r="CH13" i="3"/>
  <c r="CH11" i="3"/>
  <c r="DX9" i="3"/>
  <c r="DX11" i="3"/>
  <c r="DY9" i="3"/>
  <c r="DY11" i="3"/>
  <c r="DZ9" i="3"/>
  <c r="DZ11" i="3"/>
  <c r="EA9" i="3"/>
  <c r="EA11" i="3"/>
  <c r="CA13" i="3"/>
  <c r="CA11" i="3"/>
  <c r="BT13" i="3"/>
  <c r="BT11" i="3"/>
  <c r="BU13" i="3"/>
  <c r="BU11" i="3"/>
  <c r="BX13" i="3"/>
  <c r="BX11" i="3"/>
  <c r="EB9" i="3"/>
  <c r="EB11" i="3"/>
  <c r="EC9" i="3"/>
  <c r="EC11" i="3"/>
  <c r="ED9" i="3"/>
  <c r="ED11" i="3"/>
  <c r="EE9" i="3"/>
  <c r="EE11" i="3"/>
  <c r="EF9" i="3"/>
  <c r="EF11" i="3"/>
  <c r="AO13" i="3"/>
  <c r="AO11" i="3"/>
  <c r="AW13" i="3"/>
  <c r="AW11" i="3"/>
  <c r="EG9" i="3"/>
  <c r="EG11" i="3"/>
  <c r="EH9" i="3"/>
  <c r="EH11" i="3"/>
  <c r="AS13" i="3"/>
  <c r="AS11" i="3"/>
  <c r="EI9" i="3"/>
  <c r="EI11" i="3"/>
  <c r="AU13" i="3"/>
  <c r="AU11" i="3"/>
  <c r="EJ9" i="3"/>
  <c r="EJ11" i="3"/>
  <c r="EK9" i="3"/>
  <c r="EK11" i="3"/>
  <c r="AG13" i="3"/>
  <c r="AG11" i="3"/>
  <c r="EL9" i="3"/>
  <c r="EL11" i="3"/>
  <c r="BJ13" i="3"/>
  <c r="BJ11" i="3"/>
  <c r="EM9" i="3"/>
  <c r="EM11" i="3"/>
  <c r="EN9" i="3"/>
  <c r="EN11" i="3"/>
  <c r="AJ13" i="3"/>
  <c r="AJ11" i="3"/>
  <c r="AH13" i="3"/>
  <c r="AH11" i="3"/>
  <c r="AK13" i="3"/>
  <c r="AK11" i="3"/>
  <c r="BC13" i="3"/>
  <c r="BC11" i="3"/>
  <c r="AQ13" i="3"/>
  <c r="AQ11" i="3"/>
  <c r="BB13" i="3"/>
  <c r="BB11" i="3"/>
  <c r="CD13" i="3"/>
  <c r="CD11" i="3"/>
  <c r="BF13" i="3"/>
  <c r="BF11" i="3"/>
  <c r="BI13" i="3"/>
  <c r="BI11" i="3"/>
  <c r="BL13" i="3"/>
  <c r="BL11" i="3"/>
  <c r="BE13" i="3"/>
  <c r="BE11" i="3"/>
  <c r="AP13" i="3"/>
  <c r="AP11" i="3"/>
  <c r="BO13" i="3"/>
  <c r="BO11" i="3"/>
  <c r="BR13" i="3"/>
  <c r="BR11" i="3"/>
  <c r="AN13" i="3"/>
  <c r="AN11" i="3"/>
  <c r="BS13" i="3"/>
  <c r="BS11" i="3"/>
  <c r="CF13" i="3"/>
  <c r="CF11" i="3"/>
  <c r="CB13" i="3"/>
  <c r="CB11" i="3"/>
  <c r="BY13" i="3"/>
  <c r="BY11" i="3"/>
  <c r="BV13" i="3"/>
  <c r="BV11" i="3"/>
  <c r="BP13" i="3"/>
  <c r="BP11" i="3"/>
  <c r="BM13" i="3"/>
  <c r="BM11" i="3"/>
  <c r="BK13" i="3"/>
  <c r="BK11" i="3"/>
  <c r="CC13" i="3"/>
  <c r="CC11" i="3"/>
  <c r="BZ13" i="3"/>
  <c r="BZ11" i="3"/>
  <c r="BW13" i="3"/>
  <c r="BW11" i="3"/>
  <c r="BN13" i="3"/>
  <c r="BN11" i="3"/>
  <c r="BA13" i="3"/>
  <c r="BA11" i="3"/>
  <c r="AV13" i="3"/>
  <c r="AV11" i="3"/>
  <c r="AM13" i="3"/>
  <c r="AM11" i="3"/>
  <c r="AF13" i="3"/>
  <c r="AF11" i="3"/>
  <c r="AI13" i="3"/>
  <c r="AI11" i="3"/>
  <c r="AR13" i="3"/>
  <c r="AR11" i="3"/>
  <c r="BD13" i="3"/>
  <c r="BD11" i="3"/>
  <c r="DN9" i="3"/>
  <c r="DN11" i="3"/>
  <c r="CG13" i="3"/>
  <c r="CG11" i="3"/>
  <c r="CG19" i="3" l="1"/>
  <c r="CF2" i="7" s="1"/>
  <c r="CF11" i="7" s="1"/>
  <c r="CF2" i="9" s="1"/>
  <c r="CG27" i="8"/>
  <c r="CG29" i="8" s="1"/>
  <c r="DN19" i="3"/>
  <c r="DM2" i="7" s="1"/>
  <c r="DM11" i="7" s="1"/>
  <c r="DM2" i="9" s="1"/>
  <c r="DN27" i="8"/>
  <c r="DN29" i="8" s="1"/>
  <c r="BD19" i="3"/>
  <c r="BC2" i="7" s="1"/>
  <c r="BC11" i="7" s="1"/>
  <c r="BC2" i="9" s="1"/>
  <c r="BD27" i="8"/>
  <c r="BD29" i="8" s="1"/>
  <c r="AR19" i="3"/>
  <c r="AQ2" i="7" s="1"/>
  <c r="AQ11" i="7" s="1"/>
  <c r="AQ2" i="9" s="1"/>
  <c r="AR27" i="8"/>
  <c r="AR29" i="8" s="1"/>
  <c r="AI19" i="3"/>
  <c r="AH2" i="7" s="1"/>
  <c r="AH11" i="7" s="1"/>
  <c r="AH2" i="9" s="1"/>
  <c r="AI27" i="8"/>
  <c r="AI29" i="8" s="1"/>
  <c r="AF19" i="3"/>
  <c r="AE2" i="7" s="1"/>
  <c r="AE11" i="7" s="1"/>
  <c r="AE2" i="9" s="1"/>
  <c r="AF27" i="8"/>
  <c r="AF29" i="8" s="1"/>
  <c r="AM19" i="3"/>
  <c r="AL2" i="7" s="1"/>
  <c r="AL11" i="7" s="1"/>
  <c r="AL2" i="9" s="1"/>
  <c r="AM27" i="8"/>
  <c r="AM29" i="8" s="1"/>
  <c r="AV19" i="3"/>
  <c r="AU2" i="7" s="1"/>
  <c r="AU11" i="7" s="1"/>
  <c r="AU2" i="9" s="1"/>
  <c r="AV27" i="8"/>
  <c r="AV29" i="8" s="1"/>
  <c r="BA19" i="3"/>
  <c r="AZ2" i="7" s="1"/>
  <c r="AZ11" i="7" s="1"/>
  <c r="AZ2" i="9" s="1"/>
  <c r="BA27" i="8"/>
  <c r="BA29" i="8" s="1"/>
  <c r="BN19" i="3"/>
  <c r="BM2" i="7" s="1"/>
  <c r="BM11" i="7" s="1"/>
  <c r="BM2" i="9" s="1"/>
  <c r="BN27" i="8"/>
  <c r="BN29" i="8" s="1"/>
  <c r="BW19" i="3"/>
  <c r="BV2" i="7" s="1"/>
  <c r="BV11" i="7" s="1"/>
  <c r="BV2" i="9" s="1"/>
  <c r="BW27" i="8"/>
  <c r="BW29" i="8" s="1"/>
  <c r="BZ19" i="3"/>
  <c r="BY2" i="7" s="1"/>
  <c r="BY11" i="7" s="1"/>
  <c r="BY2" i="9" s="1"/>
  <c r="BZ27" i="8"/>
  <c r="BZ29" i="8" s="1"/>
  <c r="CC19" i="3"/>
  <c r="CB2" i="7" s="1"/>
  <c r="CB11" i="7" s="1"/>
  <c r="CB2" i="9" s="1"/>
  <c r="CC27" i="8"/>
  <c r="CC29" i="8" s="1"/>
  <c r="BK19" i="3"/>
  <c r="BJ2" i="7" s="1"/>
  <c r="BK27" i="8"/>
  <c r="BK29" i="8" s="1"/>
  <c r="BM19" i="3"/>
  <c r="BL2" i="7" s="1"/>
  <c r="BL11" i="7" s="1"/>
  <c r="BL2" i="9" s="1"/>
  <c r="BM27" i="8"/>
  <c r="BM29" i="8" s="1"/>
  <c r="BP19" i="3"/>
  <c r="BO2" i="7" s="1"/>
  <c r="BO11" i="7" s="1"/>
  <c r="BO2" i="9" s="1"/>
  <c r="BP27" i="8"/>
  <c r="BP29" i="8" s="1"/>
  <c r="BV19" i="3"/>
  <c r="BU2" i="7" s="1"/>
  <c r="BU11" i="7" s="1"/>
  <c r="BU2" i="9" s="1"/>
  <c r="BV27" i="8"/>
  <c r="BV29" i="8" s="1"/>
  <c r="BY19" i="3"/>
  <c r="BX2" i="7" s="1"/>
  <c r="BX11" i="7" s="1"/>
  <c r="BX2" i="9" s="1"/>
  <c r="BY27" i="8"/>
  <c r="BY29" i="8" s="1"/>
  <c r="CB19" i="3"/>
  <c r="CA2" i="7" s="1"/>
  <c r="CA11" i="7" s="1"/>
  <c r="CA2" i="9" s="1"/>
  <c r="CB27" i="8"/>
  <c r="CB29" i="8" s="1"/>
  <c r="CF19" i="3"/>
  <c r="CE2" i="7" s="1"/>
  <c r="CE11" i="7" s="1"/>
  <c r="CE2" i="9" s="1"/>
  <c r="CF27" i="8"/>
  <c r="CF29" i="8" s="1"/>
  <c r="BS19" i="3"/>
  <c r="BR2" i="7" s="1"/>
  <c r="BR11" i="7" s="1"/>
  <c r="BR2" i="9" s="1"/>
  <c r="BS27" i="8"/>
  <c r="BS29" i="8" s="1"/>
  <c r="AN19" i="3"/>
  <c r="AM2" i="7" s="1"/>
  <c r="AM11" i="7" s="1"/>
  <c r="AM2" i="9" s="1"/>
  <c r="AN27" i="8"/>
  <c r="AN29" i="8" s="1"/>
  <c r="BR19" i="3"/>
  <c r="BQ2" i="7" s="1"/>
  <c r="BQ11" i="7" s="1"/>
  <c r="BQ2" i="9" s="1"/>
  <c r="BR27" i="8"/>
  <c r="BR29" i="8" s="1"/>
  <c r="BO19" i="3"/>
  <c r="BN2" i="7" s="1"/>
  <c r="BN11" i="7" s="1"/>
  <c r="BN2" i="9" s="1"/>
  <c r="BO27" i="8"/>
  <c r="BO29" i="8" s="1"/>
  <c r="AP19" i="3"/>
  <c r="AO2" i="7" s="1"/>
  <c r="AO11" i="7" s="1"/>
  <c r="AO2" i="9" s="1"/>
  <c r="AP27" i="8"/>
  <c r="AP29" i="8" s="1"/>
  <c r="BE19" i="3"/>
  <c r="BD2" i="7" s="1"/>
  <c r="BD11" i="7" s="1"/>
  <c r="BD2" i="9" s="1"/>
  <c r="BE27" i="8"/>
  <c r="BE29" i="8" s="1"/>
  <c r="BL19" i="3"/>
  <c r="BK2" i="7" s="1"/>
  <c r="BK11" i="7" s="1"/>
  <c r="BK2" i="9" s="1"/>
  <c r="BL27" i="8"/>
  <c r="BL29" i="8" s="1"/>
  <c r="BI19" i="3"/>
  <c r="BH2" i="7" s="1"/>
  <c r="BH11" i="7" s="1"/>
  <c r="BH2" i="9" s="1"/>
  <c r="BI27" i="8"/>
  <c r="BI29" i="8" s="1"/>
  <c r="BF19" i="3"/>
  <c r="BE2" i="7" s="1"/>
  <c r="BE11" i="7" s="1"/>
  <c r="BE2" i="9" s="1"/>
  <c r="BF27" i="8"/>
  <c r="BF29" i="8" s="1"/>
  <c r="CD19" i="3"/>
  <c r="CC2" i="7" s="1"/>
  <c r="CD27" i="8"/>
  <c r="CD29" i="8" s="1"/>
  <c r="BB19" i="3"/>
  <c r="BA2" i="7" s="1"/>
  <c r="BA11" i="7" s="1"/>
  <c r="BA2" i="9" s="1"/>
  <c r="BB27" i="8"/>
  <c r="BB29" i="8" s="1"/>
  <c r="AQ19" i="3"/>
  <c r="AP2" i="7" s="1"/>
  <c r="AP11" i="7" s="1"/>
  <c r="AP2" i="9" s="1"/>
  <c r="AQ27" i="8"/>
  <c r="AQ29" i="8" s="1"/>
  <c r="BC19" i="3"/>
  <c r="BB2" i="7" s="1"/>
  <c r="BB11" i="7" s="1"/>
  <c r="BB2" i="9" s="1"/>
  <c r="BC27" i="8"/>
  <c r="BC29" i="8" s="1"/>
  <c r="AK19" i="3"/>
  <c r="AJ2" i="7" s="1"/>
  <c r="AJ11" i="7" s="1"/>
  <c r="AJ2" i="9" s="1"/>
  <c r="AK27" i="8"/>
  <c r="AK29" i="8" s="1"/>
  <c r="AH19" i="3"/>
  <c r="AG2" i="7" s="1"/>
  <c r="AG11" i="7" s="1"/>
  <c r="AG2" i="9" s="1"/>
  <c r="AH27" i="8"/>
  <c r="AH29" i="8" s="1"/>
  <c r="AJ19" i="3"/>
  <c r="AI2" i="7" s="1"/>
  <c r="AI11" i="7" s="1"/>
  <c r="AI2" i="9" s="1"/>
  <c r="AJ27" i="8"/>
  <c r="AJ29" i="8" s="1"/>
  <c r="EN19" i="3"/>
  <c r="EM2" i="7" s="1"/>
  <c r="EM11" i="7" s="1"/>
  <c r="EM2" i="9" s="1"/>
  <c r="EN27" i="8"/>
  <c r="EN29" i="8" s="1"/>
  <c r="EM19" i="3"/>
  <c r="EL2" i="7" s="1"/>
  <c r="EL11" i="7" s="1"/>
  <c r="EL2" i="9" s="1"/>
  <c r="EM27" i="8"/>
  <c r="EM29" i="8" s="1"/>
  <c r="BJ19" i="3"/>
  <c r="BI2" i="7" s="1"/>
  <c r="BI11" i="7" s="1"/>
  <c r="BI2" i="9" s="1"/>
  <c r="BJ27" i="8"/>
  <c r="BJ29" i="8" s="1"/>
  <c r="EL19" i="3"/>
  <c r="EK2" i="7" s="1"/>
  <c r="EK11" i="7" s="1"/>
  <c r="EK2" i="9" s="1"/>
  <c r="EL27" i="8"/>
  <c r="EL29" i="8" s="1"/>
  <c r="AG19" i="3"/>
  <c r="AF2" i="7" s="1"/>
  <c r="AF11" i="7" s="1"/>
  <c r="AF2" i="9" s="1"/>
  <c r="AG27" i="8"/>
  <c r="AG29" i="8" s="1"/>
  <c r="EK19" i="3"/>
  <c r="EJ2" i="7" s="1"/>
  <c r="EJ11" i="7" s="1"/>
  <c r="EJ2" i="9" s="1"/>
  <c r="EK27" i="8"/>
  <c r="EK29" i="8" s="1"/>
  <c r="EJ19" i="3"/>
  <c r="EI2" i="7" s="1"/>
  <c r="EI11" i="7" s="1"/>
  <c r="EI2" i="9" s="1"/>
  <c r="EJ27" i="8"/>
  <c r="EJ29" i="8" s="1"/>
  <c r="AU19" i="3"/>
  <c r="AT2" i="7" s="1"/>
  <c r="AT11" i="7" s="1"/>
  <c r="AT2" i="9" s="1"/>
  <c r="AU27" i="8"/>
  <c r="AU29" i="8" s="1"/>
  <c r="EI19" i="3"/>
  <c r="EH2" i="7" s="1"/>
  <c r="EH11" i="7" s="1"/>
  <c r="EH2" i="9" s="1"/>
  <c r="EI27" i="8"/>
  <c r="EI29" i="8" s="1"/>
  <c r="AS19" i="3"/>
  <c r="AR2" i="7" s="1"/>
  <c r="AR11" i="7" s="1"/>
  <c r="AR2" i="9" s="1"/>
  <c r="AS27" i="8"/>
  <c r="AS29" i="8" s="1"/>
  <c r="EH19" i="3"/>
  <c r="EG2" i="7" s="1"/>
  <c r="EG11" i="7" s="1"/>
  <c r="EG2" i="9" s="1"/>
  <c r="EH27" i="8"/>
  <c r="EH29" i="8" s="1"/>
  <c r="EG19" i="3"/>
  <c r="EF2" i="7" s="1"/>
  <c r="EF11" i="7" s="1"/>
  <c r="EF2" i="9" s="1"/>
  <c r="EG27" i="8"/>
  <c r="EG29" i="8" s="1"/>
  <c r="AW19" i="3"/>
  <c r="AW27" i="8"/>
  <c r="AW29" i="8" s="1"/>
  <c r="AO19" i="3"/>
  <c r="AN2" i="7" s="1"/>
  <c r="AN11" i="7" s="1"/>
  <c r="AN2" i="9" s="1"/>
  <c r="AO27" i="8"/>
  <c r="AO29" i="8" s="1"/>
  <c r="EF19" i="3"/>
  <c r="EE2" i="7" s="1"/>
  <c r="EE11" i="7" s="1"/>
  <c r="EE2" i="9" s="1"/>
  <c r="EF27" i="8"/>
  <c r="EF29" i="8" s="1"/>
  <c r="EE19" i="3"/>
  <c r="ED2" i="7" s="1"/>
  <c r="ED11" i="7" s="1"/>
  <c r="ED2" i="9" s="1"/>
  <c r="EE27" i="8"/>
  <c r="EE29" i="8" s="1"/>
  <c r="ED19" i="3"/>
  <c r="EC2" i="7" s="1"/>
  <c r="EC11" i="7" s="1"/>
  <c r="EC2" i="9" s="1"/>
  <c r="ED27" i="8"/>
  <c r="ED29" i="8" s="1"/>
  <c r="EC19" i="3"/>
  <c r="EB2" i="7" s="1"/>
  <c r="EB11" i="7" s="1"/>
  <c r="EB2" i="9" s="1"/>
  <c r="EC27" i="8"/>
  <c r="EC29" i="8" s="1"/>
  <c r="EB19" i="3"/>
  <c r="EA2" i="7" s="1"/>
  <c r="EA11" i="7" s="1"/>
  <c r="EA2" i="9" s="1"/>
  <c r="EB27" i="8"/>
  <c r="EB29" i="8" s="1"/>
  <c r="BX19" i="3"/>
  <c r="BW2" i="7" s="1"/>
  <c r="BW11" i="7" s="1"/>
  <c r="BW2" i="9" s="1"/>
  <c r="BX27" i="8"/>
  <c r="BX29" i="8" s="1"/>
  <c r="BU19" i="3"/>
  <c r="BT2" i="7" s="1"/>
  <c r="BT11" i="7" s="1"/>
  <c r="BT2" i="9" s="1"/>
  <c r="BU27" i="8"/>
  <c r="BU29" i="8" s="1"/>
  <c r="BT19" i="3"/>
  <c r="BS2" i="7" s="1"/>
  <c r="BS11" i="7" s="1"/>
  <c r="BS2" i="9" s="1"/>
  <c r="BT27" i="8"/>
  <c r="BT29" i="8" s="1"/>
  <c r="CA19" i="3"/>
  <c r="BZ2" i="7" s="1"/>
  <c r="CA27" i="8"/>
  <c r="CA29" i="8" s="1"/>
  <c r="EA19" i="3"/>
  <c r="DZ2" i="7" s="1"/>
  <c r="DZ11" i="7" s="1"/>
  <c r="DZ2" i="9" s="1"/>
  <c r="EA27" i="8"/>
  <c r="EA29" i="8" s="1"/>
  <c r="DZ19" i="3"/>
  <c r="DY2" i="7" s="1"/>
  <c r="DY11" i="7" s="1"/>
  <c r="DY2" i="9" s="1"/>
  <c r="DZ27" i="8"/>
  <c r="DZ29" i="8" s="1"/>
  <c r="DY19" i="3"/>
  <c r="DX2" i="7" s="1"/>
  <c r="DY27" i="8"/>
  <c r="DY29" i="8" s="1"/>
  <c r="DX19" i="3"/>
  <c r="DW2" i="7" s="1"/>
  <c r="DX27" i="8"/>
  <c r="DX29" i="8" s="1"/>
  <c r="CH19" i="3"/>
  <c r="CG2" i="7" s="1"/>
  <c r="CH27" i="8"/>
  <c r="CH29" i="8" s="1"/>
  <c r="DW19" i="3"/>
  <c r="DV2" i="7" s="1"/>
  <c r="DV11" i="7" s="1"/>
  <c r="DV2" i="9" s="1"/>
  <c r="DW27" i="8"/>
  <c r="DW29" i="8" s="1"/>
  <c r="DO19" i="3"/>
  <c r="DN2" i="7" s="1"/>
  <c r="DN11" i="7" s="1"/>
  <c r="DN2" i="9" s="1"/>
  <c r="DO27" i="8"/>
  <c r="DO29" i="8" s="1"/>
  <c r="DV19" i="3"/>
  <c r="DU2" i="7" s="1"/>
  <c r="DU11" i="7" s="1"/>
  <c r="DU2" i="9" s="1"/>
  <c r="DV27" i="8"/>
  <c r="DV29" i="8" s="1"/>
  <c r="DU19" i="3"/>
  <c r="DT2" i="7" s="1"/>
  <c r="DU27" i="8"/>
  <c r="DU29" i="8" s="1"/>
  <c r="CX19" i="3"/>
  <c r="CW2" i="7" s="1"/>
  <c r="CW11" i="7" s="1"/>
  <c r="CW2" i="9" s="1"/>
  <c r="CX27" i="8"/>
  <c r="CX29" i="8" s="1"/>
  <c r="DC19" i="3"/>
  <c r="DB2" i="7" s="1"/>
  <c r="DB11" i="7" s="1"/>
  <c r="DB2" i="9" s="1"/>
  <c r="DC27" i="8"/>
  <c r="DC29" i="8" s="1"/>
  <c r="DI19" i="3"/>
  <c r="DH2" i="7" s="1"/>
  <c r="DH11" i="7" s="1"/>
  <c r="DH2" i="9" s="1"/>
  <c r="DI27" i="8"/>
  <c r="DI29" i="8" s="1"/>
  <c r="DH19" i="3"/>
  <c r="DG2" i="7" s="1"/>
  <c r="DG11" i="7" s="1"/>
  <c r="DG2" i="9" s="1"/>
  <c r="DH27" i="8"/>
  <c r="DH29" i="8" s="1"/>
  <c r="DT19" i="3"/>
  <c r="DS2" i="7" s="1"/>
  <c r="DS11" i="7" s="1"/>
  <c r="DS2" i="9" s="1"/>
  <c r="DT27" i="8"/>
  <c r="DT29" i="8" s="1"/>
  <c r="DM19" i="3"/>
  <c r="DL2" i="7" s="1"/>
  <c r="DL11" i="7" s="1"/>
  <c r="DL2" i="9" s="1"/>
  <c r="DM27" i="8"/>
  <c r="DM29" i="8" s="1"/>
  <c r="DF19" i="3"/>
  <c r="DE2" i="7" s="1"/>
  <c r="DE11" i="7" s="1"/>
  <c r="DE2" i="9" s="1"/>
  <c r="DF27" i="8"/>
  <c r="DF29" i="8" s="1"/>
  <c r="DS19" i="3"/>
  <c r="DR2" i="7" s="1"/>
  <c r="DR11" i="7" s="1"/>
  <c r="DR2" i="9" s="1"/>
  <c r="DS27" i="8"/>
  <c r="DS29" i="8" s="1"/>
  <c r="DR19" i="3"/>
  <c r="DQ2" i="7" s="1"/>
  <c r="DQ11" i="7" s="1"/>
  <c r="DQ2" i="9" s="1"/>
  <c r="DR27" i="8"/>
  <c r="DR29" i="8" s="1"/>
  <c r="DQ19" i="3"/>
  <c r="DP2" i="7" s="1"/>
  <c r="DP11" i="7" s="1"/>
  <c r="DP2" i="9" s="1"/>
  <c r="DQ27" i="8"/>
  <c r="DQ29" i="8" s="1"/>
  <c r="DP19" i="3"/>
  <c r="DO2" i="7" s="1"/>
  <c r="DO11" i="7" s="1"/>
  <c r="DO2" i="9" s="1"/>
  <c r="DP27" i="8"/>
  <c r="DP29" i="8" s="1"/>
  <c r="CI19" i="3"/>
  <c r="CH2" i="7" s="1"/>
  <c r="CI27" i="8"/>
  <c r="CI29" i="8" s="1"/>
  <c r="CK19" i="3"/>
  <c r="CJ2" i="7" s="1"/>
  <c r="CJ11" i="7" s="1"/>
  <c r="CJ2" i="9" s="1"/>
  <c r="CK27" i="8"/>
  <c r="CK29" i="8" s="1"/>
  <c r="DL19" i="3"/>
  <c r="DK2" i="7" s="1"/>
  <c r="DK11" i="7" s="1"/>
  <c r="DK2" i="9" s="1"/>
  <c r="DL27" i="8"/>
  <c r="DL29" i="8" s="1"/>
  <c r="DK19" i="3"/>
  <c r="DJ2" i="7" s="1"/>
  <c r="DJ11" i="7" s="1"/>
  <c r="DJ2" i="9" s="1"/>
  <c r="DK27" i="8"/>
  <c r="DK29" i="8" s="1"/>
  <c r="DJ19" i="3"/>
  <c r="DI2" i="7" s="1"/>
  <c r="DI11" i="7" s="1"/>
  <c r="DI2" i="9" s="1"/>
  <c r="DJ27" i="8"/>
  <c r="DJ29" i="8" s="1"/>
  <c r="DB19" i="3"/>
  <c r="DA2" i="7" s="1"/>
  <c r="DA11" i="7" s="1"/>
  <c r="DA2" i="9" s="1"/>
  <c r="DB27" i="8"/>
  <c r="DB29" i="8" s="1"/>
  <c r="DG19" i="3"/>
  <c r="DF2" i="7" s="1"/>
  <c r="DF11" i="7" s="1"/>
  <c r="DF2" i="9" s="1"/>
  <c r="DG27" i="8"/>
  <c r="DG29" i="8" s="1"/>
  <c r="DE19" i="3"/>
  <c r="DD2" i="7" s="1"/>
  <c r="DD11" i="7" s="1"/>
  <c r="DD2" i="9" s="1"/>
  <c r="DE27" i="8"/>
  <c r="DE29" i="8" s="1"/>
  <c r="DD19" i="3"/>
  <c r="DC2" i="7" s="1"/>
  <c r="DC11" i="7" s="1"/>
  <c r="DC2" i="9" s="1"/>
  <c r="DD27" i="8"/>
  <c r="DD29" i="8" s="1"/>
  <c r="DA19" i="3"/>
  <c r="CZ2" i="7" s="1"/>
  <c r="CZ11" i="7" s="1"/>
  <c r="CZ2" i="9" s="1"/>
  <c r="DA27" i="8"/>
  <c r="DA29" i="8" s="1"/>
  <c r="CZ19" i="3"/>
  <c r="CY2" i="7" s="1"/>
  <c r="CY11" i="7" s="1"/>
  <c r="CY2" i="9" s="1"/>
  <c r="CZ27" i="8"/>
  <c r="CZ29" i="8" s="1"/>
  <c r="CY19" i="3"/>
  <c r="CX2" i="7" s="1"/>
  <c r="CX11" i="7" s="1"/>
  <c r="CX2" i="9" s="1"/>
  <c r="CY27" i="8"/>
  <c r="CY29" i="8" s="1"/>
  <c r="CW19" i="3"/>
  <c r="CV2" i="7" s="1"/>
  <c r="CV11" i="7" s="1"/>
  <c r="CV2" i="9" s="1"/>
  <c r="CW27" i="8"/>
  <c r="CW29" i="8" s="1"/>
  <c r="CV19" i="3"/>
  <c r="CU2" i="7" s="1"/>
  <c r="CU11" i="7" s="1"/>
  <c r="CU2" i="9" s="1"/>
  <c r="CV27" i="8"/>
  <c r="CV29" i="8" s="1"/>
  <c r="CU19" i="3"/>
  <c r="CT2" i="7" s="1"/>
  <c r="CT11" i="7" s="1"/>
  <c r="CT2" i="9" s="1"/>
  <c r="CU27" i="8"/>
  <c r="CU29" i="8" s="1"/>
  <c r="CT19" i="3"/>
  <c r="CS2" i="7" s="1"/>
  <c r="CS11" i="7" s="1"/>
  <c r="CS2" i="9" s="1"/>
  <c r="CT27" i="8"/>
  <c r="CT29" i="8" s="1"/>
  <c r="CS19" i="3"/>
  <c r="CR2" i="7" s="1"/>
  <c r="CR11" i="7" s="1"/>
  <c r="CR2" i="9" s="1"/>
  <c r="CS27" i="8"/>
  <c r="CS29" i="8" s="1"/>
  <c r="CR19" i="3"/>
  <c r="CQ2" i="7" s="1"/>
  <c r="CQ11" i="7" s="1"/>
  <c r="CQ2" i="9" s="1"/>
  <c r="CR27" i="8"/>
  <c r="CR29" i="8" s="1"/>
  <c r="CQ19" i="3"/>
  <c r="CP2" i="7" s="1"/>
  <c r="CP11" i="7" s="1"/>
  <c r="CP2" i="9" s="1"/>
  <c r="CQ27" i="8"/>
  <c r="CQ29" i="8" s="1"/>
  <c r="CP19" i="3"/>
  <c r="CO2" i="7" s="1"/>
  <c r="CO11" i="7" s="1"/>
  <c r="CO2" i="9" s="1"/>
  <c r="CP27" i="8"/>
  <c r="CP29" i="8" s="1"/>
  <c r="CO19" i="3"/>
  <c r="CN2" i="7" s="1"/>
  <c r="CN11" i="7" s="1"/>
  <c r="CN2" i="9" s="1"/>
  <c r="CO27" i="8"/>
  <c r="CO29" i="8" s="1"/>
  <c r="CJ19" i="3"/>
  <c r="CI2" i="7" s="1"/>
  <c r="CI11" i="7" s="1"/>
  <c r="CI2" i="9" s="1"/>
  <c r="CJ27" i="8"/>
  <c r="CJ29" i="8" s="1"/>
  <c r="CN19" i="3"/>
  <c r="CM2" i="7" s="1"/>
  <c r="CM11" i="7" s="1"/>
  <c r="CM2" i="9" s="1"/>
  <c r="CN27" i="8"/>
  <c r="CN29" i="8" s="1"/>
  <c r="CM19" i="3"/>
  <c r="CL2" i="7" s="1"/>
  <c r="CM27" i="8"/>
  <c r="CM29" i="8" s="1"/>
  <c r="CL19" i="3"/>
  <c r="CK2" i="7" s="1"/>
  <c r="CK11" i="7" s="1"/>
  <c r="CK2" i="9" s="1"/>
  <c r="CL27" i="8"/>
  <c r="CL29" i="8" s="1"/>
  <c r="CE19" i="3"/>
  <c r="CD2" i="7" s="1"/>
  <c r="CE27" i="8"/>
  <c r="CE29" i="8" s="1"/>
  <c r="BQ19" i="3"/>
  <c r="BP2" i="7" s="1"/>
  <c r="BP11" i="7" s="1"/>
  <c r="BP2" i="9" s="1"/>
  <c r="BQ27" i="8"/>
  <c r="BQ29" i="8" s="1"/>
  <c r="BH19" i="3"/>
  <c r="BG2" i="7" s="1"/>
  <c r="BG11" i="7" s="1"/>
  <c r="BG2" i="9" s="1"/>
  <c r="BH27" i="8"/>
  <c r="BH29" i="8" s="1"/>
  <c r="BG19" i="3"/>
  <c r="BF2" i="7" s="1"/>
  <c r="BF11" i="7" s="1"/>
  <c r="BF2" i="9" s="1"/>
  <c r="BG27" i="8"/>
  <c r="BG29" i="8" s="1"/>
  <c r="AZ19" i="3"/>
  <c r="AY2" i="7" s="1"/>
  <c r="AY11" i="7" s="1"/>
  <c r="AY2" i="9" s="1"/>
  <c r="AZ27" i="8"/>
  <c r="AZ29" i="8" s="1"/>
  <c r="AY19" i="3"/>
  <c r="AX2" i="7" s="1"/>
  <c r="AX11" i="7" s="1"/>
  <c r="AX2" i="9" s="1"/>
  <c r="AY27" i="8"/>
  <c r="AY29" i="8" s="1"/>
  <c r="AX19" i="3"/>
  <c r="AW2" i="7" s="1"/>
  <c r="AW11" i="7" s="1"/>
  <c r="AW2" i="9" s="1"/>
  <c r="AX27" i="8"/>
  <c r="AX29" i="8" s="1"/>
  <c r="AT19" i="3"/>
  <c r="AS2" i="7" s="1"/>
  <c r="AS11" i="7" s="1"/>
  <c r="AS2" i="9" s="1"/>
  <c r="AT27" i="8"/>
  <c r="AT29" i="8" s="1"/>
  <c r="AL19" i="3"/>
  <c r="AK2" i="7" s="1"/>
  <c r="AK11" i="7" s="1"/>
  <c r="AK2" i="9" s="1"/>
  <c r="AL27" i="8"/>
  <c r="AL29" i="8" s="1"/>
  <c r="AE19" i="3"/>
  <c r="AD2" i="7" s="1"/>
  <c r="AD11" i="7" s="1"/>
  <c r="AD2" i="9" s="1"/>
  <c r="AE27" i="8"/>
  <c r="AE29" i="8" s="1"/>
  <c r="AD19" i="3"/>
  <c r="AC2" i="7" s="1"/>
  <c r="AC11" i="7" s="1"/>
  <c r="AC2" i="9" s="1"/>
  <c r="AD27" i="8"/>
  <c r="AD29" i="8" s="1"/>
  <c r="AC19" i="3"/>
  <c r="AB2" i="7" s="1"/>
  <c r="AB11" i="7" s="1"/>
  <c r="AB2" i="9" s="1"/>
  <c r="AC27" i="8"/>
  <c r="AC29" i="8" s="1"/>
  <c r="AB19" i="3"/>
  <c r="AA2" i="7" s="1"/>
  <c r="AA11" i="7" s="1"/>
  <c r="AA2" i="9" s="1"/>
  <c r="AB27" i="8"/>
  <c r="AB29" i="8" s="1"/>
  <c r="AA19" i="3"/>
  <c r="Z2" i="7" s="1"/>
  <c r="Z11" i="7" s="1"/>
  <c r="Z2" i="9" s="1"/>
  <c r="AA27" i="8"/>
  <c r="AA29" i="8" s="1"/>
  <c r="Z19" i="3"/>
  <c r="Y2" i="7" s="1"/>
  <c r="Y11" i="7" s="1"/>
  <c r="Y2" i="9" s="1"/>
  <c r="Z27" i="8"/>
  <c r="Z29" i="8" s="1"/>
  <c r="Y19" i="3"/>
  <c r="X2" i="7" s="1"/>
  <c r="X11" i="7" s="1"/>
  <c r="X2" i="9" s="1"/>
  <c r="Y27" i="8"/>
  <c r="Y29" i="8" s="1"/>
  <c r="X19" i="3"/>
  <c r="W2" i="7" s="1"/>
  <c r="W11" i="7" s="1"/>
  <c r="W2" i="9" s="1"/>
  <c r="X27" i="8"/>
  <c r="X29" i="8" s="1"/>
  <c r="W19" i="3"/>
  <c r="V2" i="7" s="1"/>
  <c r="V11" i="7" s="1"/>
  <c r="V2" i="9" s="1"/>
  <c r="W27" i="8"/>
  <c r="W29" i="8" s="1"/>
  <c r="V19" i="3"/>
  <c r="U2" i="7" s="1"/>
  <c r="U11" i="7" s="1"/>
  <c r="U2" i="9" s="1"/>
  <c r="V27" i="8"/>
  <c r="V29" i="8" s="1"/>
  <c r="U19" i="3"/>
  <c r="T2" i="7" s="1"/>
  <c r="T11" i="7" s="1"/>
  <c r="T2" i="9" s="1"/>
  <c r="U27" i="8"/>
  <c r="U29" i="8" s="1"/>
  <c r="EO19" i="3"/>
  <c r="EN2" i="7" s="1"/>
  <c r="EN11" i="7" s="1"/>
  <c r="EN2" i="9" s="1"/>
  <c r="EO27" i="8"/>
  <c r="EO29" i="8" s="1"/>
  <c r="EP19" i="3"/>
  <c r="EO2" i="7" s="1"/>
  <c r="EO11" i="7" s="1"/>
  <c r="EO2" i="9" s="1"/>
  <c r="EP27" i="8"/>
  <c r="EP29" i="8" s="1"/>
  <c r="EQ19" i="3"/>
  <c r="EP2" i="7" s="1"/>
  <c r="EP11" i="7" s="1"/>
  <c r="EP2" i="9" s="1"/>
  <c r="EQ27" i="8"/>
  <c r="EQ29" i="8" s="1"/>
  <c r="AV2" i="7" l="1"/>
  <c r="AV11" i="7" s="1"/>
  <c r="AV2" i="9" s="1"/>
  <c r="H9" i="3"/>
  <c r="N9" i="3"/>
  <c r="O9" i="3"/>
  <c r="P9" i="3"/>
  <c r="Q9" i="3"/>
  <c r="R9" i="3"/>
  <c r="S9" i="3"/>
  <c r="T9" i="3"/>
  <c r="M9" i="3"/>
  <c r="L9" i="3"/>
  <c r="J9" i="3"/>
  <c r="I9" i="3"/>
  <c r="K9" i="3"/>
  <c r="E13" i="3"/>
  <c r="F13" i="3"/>
  <c r="G13" i="3"/>
  <c r="G9" i="3" l="1"/>
  <c r="G11" i="3"/>
  <c r="F9" i="3"/>
  <c r="F11" i="3"/>
  <c r="E9" i="3"/>
  <c r="E11" i="3"/>
  <c r="K11" i="3"/>
  <c r="K13" i="3"/>
  <c r="I11" i="3"/>
  <c r="I13" i="3"/>
  <c r="J11" i="3"/>
  <c r="J13" i="3"/>
  <c r="L11" i="3"/>
  <c r="L13" i="3"/>
  <c r="M11" i="3"/>
  <c r="M13" i="3"/>
  <c r="T11" i="3"/>
  <c r="T13" i="3"/>
  <c r="S11" i="3"/>
  <c r="S13" i="3"/>
  <c r="R11" i="3"/>
  <c r="R13" i="3"/>
  <c r="Q11" i="3"/>
  <c r="Q13" i="3"/>
  <c r="P11" i="3"/>
  <c r="P13" i="3"/>
  <c r="O11" i="3"/>
  <c r="O13" i="3"/>
  <c r="N11" i="3"/>
  <c r="N13" i="3"/>
  <c r="H11" i="3"/>
  <c r="H13" i="3"/>
  <c r="H19" i="3" l="1"/>
  <c r="G2" i="7" s="1"/>
  <c r="H27" i="8"/>
  <c r="H29" i="8" s="1"/>
  <c r="H30" i="8" s="1"/>
  <c r="G7" i="7" s="1"/>
  <c r="N19" i="3"/>
  <c r="M2" i="7" s="1"/>
  <c r="M11" i="7" s="1"/>
  <c r="M2" i="9" s="1"/>
  <c r="N27" i="8"/>
  <c r="N29" i="8" s="1"/>
  <c r="O19" i="3"/>
  <c r="N2" i="7" s="1"/>
  <c r="N11" i="7" s="1"/>
  <c r="N2" i="9" s="1"/>
  <c r="O27" i="8"/>
  <c r="O29" i="8" s="1"/>
  <c r="P19" i="3"/>
  <c r="O2" i="7" s="1"/>
  <c r="O11" i="7" s="1"/>
  <c r="O2" i="9" s="1"/>
  <c r="P27" i="8"/>
  <c r="P29" i="8" s="1"/>
  <c r="Q19" i="3"/>
  <c r="P2" i="7" s="1"/>
  <c r="P11" i="7" s="1"/>
  <c r="P2" i="9" s="1"/>
  <c r="Q27" i="8"/>
  <c r="Q29" i="8" s="1"/>
  <c r="R19" i="3"/>
  <c r="Q2" i="7" s="1"/>
  <c r="Q11" i="7" s="1"/>
  <c r="Q2" i="9" s="1"/>
  <c r="R27" i="8"/>
  <c r="R29" i="8" s="1"/>
  <c r="S19" i="3"/>
  <c r="R2" i="7" s="1"/>
  <c r="R11" i="7" s="1"/>
  <c r="R2" i="9" s="1"/>
  <c r="S27" i="8"/>
  <c r="S29" i="8" s="1"/>
  <c r="T19" i="3"/>
  <c r="S2" i="7" s="1"/>
  <c r="S11" i="7" s="1"/>
  <c r="S2" i="9" s="1"/>
  <c r="T27" i="8"/>
  <c r="T29" i="8" s="1"/>
  <c r="M19" i="3"/>
  <c r="L2" i="7" s="1"/>
  <c r="L11" i="7" s="1"/>
  <c r="L2" i="9" s="1"/>
  <c r="M27" i="8"/>
  <c r="M29" i="8" s="1"/>
  <c r="L19" i="3"/>
  <c r="K2" i="7" s="1"/>
  <c r="K11" i="7" s="1"/>
  <c r="K2" i="9" s="1"/>
  <c r="L27" i="8"/>
  <c r="L29" i="8" s="1"/>
  <c r="J19" i="3"/>
  <c r="I2" i="7" s="1"/>
  <c r="J27" i="8"/>
  <c r="J29" i="8" s="1"/>
  <c r="I19" i="3"/>
  <c r="H2" i="7" s="1"/>
  <c r="I27" i="8"/>
  <c r="I29" i="8" s="1"/>
  <c r="K19" i="3"/>
  <c r="J2" i="7" s="1"/>
  <c r="J11" i="7" s="1"/>
  <c r="J2" i="9" s="1"/>
  <c r="K27" i="8"/>
  <c r="K29" i="8" s="1"/>
  <c r="E19" i="3"/>
  <c r="E27" i="8"/>
  <c r="E29" i="8" s="1"/>
  <c r="E30" i="8" s="1"/>
  <c r="D7" i="7" s="1"/>
  <c r="F19" i="3"/>
  <c r="E2" i="7" s="1"/>
  <c r="F27" i="8"/>
  <c r="F29" i="8" s="1"/>
  <c r="F30" i="8" s="1"/>
  <c r="E7" i="7" s="1"/>
  <c r="G19" i="3"/>
  <c r="F2" i="7" s="1"/>
  <c r="G27" i="8"/>
  <c r="G29" i="8" s="1"/>
  <c r="G30" i="8" s="1"/>
  <c r="F7" i="7" s="1"/>
  <c r="G11" i="7" l="1"/>
  <c r="G2" i="9" s="1"/>
  <c r="D2" i="7"/>
  <c r="D9" i="3" l="1"/>
  <c r="D11" i="3"/>
  <c r="D13" i="3"/>
  <c r="D7" i="3"/>
  <c r="D26" i="8" s="1"/>
  <c r="D19" i="3" l="1"/>
  <c r="C19" i="3" s="1"/>
  <c r="C2" i="7" l="1"/>
  <c r="B15" i="7"/>
  <c r="D27" i="8"/>
  <c r="D29" i="8" s="1"/>
  <c r="D30" i="8" l="1"/>
  <c r="B2" i="7"/>
  <c r="B2" i="19" a="1"/>
  <c r="B2" i="19" s="1"/>
  <c r="C1" i="19" s="1"/>
  <c r="C7" i="7" l="1"/>
  <c r="B7" i="7" s="1"/>
  <c r="B30" i="8"/>
  <c r="B20" i="7" a="1"/>
  <c r="B20" i="7" s="1"/>
  <c r="C22" i="16"/>
  <c r="D22" i="16" l="1"/>
  <c r="C23" i="16"/>
  <c r="C26" i="16" s="1"/>
  <c r="D23" i="16" l="1"/>
  <c r="D26" i="16" s="1"/>
  <c r="E22" i="16"/>
  <c r="F22" i="16" s="1"/>
  <c r="G22" i="16" s="1"/>
  <c r="H22" i="16" s="1"/>
  <c r="I22" i="16" s="1"/>
  <c r="J22" i="16" s="1"/>
  <c r="K22" i="16" s="1"/>
  <c r="E23" i="16"/>
  <c r="E26" i="16" s="1"/>
  <c r="D55" i="16"/>
  <c r="D2" i="16" s="1"/>
  <c r="I8" i="7" s="1"/>
  <c r="I11" i="7" s="1"/>
  <c r="I2" i="9" s="1"/>
  <c r="M22" i="16" l="1"/>
  <c r="L22" i="16"/>
  <c r="L23" i="16" s="1"/>
  <c r="L26" i="16" s="1"/>
  <c r="L55" i="16" s="1"/>
  <c r="L2" i="16" s="1"/>
  <c r="H8" i="7"/>
  <c r="H11" i="7" s="1"/>
  <c r="H2" i="9" s="1"/>
  <c r="F23" i="16"/>
  <c r="F26" i="16" s="1"/>
  <c r="BJ8" i="7" l="1"/>
  <c r="BJ11" i="7" s="1"/>
  <c r="BJ2" i="9" s="1"/>
  <c r="GR8" i="7"/>
  <c r="GR11" i="7" s="1"/>
  <c r="G23" i="16"/>
  <c r="G26" i="16" s="1"/>
  <c r="F55" i="16" l="1"/>
  <c r="E55" i="16"/>
  <c r="E2" i="16" s="1"/>
  <c r="FT8" i="7" s="1"/>
  <c r="FT11" i="7" s="1"/>
  <c r="FT2" i="9" s="1"/>
  <c r="H23" i="16"/>
  <c r="H26" i="16" s="1"/>
  <c r="FN8" i="7" l="1"/>
  <c r="FN11" i="7" s="1"/>
  <c r="FN2" i="9" s="1"/>
  <c r="FO8" i="7"/>
  <c r="FO11" i="7" s="1"/>
  <c r="FO2" i="9" s="1"/>
  <c r="F2" i="16"/>
  <c r="CL8" i="7" s="1"/>
  <c r="G55" i="16"/>
  <c r="G2" i="16" s="1"/>
  <c r="I23" i="16"/>
  <c r="I26" i="16" s="1"/>
  <c r="CL11" i="7" l="1"/>
  <c r="CL2" i="9" s="1"/>
  <c r="GP8" i="7"/>
  <c r="GP11" i="7" s="1"/>
  <c r="GP2" i="9" s="1"/>
  <c r="CG8" i="7"/>
  <c r="CH8" i="7"/>
  <c r="CH11" i="7" s="1"/>
  <c r="CH2" i="9" s="1"/>
  <c r="GJ8" i="7"/>
  <c r="GJ11" i="7" s="1"/>
  <c r="GJ2" i="9" s="1"/>
  <c r="GK8" i="7"/>
  <c r="H55" i="16"/>
  <c r="H2" i="16" s="1"/>
  <c r="FU8" i="7" s="1"/>
  <c r="FU11" i="7" s="1"/>
  <c r="FU2" i="9" s="1"/>
  <c r="J23" i="16"/>
  <c r="J26" i="16" s="1"/>
  <c r="GK11" i="7" l="1"/>
  <c r="GK2" i="9" s="1"/>
  <c r="CG11" i="7"/>
  <c r="CG2" i="9" s="1"/>
  <c r="FP8" i="7"/>
  <c r="FP11" i="7" s="1"/>
  <c r="FP2" i="9" s="1"/>
  <c r="FW8" i="7"/>
  <c r="K23" i="16"/>
  <c r="K26" i="16" s="1"/>
  <c r="I55" i="16"/>
  <c r="I2" i="16" s="1"/>
  <c r="D8" i="7" s="1"/>
  <c r="D11" i="7" l="1"/>
  <c r="D2" i="9" s="1"/>
  <c r="FW11" i="7"/>
  <c r="FW2" i="9" s="1"/>
  <c r="J55" i="16"/>
  <c r="J2" i="16" s="1"/>
  <c r="M23" i="16"/>
  <c r="M26" i="16" s="1"/>
  <c r="DX8" i="7" l="1"/>
  <c r="DX11" i="7" s="1"/>
  <c r="DX2" i="9" s="1"/>
  <c r="DW8" i="7"/>
  <c r="DW11" i="7" s="1"/>
  <c r="DW2" i="9" s="1"/>
  <c r="DT8" i="7"/>
  <c r="DT11" i="7" s="1"/>
  <c r="DT2" i="9" s="1"/>
  <c r="K55" i="16"/>
  <c r="K2" i="16" s="1"/>
  <c r="CC8" i="7" s="1"/>
  <c r="CC11" i="7" s="1"/>
  <c r="CC2" i="9" s="1"/>
  <c r="BZ8" i="7" l="1"/>
  <c r="BZ11" i="7" s="1"/>
  <c r="BZ2" i="9" s="1"/>
  <c r="CD8" i="7"/>
  <c r="B23" i="16"/>
  <c r="CD11" i="7" l="1"/>
  <c r="CD2" i="9" s="1"/>
  <c r="M55" i="16"/>
  <c r="M2" i="16" s="1"/>
  <c r="B26" i="16"/>
  <c r="E8" i="7" l="1"/>
  <c r="F8" i="7"/>
  <c r="F11" i="7" s="1"/>
  <c r="F2" i="9" s="1"/>
  <c r="E11" i="7" l="1"/>
  <c r="E2" i="9" s="1"/>
  <c r="B28" i="16"/>
  <c r="C52" i="16"/>
  <c r="B52" i="16" s="1"/>
  <c r="C54" i="16"/>
  <c r="B54" i="16" s="1"/>
  <c r="C55" i="16"/>
  <c r="B55" i="16" s="1"/>
  <c r="C2" i="16"/>
  <c r="B2" i="16" s="1"/>
  <c r="B21" i="7" s="1"/>
  <c r="B24" i="7" s="1"/>
  <c r="C8" i="7"/>
  <c r="B8" i="7" l="1"/>
  <c r="C11" i="7"/>
  <c r="C2" i="9" s="1"/>
  <c r="B2" i="9" s="1"/>
  <c r="B11" i="7"/>
  <c r="B25" i="7"/>
  <c r="C21" i="7" l="1"/>
  <c r="B13" i="7"/>
  <c r="B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tc={5014F25D-0448-4726-8DB3-CA48631CEDB9}</author>
  </authors>
  <commentList>
    <comment ref="D30" authorId="0" shapeId="0" xr:uid="{5014F25D-0448-4726-8DB3-CA48631CEDB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Exception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<sst xmlns="http://schemas.openxmlformats.org/spreadsheetml/2006/main" count="2172" uniqueCount="509">
  <si>
    <t>Name</t>
  </si>
  <si>
    <t>Total Payout</t>
  </si>
  <si>
    <t>Process</t>
  </si>
  <si>
    <t>Description</t>
  </si>
  <si>
    <t>Aanya</t>
  </si>
  <si>
    <t>Ahila Sundaresan</t>
  </si>
  <si>
    <t>Alekhya Pokuri</t>
  </si>
  <si>
    <t>Ambar Romero</t>
  </si>
  <si>
    <t>Amel Yousfi</t>
  </si>
  <si>
    <t>Amrita Singh</t>
  </si>
  <si>
    <t>Andrea Lorenzano</t>
  </si>
  <si>
    <t>Angayarkanni Kannan</t>
  </si>
  <si>
    <t>Angel Edwards</t>
  </si>
  <si>
    <t>Anitaben Patel</t>
  </si>
  <si>
    <t>Anjali Devunuri</t>
  </si>
  <si>
    <t>Anjana Vijayan</t>
  </si>
  <si>
    <t>Ankana Biswas Dutta</t>
  </si>
  <si>
    <t>Anshu Dubey</t>
  </si>
  <si>
    <t>Anusha Cheerla</t>
  </si>
  <si>
    <t>Anusha Kulageri</t>
  </si>
  <si>
    <t>Anusha Prasannakumar</t>
  </si>
  <si>
    <t>Arcelia Finkelberg</t>
  </si>
  <si>
    <t>Atchaya Rangasamy Venugopal</t>
  </si>
  <si>
    <t>Azumi Van Scyoc</t>
  </si>
  <si>
    <t>Babitha Koraganti</t>
  </si>
  <si>
    <t>Balasubramani Kandasamy</t>
  </si>
  <si>
    <t>Cecilia Hendricks</t>
  </si>
  <si>
    <t>Chandana Bathina</t>
  </si>
  <si>
    <t>Chandini Yellamilli</t>
  </si>
  <si>
    <t>Chinmaya Jyothi Pulikallu</t>
  </si>
  <si>
    <t>Damion Newell</t>
  </si>
  <si>
    <t>Deepika Chintaluri</t>
  </si>
  <si>
    <t>Devi Prakash</t>
  </si>
  <si>
    <t>Devicharitha Malapati</t>
  </si>
  <si>
    <t>Dhanalakshmi Nelluri</t>
  </si>
  <si>
    <t>Dhivya Shankar</t>
  </si>
  <si>
    <t>Dhivyalakshmi Vigneshwaran</t>
  </si>
  <si>
    <t>Diksha Vijaykumar More</t>
  </si>
  <si>
    <t>Divya Babu</t>
  </si>
  <si>
    <t>Divya Manjeshwar kamath</t>
  </si>
  <si>
    <t>Divya Shree</t>
  </si>
  <si>
    <t>Erianna Lockhart</t>
  </si>
  <si>
    <t>Faith Ujjwala Singh</t>
  </si>
  <si>
    <t>Fallyan Redd</t>
  </si>
  <si>
    <t>Farheen Hasham</t>
  </si>
  <si>
    <t>Farzana Shaik</t>
  </si>
  <si>
    <t>Fnu Supriya</t>
  </si>
  <si>
    <t>Foua Yang</t>
  </si>
  <si>
    <t>Franklin C Onyedili</t>
  </si>
  <si>
    <t>Gayatri Paramsivam</t>
  </si>
  <si>
    <t>Geetalakshmi Govinthara Annadhurai</t>
  </si>
  <si>
    <t>Gia Erica Coleman</t>
  </si>
  <si>
    <t>Hadjer Ikram Yousfi</t>
  </si>
  <si>
    <t>Haley VanNamee</t>
  </si>
  <si>
    <t>Harathi Nuvuru</t>
  </si>
  <si>
    <t>Hetal Shah</t>
  </si>
  <si>
    <t>I-Asia Newkirk</t>
  </si>
  <si>
    <t>Infanta Clara Victor Anthony</t>
  </si>
  <si>
    <t>Jaya Singh</t>
  </si>
  <si>
    <t>Jayashree Swain</t>
  </si>
  <si>
    <t>Jhou Yang</t>
  </si>
  <si>
    <t>Jyothi Venkatasubramanya</t>
  </si>
  <si>
    <t>Kabila Sivasankar</t>
  </si>
  <si>
    <t>Kavya Krishnappa</t>
  </si>
  <si>
    <t>Kawanna Brown</t>
  </si>
  <si>
    <t>Komala Renuka Prasad</t>
  </si>
  <si>
    <t>Krishnaveni</t>
  </si>
  <si>
    <t>Krithika Balasubramaniam</t>
  </si>
  <si>
    <t>Lakshmi Neelima Duddula</t>
  </si>
  <si>
    <t>LaSere Reid Smith</t>
  </si>
  <si>
    <t>LATHA BUSIREDDY</t>
  </si>
  <si>
    <t>Latrice Adams</t>
  </si>
  <si>
    <t>Lavanya Vigrahala</t>
  </si>
  <si>
    <t>Laxmi Sirisha Penumecha</t>
  </si>
  <si>
    <t>Lipsa Padhy</t>
  </si>
  <si>
    <t>Lokeswari Gummadi</t>
  </si>
  <si>
    <t>Madhana Sundari Vijayarajan</t>
  </si>
  <si>
    <t>Madhavi Balineni</t>
  </si>
  <si>
    <t>Madhura Alva</t>
  </si>
  <si>
    <t>Madhuri Padala</t>
  </si>
  <si>
    <t>Maira Becham</t>
  </si>
  <si>
    <t>Manda Talwekar</t>
  </si>
  <si>
    <t>Manjunath JagadishPai</t>
  </si>
  <si>
    <t>Mariko Huskey</t>
  </si>
  <si>
    <t>Marilyn Brown</t>
  </si>
  <si>
    <t>Marina Ibrahim</t>
  </si>
  <si>
    <t>Mathangi Radhakrishnan</t>
  </si>
  <si>
    <t>Michelle Cox</t>
  </si>
  <si>
    <t>Minakshi Deepak</t>
  </si>
  <si>
    <t>Mojisha Mohandas</t>
  </si>
  <si>
    <t>Monalisa Roy</t>
  </si>
  <si>
    <t>Mool Chand</t>
  </si>
  <si>
    <t>Naagarashikaa Vijayakumar</t>
  </si>
  <si>
    <t>Naganandhini Ganapathimaran</t>
  </si>
  <si>
    <t>Namita Mishra</t>
  </si>
  <si>
    <t>Namrata Sharma</t>
  </si>
  <si>
    <t>Namratha Koratala</t>
  </si>
  <si>
    <t>Narmadhadevi Dharmapalan</t>
  </si>
  <si>
    <t>Neena Mathew Saravanakumar</t>
  </si>
  <si>
    <t>Neha Aaggarwal</t>
  </si>
  <si>
    <t>Nilopher Lopes</t>
  </si>
  <si>
    <t>Nitha Chathoth Kunhikrishnan</t>
  </si>
  <si>
    <t>Padmapriya krishnamoorthy</t>
  </si>
  <si>
    <t>Palak Porwal</t>
  </si>
  <si>
    <t>Pavithra Balaji</t>
  </si>
  <si>
    <t>Pavithra Manas Panda</t>
  </si>
  <si>
    <t>Pavitra Rani Allam</t>
  </si>
  <si>
    <t>Pooja Solanki</t>
  </si>
  <si>
    <t>Poongothai Duraisamy</t>
  </si>
  <si>
    <t>Pragyan Paramita Mohanty</t>
  </si>
  <si>
    <t>Pranusha Dontineni</t>
  </si>
  <si>
    <t>Prasana Kotagiri</t>
  </si>
  <si>
    <t>Prathima Krishnamurthy Yadav</t>
  </si>
  <si>
    <t>Prathima Lakkireddy</t>
  </si>
  <si>
    <t>PRAVALLIKA NUTHALAPATI</t>
  </si>
  <si>
    <t>Priti Suman</t>
  </si>
  <si>
    <t>Priyadarsini Baral</t>
  </si>
  <si>
    <t>Priyanka Chandrikapure</t>
  </si>
  <si>
    <t>Priyanka Dey Sarkar</t>
  </si>
  <si>
    <t>Priyanka Gadar</t>
  </si>
  <si>
    <t>Pushpaja Vullamgunta</t>
  </si>
  <si>
    <t>Rajameenakshi Sankarasubramanian</t>
  </si>
  <si>
    <t>Rajeshwari Thammineni</t>
  </si>
  <si>
    <t>Ramsheena Nadathalakkel</t>
  </si>
  <si>
    <t>Ramya Muralidharan</t>
  </si>
  <si>
    <t>Ramya Sudarshan Palavalli</t>
  </si>
  <si>
    <t>Randi Wood</t>
  </si>
  <si>
    <t>Rashmi Gupta</t>
  </si>
  <si>
    <t>Rashmi Kottachery</t>
  </si>
  <si>
    <t>Rashmi Rangdale</t>
  </si>
  <si>
    <t>Rathika Jude</t>
  </si>
  <si>
    <t>Ratnasree Gudla</t>
  </si>
  <si>
    <t>Reejaramani Subramani</t>
  </si>
  <si>
    <t>Reema Rasheed</t>
  </si>
  <si>
    <t>Reshmi Pulickal Radhakrishnan</t>
  </si>
  <si>
    <t>Rima Loganathan</t>
  </si>
  <si>
    <t>Rishi Goswami</t>
  </si>
  <si>
    <t>Roja Punna</t>
  </si>
  <si>
    <t>Rupali Bangar</t>
  </si>
  <si>
    <t>Rutuja Rajput</t>
  </si>
  <si>
    <t>Sabiha Khan</t>
  </si>
  <si>
    <t>Sai Santhya Ravikumar</t>
  </si>
  <si>
    <t>Sangeetha Jeyabalan</t>
  </si>
  <si>
    <t>Sanjana Mandal</t>
  </si>
  <si>
    <t>Sara Abdelsayed</t>
  </si>
  <si>
    <t>Saranya Sabarish</t>
  </si>
  <si>
    <t>Sasikala Murugesan</t>
  </si>
  <si>
    <t>Sathya Ezhilan</t>
  </si>
  <si>
    <t>Sathya Naveenraj</t>
  </si>
  <si>
    <t>Selvakamatchi Rajamani</t>
  </si>
  <si>
    <t>Shagida Nishwan</t>
  </si>
  <si>
    <t>Sharanya Madhavan</t>
  </si>
  <si>
    <t>Sharmila Lakshmipathy</t>
  </si>
  <si>
    <t>Sharmila Raghavan</t>
  </si>
  <si>
    <t>Siddhardha Yalavarthy</t>
  </si>
  <si>
    <t>Sindhu Selvaraj</t>
  </si>
  <si>
    <t>Sindhu Thanigesan</t>
  </si>
  <si>
    <t>Sireesha Gottimukkala</t>
  </si>
  <si>
    <t>Snehal Choudhari</t>
  </si>
  <si>
    <t>Snighdha Dave</t>
  </si>
  <si>
    <t>Somdutta Paul</t>
  </si>
  <si>
    <t>Sonali Gupta</t>
  </si>
  <si>
    <t>Sonia Mohanty</t>
  </si>
  <si>
    <t>Soumya kalyanaraman</t>
  </si>
  <si>
    <t>Sowjanya Ravella</t>
  </si>
  <si>
    <t>Sree Nalini Uduta</t>
  </si>
  <si>
    <t>Sreedevi Salapu</t>
  </si>
  <si>
    <t>Srikanya R</t>
  </si>
  <si>
    <t>Srilekha Kotte</t>
  </si>
  <si>
    <t>Sripriyadarshini</t>
  </si>
  <si>
    <t>Srividhyalakshmi Murugadass</t>
  </si>
  <si>
    <t>Sruthi Arambachalil</t>
  </si>
  <si>
    <t>Subasri Swaminathan</t>
  </si>
  <si>
    <t>Subhanandhini Kumarasamy</t>
  </si>
  <si>
    <t>Subhina Bhaskar</t>
  </si>
  <si>
    <t>subratha suresh kamat</t>
  </si>
  <si>
    <t>Suchitra Rajesh</t>
  </si>
  <si>
    <t>Sudesh Goel</t>
  </si>
  <si>
    <t>Sunitha nara</t>
  </si>
  <si>
    <t>Swathi Kodali</t>
  </si>
  <si>
    <t>SWATHI LAKSHMI GUNDURU</t>
  </si>
  <si>
    <t>Swati bartake</t>
  </si>
  <si>
    <t>Swati Ghogare</t>
  </si>
  <si>
    <t>Sweety Ranka</t>
  </si>
  <si>
    <t>Tapasi Rath</t>
  </si>
  <si>
    <t>Tarshik Spurling</t>
  </si>
  <si>
    <t>Tej Patel</t>
  </si>
  <si>
    <t>Umamaheswari Shanmugam</t>
  </si>
  <si>
    <t>Usha Devi Singaravelu</t>
  </si>
  <si>
    <t>Vaishnavi Devi Bunja Dhinakaran</t>
  </si>
  <si>
    <t>Valarmathi Magudeswaran</t>
  </si>
  <si>
    <t>Valliammai Ramanathan</t>
  </si>
  <si>
    <t>Vani Hanumantu</t>
  </si>
  <si>
    <t>Varsha Javali</t>
  </si>
  <si>
    <t>Vasuda Rawal</t>
  </si>
  <si>
    <t>Vasudha Kodi</t>
  </si>
  <si>
    <t>Venkata Vemuri</t>
  </si>
  <si>
    <t>Vidya Thirunavukkarasu</t>
  </si>
  <si>
    <t>Vijayalakshmi Bhaskaran</t>
  </si>
  <si>
    <t>Vyom Bhandari</t>
  </si>
  <si>
    <t>Yazhini Ravichandran</t>
  </si>
  <si>
    <t>Kely</t>
  </si>
  <si>
    <t>Total</t>
  </si>
  <si>
    <t>Datavant Arrears</t>
  </si>
  <si>
    <t>MRO Processing</t>
  </si>
  <si>
    <t>Verisma Arrears</t>
  </si>
  <si>
    <t>Date</t>
  </si>
  <si>
    <t>Day</t>
  </si>
  <si>
    <t>Overall</t>
  </si>
  <si>
    <t>Grand Total</t>
  </si>
  <si>
    <t>Go To Index</t>
  </si>
  <si>
    <t>Payroll Logging</t>
  </si>
  <si>
    <t>For Training 
and support/Rewards</t>
  </si>
  <si>
    <t>Admin Work</t>
  </si>
  <si>
    <t>Verisma and MRO Processing</t>
  </si>
  <si>
    <t>Datavant</t>
  </si>
  <si>
    <t>Logging Incentive</t>
  </si>
  <si>
    <t>Release and QC</t>
  </si>
  <si>
    <t>Arrears</t>
  </si>
  <si>
    <t>Datavant QC</t>
  </si>
  <si>
    <t>Final Payout</t>
  </si>
  <si>
    <t>Payroll Total</t>
  </si>
  <si>
    <t>Dif</t>
  </si>
  <si>
    <t>Row Labels</t>
  </si>
  <si>
    <t>Count of Request ID</t>
  </si>
  <si>
    <t>Sirisha</t>
  </si>
  <si>
    <t>Sonia M</t>
  </si>
  <si>
    <t>Pavitra</t>
  </si>
  <si>
    <t>Azumi</t>
  </si>
  <si>
    <t>Process Type</t>
  </si>
  <si>
    <t xml:space="preserve">Correspondence Letter </t>
  </si>
  <si>
    <t>Payout</t>
  </si>
  <si>
    <t xml:space="preserve">Charts Fulfilled </t>
  </si>
  <si>
    <t>Total Cases</t>
  </si>
  <si>
    <t>Actual Name</t>
  </si>
  <si>
    <t>Divya Manjeshwar Kamath</t>
  </si>
  <si>
    <t>Sunitha Nara</t>
  </si>
  <si>
    <t>Swati Bartake</t>
  </si>
  <si>
    <t>FulfillmentCorrespondenceTaskCompleted</t>
  </si>
  <si>
    <t>FullfillmentSubmitTaskCompleted</t>
  </si>
  <si>
    <t>Processing Cases</t>
  </si>
  <si>
    <t>Total Logged Cases</t>
  </si>
  <si>
    <t>Working Days</t>
  </si>
  <si>
    <t>Total Working days</t>
  </si>
  <si>
    <t>Total Hours</t>
  </si>
  <si>
    <t>Avg case logged</t>
  </si>
  <si>
    <t>13 to 15.99</t>
  </si>
  <si>
    <t>$0.55</t>
  </si>
  <si>
    <t>To Achieve 13</t>
  </si>
  <si>
    <t>16 to 20.99</t>
  </si>
  <si>
    <t>$0.60</t>
  </si>
  <si>
    <t>To Achieve 16</t>
  </si>
  <si>
    <t>21 and above</t>
  </si>
  <si>
    <t>$0.65</t>
  </si>
  <si>
    <t>To Achieve 21</t>
  </si>
  <si>
    <t>Working days left</t>
  </si>
  <si>
    <t>0 to 12.99</t>
  </si>
  <si>
    <t>$0.50</t>
  </si>
  <si>
    <t>Total Basic Payout</t>
  </si>
  <si>
    <t>Mool chand</t>
  </si>
  <si>
    <t>Total Release Payout</t>
  </si>
  <si>
    <t>UPMC-HPR-Processing</t>
  </si>
  <si>
    <t>Verisma Payout/Cases</t>
  </si>
  <si>
    <t>Payout (Excluding Bronx)</t>
  </si>
  <si>
    <t>Datavant Cases Released</t>
  </si>
  <si>
    <t>Datavant Payout/Case</t>
  </si>
  <si>
    <t>Datavant Total Payout</t>
  </si>
  <si>
    <t>Bronx care Processing</t>
  </si>
  <si>
    <t>Bronx Care Payout</t>
  </si>
  <si>
    <t>Verisma and Datavant Total Payout</t>
  </si>
  <si>
    <t>MRO Payout/Cases</t>
  </si>
  <si>
    <t>MRO Total Payout</t>
  </si>
  <si>
    <t>Verisma + MRO+Datavant Total Payout</t>
  </si>
  <si>
    <t>MRO QC Cases</t>
  </si>
  <si>
    <t>QC pay/Case</t>
  </si>
  <si>
    <t>Verisma QC Cases</t>
  </si>
  <si>
    <t>Location</t>
  </si>
  <si>
    <t>Cost</t>
  </si>
  <si>
    <t>Sudesh</t>
  </si>
  <si>
    <t>Moolchand</t>
  </si>
  <si>
    <t>Vyom</t>
  </si>
  <si>
    <t>Ahwataukee</t>
  </si>
  <si>
    <t>Aprima_Processing</t>
  </si>
  <si>
    <t>Bronx-Care Processing</t>
  </si>
  <si>
    <t>Evara Health_Logging</t>
  </si>
  <si>
    <t>Evara-Health Processing</t>
  </si>
  <si>
    <t>Meritas</t>
  </si>
  <si>
    <t>NKCH Processing</t>
  </si>
  <si>
    <t>NYP EMR</t>
  </si>
  <si>
    <t>Eisenhower</t>
  </si>
  <si>
    <t>Washington Family</t>
  </si>
  <si>
    <t>AZA-Processing</t>
  </si>
  <si>
    <t>THR Prosessing</t>
  </si>
  <si>
    <t>Spring Branch-Processing</t>
  </si>
  <si>
    <t>Riverton Family HC-Logging</t>
  </si>
  <si>
    <t>J.O.Wyatt Clinic-Logging</t>
  </si>
  <si>
    <t>InterMed DDS</t>
  </si>
  <si>
    <t>J.O.Wyatt Clinic-Processing</t>
  </si>
  <si>
    <t>Riverton Family HC-Processing</t>
  </si>
  <si>
    <t>Brightli DDS Processing</t>
  </si>
  <si>
    <t>Canyonlands HC Logging</t>
  </si>
  <si>
    <t>Canyonlands Processing</t>
  </si>
  <si>
    <t>Total processing</t>
  </si>
  <si>
    <t>Banner Health_Processing</t>
  </si>
  <si>
    <t>Duke_Processing</t>
  </si>
  <si>
    <t>North Side_Processing</t>
  </si>
  <si>
    <t>Penn_Processing</t>
  </si>
  <si>
    <t>Trinity CT&amp;MI Processing</t>
  </si>
  <si>
    <t>Trinity IHA_Processing</t>
  </si>
  <si>
    <t>Trinity Albany _Processing</t>
  </si>
  <si>
    <t>Corewell Processing</t>
  </si>
  <si>
    <t>Trinity-Loyola Processing</t>
  </si>
  <si>
    <t>Nemours Children's Health Processing</t>
  </si>
  <si>
    <t>Trinity-New England Processing</t>
  </si>
  <si>
    <t>Tidelands Health Processing</t>
  </si>
  <si>
    <t>Cape Cod Processing</t>
  </si>
  <si>
    <t>Fairview Processing</t>
  </si>
  <si>
    <t>Memorial health Care processing</t>
  </si>
  <si>
    <t>Wellstar Processing</t>
  </si>
  <si>
    <t>Franciscan Processing</t>
  </si>
  <si>
    <t>Cox Healthcare Processing</t>
  </si>
  <si>
    <t>TriHealth Processing</t>
  </si>
  <si>
    <t>MRO Correspondence Project</t>
  </si>
  <si>
    <t>MCHS Processing</t>
  </si>
  <si>
    <t>OU Health Processing</t>
  </si>
  <si>
    <t>Trinity Alphonsus Processing</t>
  </si>
  <si>
    <t>Stamford Health Processing</t>
  </si>
  <si>
    <t>Rothman Processing</t>
  </si>
  <si>
    <t>Christus Health-Processing</t>
  </si>
  <si>
    <t>SSM-Processing</t>
  </si>
  <si>
    <t>Marshall Processing</t>
  </si>
  <si>
    <t>Presbyterian_Processing</t>
  </si>
  <si>
    <t>Other Processing 
(Canceled/Released By Other)</t>
  </si>
  <si>
    <t>NRS-NO Records</t>
  </si>
  <si>
    <t>Verisma + MRO Grand Total</t>
  </si>
  <si>
    <t>Aprima_Logging</t>
  </si>
  <si>
    <t>Boston Children</t>
  </si>
  <si>
    <t>Bronx-Care</t>
  </si>
  <si>
    <t>Children-National</t>
  </si>
  <si>
    <t>DDS</t>
  </si>
  <si>
    <t>NYC H &amp; H</t>
  </si>
  <si>
    <t>AHN</t>
  </si>
  <si>
    <t>NKCH Logging</t>
  </si>
  <si>
    <t>Endeavor Health Logging</t>
  </si>
  <si>
    <t>CCP</t>
  </si>
  <si>
    <t>Venice Family Clinic</t>
  </si>
  <si>
    <t>THR</t>
  </si>
  <si>
    <t>Cottage Health</t>
  </si>
  <si>
    <t>Meritas Health Logging</t>
  </si>
  <si>
    <t>Meritas-Inbox-Logging</t>
  </si>
  <si>
    <t>UNM Health</t>
  </si>
  <si>
    <t>Meritas-Shared-Folder</t>
  </si>
  <si>
    <t>HPR inbox Request</t>
  </si>
  <si>
    <t>Silver Cross</t>
  </si>
  <si>
    <t>OSF Medical Group</t>
  </si>
  <si>
    <t>UCSD Logging</t>
  </si>
  <si>
    <t>Endeavor Health disclosure Logging</t>
  </si>
  <si>
    <t>UPMC-EPIC</t>
  </si>
  <si>
    <t>Total Logging</t>
  </si>
  <si>
    <t>Avg Cases</t>
  </si>
  <si>
    <t>Slabs</t>
  </si>
  <si>
    <t>Higher Slab Value</t>
  </si>
  <si>
    <t>Pay/Case</t>
  </si>
  <si>
    <t>Final Logging Incentive Payout</t>
  </si>
  <si>
    <t xml:space="preserve">Ahila Sundaresan </t>
  </si>
  <si>
    <t>Karthika Gnanamurthy</t>
  </si>
  <si>
    <t>Monika Singh</t>
  </si>
  <si>
    <t>Nidhi Dubey</t>
  </si>
  <si>
    <t>30 Cases per hour</t>
  </si>
  <si>
    <t>Slab 1</t>
  </si>
  <si>
    <t>&gt;27</t>
  </si>
  <si>
    <t>15$</t>
  </si>
  <si>
    <t>Slab 2</t>
  </si>
  <si>
    <t>20-27</t>
  </si>
  <si>
    <t>12 $/Hour</t>
  </si>
  <si>
    <t>Slab 3</t>
  </si>
  <si>
    <t>13&gt;-&lt;20</t>
  </si>
  <si>
    <t>10$</t>
  </si>
  <si>
    <t>Slab 4</t>
  </si>
  <si>
    <t>&lt;=13</t>
  </si>
  <si>
    <t>8$</t>
  </si>
  <si>
    <t>Ahila</t>
  </si>
  <si>
    <t>Amrita</t>
  </si>
  <si>
    <t>Amruth</t>
  </si>
  <si>
    <t>Andrea</t>
  </si>
  <si>
    <t>Anitaben</t>
  </si>
  <si>
    <t>Ayisha</t>
  </si>
  <si>
    <t>Balasubramani</t>
  </si>
  <si>
    <t>Chinmaya</t>
  </si>
  <si>
    <t>Dhivyalakshmi</t>
  </si>
  <si>
    <t>Divya</t>
  </si>
  <si>
    <t>Divya B</t>
  </si>
  <si>
    <t>Fnu</t>
  </si>
  <si>
    <t>Gayathri T</t>
  </si>
  <si>
    <t>Harathi</t>
  </si>
  <si>
    <t>Hetal</t>
  </si>
  <si>
    <t>Jaya S</t>
  </si>
  <si>
    <t>Jessica</t>
  </si>
  <si>
    <t>Jyothi</t>
  </si>
  <si>
    <t>Karthika</t>
  </si>
  <si>
    <t>Kiranmai</t>
  </si>
  <si>
    <t>Lavanya</t>
  </si>
  <si>
    <t>Laxmi</t>
  </si>
  <si>
    <t>Madhana</t>
  </si>
  <si>
    <t>Mariko</t>
  </si>
  <si>
    <t>Mary V</t>
  </si>
  <si>
    <t>Monalisa</t>
  </si>
  <si>
    <t>Monika</t>
  </si>
  <si>
    <t>Mythili</t>
  </si>
  <si>
    <t>Naagarashikaa</t>
  </si>
  <si>
    <t>Naganandhini</t>
  </si>
  <si>
    <t>Nalini</t>
  </si>
  <si>
    <t>Namita</t>
  </si>
  <si>
    <t>Namrata S</t>
  </si>
  <si>
    <t>Namratha</t>
  </si>
  <si>
    <t>Namratha S</t>
  </si>
  <si>
    <t>Narmadhadevi</t>
  </si>
  <si>
    <t>Nidhi</t>
  </si>
  <si>
    <t>Palak</t>
  </si>
  <si>
    <t>Pasha</t>
  </si>
  <si>
    <t>Pavithra</t>
  </si>
  <si>
    <t>Pooja</t>
  </si>
  <si>
    <t>Pragyan</t>
  </si>
  <si>
    <t>Pranusha</t>
  </si>
  <si>
    <t>Pritha</t>
  </si>
  <si>
    <t>Priti</t>
  </si>
  <si>
    <t>Priyanka D</t>
  </si>
  <si>
    <t>Priyanka G</t>
  </si>
  <si>
    <t>Pushpaja</t>
  </si>
  <si>
    <t>Ranjusha</t>
  </si>
  <si>
    <t>Rashmi</t>
  </si>
  <si>
    <t>Rekha</t>
  </si>
  <si>
    <t>Reshmi</t>
  </si>
  <si>
    <t>Rihama</t>
  </si>
  <si>
    <t>Rishi</t>
  </si>
  <si>
    <t>Rituparna</t>
  </si>
  <si>
    <t>Sangeetha</t>
  </si>
  <si>
    <t>Sangeetha R</t>
  </si>
  <si>
    <t>Sara</t>
  </si>
  <si>
    <t>Sathya</t>
  </si>
  <si>
    <t>Shanmugapriya</t>
  </si>
  <si>
    <t>Sharmila</t>
  </si>
  <si>
    <t>Sireesha</t>
  </si>
  <si>
    <t>Somdutta</t>
  </si>
  <si>
    <t>Sonali</t>
  </si>
  <si>
    <t>Sonia</t>
  </si>
  <si>
    <t>Sowjanya</t>
  </si>
  <si>
    <t>Subathiga</t>
  </si>
  <si>
    <t>Subhina</t>
  </si>
  <si>
    <t>Subratha</t>
  </si>
  <si>
    <t>Sunitha</t>
  </si>
  <si>
    <t>Susmita</t>
  </si>
  <si>
    <t>Swagata</t>
  </si>
  <si>
    <t>Swathi</t>
  </si>
  <si>
    <t>Swathi D</t>
  </si>
  <si>
    <t>Swati</t>
  </si>
  <si>
    <t>Tapasi</t>
  </si>
  <si>
    <t>Umamaheshwari</t>
  </si>
  <si>
    <t>Umamaheswari</t>
  </si>
  <si>
    <t>Vanitha</t>
  </si>
  <si>
    <t>Vijayalakshmi</t>
  </si>
  <si>
    <t>Visalakshi</t>
  </si>
  <si>
    <t>Palak will get for 7 cases</t>
  </si>
  <si>
    <t>Evara Health_Processing</t>
  </si>
  <si>
    <t>Meritas Cases</t>
  </si>
  <si>
    <t>NKCH</t>
  </si>
  <si>
    <t>NYP EMR Cases</t>
  </si>
  <si>
    <t>Verisma DDS (Angela)</t>
  </si>
  <si>
    <t>DDS Cases</t>
  </si>
  <si>
    <t>Verisma NYC H&amp;H</t>
  </si>
  <si>
    <t>H &amp; H Cases</t>
  </si>
  <si>
    <t>Verisma_AHN</t>
  </si>
  <si>
    <t>AHN Cases</t>
  </si>
  <si>
    <t>Verisma_Eisenhower</t>
  </si>
  <si>
    <t>Eisenhower Cases</t>
  </si>
  <si>
    <t>Wellmed IDM</t>
  </si>
  <si>
    <t>Wellmed_Dr Talatala</t>
  </si>
  <si>
    <t>Wellmed Talatala</t>
  </si>
  <si>
    <t>BCH EMPI</t>
  </si>
  <si>
    <t>Release Payout</t>
  </si>
  <si>
    <t>BCH EMPI_Release</t>
  </si>
  <si>
    <t>No</t>
  </si>
  <si>
    <t>Yes</t>
  </si>
  <si>
    <t>Wellmed IDM_Release</t>
  </si>
  <si>
    <t>MRO Penn_Release</t>
  </si>
  <si>
    <t>MRO Banner_Release</t>
  </si>
  <si>
    <t>MRO Duke_Release</t>
  </si>
  <si>
    <t>MRO Northside_Release</t>
  </si>
  <si>
    <t>MRO Trinity_Release</t>
  </si>
  <si>
    <t>Talatala_Release</t>
  </si>
  <si>
    <t>THR Release</t>
  </si>
  <si>
    <t>Eisenhower Release</t>
  </si>
  <si>
    <t>Meritas Release</t>
  </si>
  <si>
    <t>Evara Release</t>
  </si>
  <si>
    <t>Aprima Release</t>
  </si>
  <si>
    <t>Ahwataukee Release</t>
  </si>
  <si>
    <t>Baviya Raja</t>
  </si>
  <si>
    <t>Jhansi Mungi</t>
  </si>
  <si>
    <t>Jyoti Shrivastava</t>
  </si>
  <si>
    <t>palak</t>
  </si>
  <si>
    <t>dwdw</t>
  </si>
  <si>
    <t>BCH-Audits</t>
  </si>
  <si>
    <t>Bronx-Audit</t>
  </si>
  <si>
    <t>Maine General_Logging</t>
  </si>
  <si>
    <t>Unity Health ECW</t>
  </si>
  <si>
    <t>Verisma Legal</t>
  </si>
  <si>
    <t>Verisma THR</t>
  </si>
  <si>
    <t>Verisma THR_Audit</t>
  </si>
  <si>
    <t>Verisma_NYP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</si>
</sst>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d\-mmm\-yy;@"/>
  </numFmts>
  <fonts count="3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6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Segoe UI"/>
      <family val="2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1"/>
      <color theme="7" tint="-0.499984740745262"/>
      <name val="Arial Black"/>
      <family val="2"/>
    </font>
    <font>
      <b/>
      <u/>
      <sz val="10"/>
      <color theme="7" tint="-0.499984740745262"/>
      <name val="Arial Black"/>
      <family val="2"/>
    </font>
    <font>
      <b/>
      <sz val="10"/>
      <color theme="5" tint="0.39997558519241921"/>
      <name val="Calibri"/>
      <family val="2"/>
      <scheme val="minor"/>
    </font>
    <font>
      <b/>
      <sz val="10"/>
      <color theme="2"/>
      <name val="Calibri"/>
      <family val="2"/>
      <scheme val="minor"/>
    </font>
    <font>
      <b/>
      <sz val="12"/>
      <color theme="7"/>
      <name val="Calibri"/>
      <family val="2"/>
      <scheme val="minor"/>
    </font>
    <font>
      <b/>
      <sz val="10"/>
      <color theme="9"/>
      <name val="Calibri"/>
      <family val="2"/>
      <scheme val="minor"/>
    </font>
    <font>
      <b/>
      <sz val="10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b/>
      <sz val="10"/>
      <color theme="4" tint="0.59999389629810485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7" tint="0.39997558519241921"/>
      <name val="Calibri"/>
      <family val="2"/>
      <scheme val="minor"/>
    </font>
    <font>
      <sz val="8"/>
      <color theme="1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3D3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4"/>
        <bgColor indexed="64"/>
      </patternFill>
    </fill>
    <fill>
      <patternFill patternType="solid">
        <fgColor rgb="FFE176F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theme="4" tint="0.79998168889431442"/>
      </patternFill>
    </fill>
    <fill>
      <patternFill patternType="solid">
        <fgColor rgb="FFFFFF00"/>
        <bgColor theme="5" tint="0.5999938962981048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theme="5" tint="0.59999389629810485"/>
      </patternFill>
    </fill>
    <fill>
      <patternFill patternType="solid">
        <fgColor rgb="FFFF7C80"/>
        <bgColor indexed="64"/>
      </patternFill>
    </fill>
    <fill>
      <patternFill patternType="solid">
        <fgColor theme="2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249">
    <xf numFmtId="0" fontId="0" fillId="0" borderId="0" xfId="0"/>
    <xf numFmtId="0" fontId="5" fillId="3" borderId="1" xfId="1" applyFont="1" applyFill="1" applyBorder="1" applyAlignment="1">
      <alignment horizontal="center" vertical="center"/>
    </xf>
    <xf numFmtId="0" fontId="6" fillId="4" borderId="1" xfId="0" applyFont="1" applyFill="1" applyBorder="1"/>
    <xf numFmtId="164" fontId="2" fillId="5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horizontal="center" vertical="center" wrapText="1"/>
    </xf>
    <xf numFmtId="0" fontId="9" fillId="13" borderId="6" xfId="0" applyFont="1" applyFill="1" applyBorder="1" applyAlignment="1">
      <alignment horizontal="center" vertical="center" wrapText="1"/>
    </xf>
    <xf numFmtId="0" fontId="9" fillId="13" borderId="7" xfId="0" applyFont="1" applyFill="1" applyBorder="1" applyAlignment="1">
      <alignment horizontal="center" vertical="center" wrapText="1"/>
    </xf>
    <xf numFmtId="44" fontId="12" fillId="14" borderId="8" xfId="2" applyFont="1" applyFill="1" applyBorder="1" applyAlignment="1">
      <alignment horizontal="center" vertical="center" wrapText="1"/>
    </xf>
    <xf numFmtId="44" fontId="12" fillId="15" borderId="2" xfId="2" applyFont="1" applyFill="1" applyBorder="1" applyAlignment="1">
      <alignment horizontal="center" vertical="center" wrapText="1"/>
    </xf>
    <xf numFmtId="44" fontId="12" fillId="16" borderId="2" xfId="2" applyFont="1" applyFill="1" applyBorder="1" applyAlignment="1">
      <alignment horizontal="center" vertical="center" wrapText="1"/>
    </xf>
    <xf numFmtId="44" fontId="12" fillId="17" borderId="14" xfId="2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 vertical="center" wrapText="1"/>
    </xf>
    <xf numFmtId="1" fontId="14" fillId="22" borderId="1" xfId="2" applyNumberFormat="1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 wrapText="1"/>
    </xf>
    <xf numFmtId="44" fontId="7" fillId="26" borderId="1" xfId="2" applyFont="1" applyFill="1" applyBorder="1" applyAlignment="1">
      <alignment horizontal="center" vertical="center"/>
    </xf>
    <xf numFmtId="0" fontId="15" fillId="0" borderId="0" xfId="0" applyFont="1"/>
    <xf numFmtId="0" fontId="14" fillId="0" borderId="0" xfId="0" applyFont="1"/>
    <xf numFmtId="0" fontId="14" fillId="4" borderId="1" xfId="0" applyFont="1" applyFill="1" applyBorder="1" applyAlignment="1">
      <alignment vertical="center"/>
    </xf>
    <xf numFmtId="164" fontId="14" fillId="5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2" fontId="7" fillId="11" borderId="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14" fillId="17" borderId="1" xfId="0" applyFont="1" applyFill="1" applyBorder="1" applyAlignment="1">
      <alignment horizontal="center" vertical="center" wrapText="1"/>
    </xf>
    <xf numFmtId="0" fontId="14" fillId="24" borderId="4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21" borderId="1" xfId="1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4" fillId="24" borderId="15" xfId="0" applyFont="1" applyFill="1" applyBorder="1" applyAlignment="1">
      <alignment horizontal="center" vertical="center"/>
    </xf>
    <xf numFmtId="0" fontId="2" fillId="20" borderId="16" xfId="0" applyFont="1" applyFill="1" applyBorder="1" applyAlignment="1">
      <alignment horizontal="center"/>
    </xf>
    <xf numFmtId="0" fontId="18" fillId="21" borderId="1" xfId="1" applyFont="1" applyFill="1" applyBorder="1" applyAlignment="1">
      <alignment horizontal="center"/>
    </xf>
    <xf numFmtId="0" fontId="14" fillId="24" borderId="0" xfId="0" applyFont="1" applyFill="1" applyAlignment="1">
      <alignment horizontal="center" vertical="center"/>
    </xf>
    <xf numFmtId="0" fontId="14" fillId="25" borderId="17" xfId="0" applyFont="1" applyFill="1" applyBorder="1" applyAlignment="1">
      <alignment horizontal="center" vertical="center" wrapText="1"/>
    </xf>
    <xf numFmtId="44" fontId="14" fillId="17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4" fillId="21" borderId="1" xfId="0" applyFont="1" applyFill="1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1" fontId="14" fillId="30" borderId="1" xfId="2" applyNumberFormat="1" applyFont="1" applyFill="1" applyBorder="1" applyAlignment="1">
      <alignment horizontal="center" vertical="center"/>
    </xf>
    <xf numFmtId="44" fontId="14" fillId="30" borderId="1" xfId="2" applyFont="1" applyFill="1" applyBorder="1" applyAlignment="1">
      <alignment horizontal="center" vertical="center"/>
    </xf>
    <xf numFmtId="44" fontId="14" fillId="31" borderId="1" xfId="2" applyFont="1" applyFill="1" applyBorder="1" applyAlignment="1">
      <alignment horizontal="center" vertical="center"/>
    </xf>
    <xf numFmtId="1" fontId="14" fillId="12" borderId="1" xfId="2" applyNumberFormat="1" applyFont="1" applyFill="1" applyBorder="1" applyAlignment="1">
      <alignment horizontal="center" vertical="center"/>
    </xf>
    <xf numFmtId="44" fontId="14" fillId="12" borderId="1" xfId="2" applyFont="1" applyFill="1" applyBorder="1" applyAlignment="1">
      <alignment horizontal="center" vertical="center"/>
    </xf>
    <xf numFmtId="0" fontId="14" fillId="17" borderId="0" xfId="0" applyFont="1" applyFill="1" applyAlignment="1">
      <alignment horizontal="center" vertical="center" wrapText="1"/>
    </xf>
    <xf numFmtId="44" fontId="14" fillId="17" borderId="0" xfId="0" applyNumberFormat="1" applyFont="1" applyFill="1" applyAlignment="1">
      <alignment horizontal="center" vertical="center" wrapText="1"/>
    </xf>
    <xf numFmtId="1" fontId="14" fillId="32" borderId="1" xfId="2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0" fontId="14" fillId="13" borderId="1" xfId="0" applyFont="1" applyFill="1" applyBorder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0" fontId="14" fillId="13" borderId="0" xfId="0" applyFont="1" applyFill="1" applyAlignment="1">
      <alignment horizontal="center" vertical="center" wrapText="1"/>
    </xf>
    <xf numFmtId="0" fontId="14" fillId="2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14" fillId="31" borderId="1" xfId="2" applyNumberFormat="1" applyFont="1" applyFill="1" applyBorder="1" applyAlignment="1">
      <alignment horizontal="center" vertical="center"/>
    </xf>
    <xf numFmtId="44" fontId="7" fillId="10" borderId="1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23" borderId="1" xfId="0" applyFont="1" applyFill="1" applyBorder="1" applyAlignment="1">
      <alignment horizontal="center" vertical="center" wrapText="1"/>
    </xf>
    <xf numFmtId="1" fontId="2" fillId="20" borderId="4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4" borderId="9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44" fontId="8" fillId="18" borderId="1" xfId="2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4" fillId="23" borderId="1" xfId="0" applyFont="1" applyFill="1" applyBorder="1" applyAlignment="1">
      <alignment horizontal="center" vertical="center"/>
    </xf>
    <xf numFmtId="1" fontId="1" fillId="26" borderId="1" xfId="0" applyNumberFormat="1" applyFont="1" applyFill="1" applyBorder="1" applyAlignment="1">
      <alignment horizontal="center" vertical="center"/>
    </xf>
    <xf numFmtId="44" fontId="14" fillId="10" borderId="1" xfId="2" applyFont="1" applyFill="1" applyBorder="1" applyAlignment="1">
      <alignment horizontal="center" vertical="center"/>
    </xf>
    <xf numFmtId="0" fontId="14" fillId="27" borderId="1" xfId="0" applyFont="1" applyFill="1" applyBorder="1" applyAlignment="1">
      <alignment horizontal="center" vertical="center"/>
    </xf>
    <xf numFmtId="44" fontId="14" fillId="10" borderId="1" xfId="0" applyNumberFormat="1" applyFont="1" applyFill="1" applyBorder="1" applyAlignment="1">
      <alignment horizontal="center" vertical="center" wrapText="1"/>
    </xf>
    <xf numFmtId="44" fontId="14" fillId="10" borderId="1" xfId="0" applyNumberFormat="1" applyFont="1" applyFill="1" applyBorder="1" applyAlignment="1">
      <alignment horizontal="center" vertical="center"/>
    </xf>
    <xf numFmtId="0" fontId="14" fillId="24" borderId="1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2" fontId="2" fillId="7" borderId="1" xfId="0" applyNumberFormat="1" applyFont="1" applyFill="1" applyBorder="1" applyAlignment="1">
      <alignment horizontal="center"/>
    </xf>
    <xf numFmtId="44" fontId="14" fillId="35" borderId="1" xfId="2" applyFont="1" applyFill="1" applyBorder="1" applyAlignment="1">
      <alignment horizontal="center"/>
    </xf>
    <xf numFmtId="44" fontId="14" fillId="35" borderId="9" xfId="2" applyFont="1" applyFill="1" applyBorder="1" applyAlignment="1">
      <alignment horizontal="center"/>
    </xf>
    <xf numFmtId="0" fontId="14" fillId="27" borderId="23" xfId="0" applyFont="1" applyFill="1" applyBorder="1"/>
    <xf numFmtId="1" fontId="14" fillId="32" borderId="1" xfId="0" applyNumberFormat="1" applyFont="1" applyFill="1" applyBorder="1" applyAlignment="1">
      <alignment horizontal="center" vertical="center" wrapText="1"/>
    </xf>
    <xf numFmtId="44" fontId="14" fillId="36" borderId="1" xfId="2" applyFont="1" applyFill="1" applyBorder="1" applyAlignment="1">
      <alignment horizontal="center" vertical="center"/>
    </xf>
    <xf numFmtId="1" fontId="14" fillId="10" borderId="1" xfId="2" applyNumberFormat="1" applyFont="1" applyFill="1" applyBorder="1" applyAlignment="1">
      <alignment horizontal="center" vertical="center"/>
    </xf>
    <xf numFmtId="0" fontId="14" fillId="37" borderId="1" xfId="0" applyFont="1" applyFill="1" applyBorder="1" applyAlignment="1">
      <alignment horizontal="center" vertical="center" wrapText="1"/>
    </xf>
    <xf numFmtId="44" fontId="19" fillId="38" borderId="1" xfId="2" applyFont="1" applyFill="1" applyBorder="1" applyAlignment="1">
      <alignment horizontal="center" vertical="center"/>
    </xf>
    <xf numFmtId="1" fontId="19" fillId="38" borderId="1" xfId="2" applyNumberFormat="1" applyFont="1" applyFill="1" applyBorder="1" applyAlignment="1">
      <alignment horizontal="center" vertical="center"/>
    </xf>
    <xf numFmtId="1" fontId="20" fillId="3" borderId="1" xfId="2" applyNumberFormat="1" applyFont="1" applyFill="1" applyBorder="1" applyAlignment="1">
      <alignment horizontal="center" vertical="center"/>
    </xf>
    <xf numFmtId="44" fontId="21" fillId="39" borderId="1" xfId="0" applyNumberFormat="1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 vertical="center" wrapText="1"/>
    </xf>
    <xf numFmtId="44" fontId="22" fillId="3" borderId="1" xfId="0" applyNumberFormat="1" applyFont="1" applyFill="1" applyBorder="1" applyAlignment="1">
      <alignment horizontal="center" vertical="center" wrapText="1"/>
    </xf>
    <xf numFmtId="1" fontId="23" fillId="40" borderId="1" xfId="2" applyNumberFormat="1" applyFont="1" applyFill="1" applyBorder="1" applyAlignment="1">
      <alignment horizontal="center" vertical="center"/>
    </xf>
    <xf numFmtId="44" fontId="0" fillId="0" borderId="1" xfId="2" applyFont="1" applyBorder="1" applyAlignment="1">
      <alignment horizontal="center"/>
    </xf>
    <xf numFmtId="0" fontId="24" fillId="40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44" fontId="0" fillId="0" borderId="0" xfId="0" applyNumberFormat="1"/>
    <xf numFmtId="0" fontId="25" fillId="3" borderId="9" xfId="0" applyFont="1" applyFill="1" applyBorder="1" applyAlignment="1">
      <alignment horizontal="center" vertical="center"/>
    </xf>
    <xf numFmtId="44" fontId="14" fillId="32" borderId="9" xfId="0" applyNumberFormat="1" applyFont="1" applyFill="1" applyBorder="1" applyAlignment="1">
      <alignment vertical="center"/>
    </xf>
    <xf numFmtId="0" fontId="26" fillId="20" borderId="1" xfId="0" applyFont="1" applyFill="1" applyBorder="1" applyAlignment="1">
      <alignment horizontal="center" vertical="center"/>
    </xf>
    <xf numFmtId="1" fontId="14" fillId="36" borderId="1" xfId="2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4" fontId="0" fillId="10" borderId="1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1" xfId="0" applyBorder="1"/>
    <xf numFmtId="0" fontId="0" fillId="10" borderId="1" xfId="0" applyFill="1" applyBorder="1"/>
    <xf numFmtId="14" fontId="2" fillId="20" borderId="1" xfId="0" applyNumberFormat="1" applyFont="1" applyFill="1" applyBorder="1" applyAlignment="1">
      <alignment horizontal="center"/>
    </xf>
    <xf numFmtId="0" fontId="14" fillId="8" borderId="13" xfId="0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horizontal="center" vertical="center"/>
    </xf>
    <xf numFmtId="0" fontId="14" fillId="10" borderId="26" xfId="0" applyFont="1" applyFill="1" applyBorder="1" applyAlignment="1">
      <alignment horizontal="center" vertical="center"/>
    </xf>
    <xf numFmtId="0" fontId="14" fillId="10" borderId="16" xfId="0" applyFont="1" applyFill="1" applyBorder="1" applyAlignment="1">
      <alignment horizontal="center" vertical="center"/>
    </xf>
    <xf numFmtId="44" fontId="14" fillId="11" borderId="9" xfId="2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vertical="center"/>
    </xf>
    <xf numFmtId="0" fontId="14" fillId="10" borderId="1" xfId="0" applyFont="1" applyFill="1" applyBorder="1" applyAlignment="1">
      <alignment vertical="center"/>
    </xf>
    <xf numFmtId="0" fontId="14" fillId="10" borderId="10" xfId="0" applyFont="1" applyFill="1" applyBorder="1" applyAlignment="1">
      <alignment vertical="center"/>
    </xf>
    <xf numFmtId="0" fontId="14" fillId="10" borderId="11" xfId="0" applyFont="1" applyFill="1" applyBorder="1" applyAlignment="1">
      <alignment vertical="center"/>
    </xf>
    <xf numFmtId="1" fontId="16" fillId="9" borderId="4" xfId="0" applyNumberFormat="1" applyFont="1" applyFill="1" applyBorder="1" applyAlignment="1">
      <alignment horizontal="center" vertical="center"/>
    </xf>
    <xf numFmtId="2" fontId="14" fillId="27" borderId="1" xfId="0" applyNumberFormat="1" applyFont="1" applyFill="1" applyBorder="1" applyAlignment="1">
      <alignment horizontal="center" vertical="center"/>
    </xf>
    <xf numFmtId="2" fontId="14" fillId="27" borderId="16" xfId="0" applyNumberFormat="1" applyFont="1" applyFill="1" applyBorder="1" applyAlignment="1">
      <alignment horizontal="center" vertical="center"/>
    </xf>
    <xf numFmtId="44" fontId="14" fillId="4" borderId="9" xfId="0" applyNumberFormat="1" applyFont="1" applyFill="1" applyBorder="1" applyAlignment="1">
      <alignment horizontal="center" vertical="center"/>
    </xf>
    <xf numFmtId="1" fontId="3" fillId="8" borderId="13" xfId="0" applyNumberFormat="1" applyFont="1" applyFill="1" applyBorder="1" applyAlignment="1">
      <alignment horizontal="center" vertical="center"/>
    </xf>
    <xf numFmtId="1" fontId="16" fillId="5" borderId="3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26" fillId="10" borderId="4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44" fontId="29" fillId="41" borderId="9" xfId="0" applyNumberFormat="1" applyFont="1" applyFill="1" applyBorder="1" applyAlignment="1">
      <alignment horizontal="center"/>
    </xf>
    <xf numFmtId="0" fontId="26" fillId="8" borderId="13" xfId="0" applyFont="1" applyFill="1" applyBorder="1" applyAlignment="1">
      <alignment horizontal="center" vertical="center" wrapText="1"/>
    </xf>
    <xf numFmtId="44" fontId="26" fillId="22" borderId="9" xfId="2" applyFont="1" applyFill="1" applyBorder="1" applyAlignment="1">
      <alignment horizontal="center" vertical="center"/>
    </xf>
    <xf numFmtId="44" fontId="26" fillId="22" borderId="1" xfId="2" applyFont="1" applyFill="1" applyBorder="1" applyAlignment="1">
      <alignment horizontal="center" vertical="center"/>
    </xf>
    <xf numFmtId="0" fontId="26" fillId="8" borderId="2" xfId="0" applyFont="1" applyFill="1" applyBorder="1" applyAlignment="1">
      <alignment horizontal="center" vertical="center" wrapText="1"/>
    </xf>
    <xf numFmtId="44" fontId="26" fillId="10" borderId="9" xfId="0" applyNumberFormat="1" applyFont="1" applyFill="1" applyBorder="1" applyAlignment="1">
      <alignment horizontal="center"/>
    </xf>
    <xf numFmtId="0" fontId="30" fillId="20" borderId="1" xfId="0" applyFont="1" applyFill="1" applyBorder="1" applyAlignment="1">
      <alignment horizontal="center" vertical="center"/>
    </xf>
    <xf numFmtId="44" fontId="14" fillId="32" borderId="1" xfId="2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44" fontId="2" fillId="27" borderId="1" xfId="2" applyFont="1" applyFill="1" applyBorder="1" applyAlignment="1">
      <alignment horizontal="center" vertical="center"/>
    </xf>
    <xf numFmtId="0" fontId="30" fillId="20" borderId="16" xfId="0" applyFont="1" applyFill="1" applyBorder="1" applyAlignment="1">
      <alignment horizontal="center" vertical="center"/>
    </xf>
    <xf numFmtId="0" fontId="2" fillId="7" borderId="31" xfId="0" applyFont="1" applyFill="1" applyBorder="1" applyAlignment="1">
      <alignment horizontal="center" vertical="center"/>
    </xf>
    <xf numFmtId="0" fontId="2" fillId="7" borderId="32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44" fontId="14" fillId="0" borderId="1" xfId="2" applyFont="1" applyBorder="1" applyAlignment="1">
      <alignment horizontal="center" vertical="center"/>
    </xf>
    <xf numFmtId="44" fontId="14" fillId="7" borderId="1" xfId="2" applyFont="1" applyFill="1" applyBorder="1" applyAlignment="1">
      <alignment horizontal="center" vertical="center"/>
    </xf>
    <xf numFmtId="44" fontId="14" fillId="8" borderId="1" xfId="0" applyNumberFormat="1" applyFont="1" applyFill="1" applyBorder="1" applyAlignment="1">
      <alignment horizontal="center" vertical="center"/>
    </xf>
    <xf numFmtId="44" fontId="14" fillId="24" borderId="1" xfId="2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4" fontId="2" fillId="19" borderId="1" xfId="2" applyFont="1" applyFill="1" applyBorder="1" applyAlignment="1">
      <alignment horizontal="center" vertical="center"/>
    </xf>
    <xf numFmtId="44" fontId="26" fillId="19" borderId="9" xfId="2" applyFont="1" applyFill="1" applyBorder="1" applyAlignment="1">
      <alignment horizontal="center" vertical="center"/>
    </xf>
    <xf numFmtId="0" fontId="26" fillId="4" borderId="33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44" fontId="14" fillId="0" borderId="1" xfId="2" applyFont="1" applyBorder="1" applyAlignment="1">
      <alignment horizontal="center"/>
    </xf>
    <xf numFmtId="0" fontId="14" fillId="2" borderId="4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44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4" fillId="14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0" fillId="29" borderId="1" xfId="0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2" fillId="42" borderId="1" xfId="0" applyFont="1" applyFill="1" applyBorder="1" applyAlignment="1">
      <alignment horizontal="center" vertical="center"/>
    </xf>
    <xf numFmtId="44" fontId="15" fillId="0" borderId="0" xfId="0" applyNumberFormat="1" applyFont="1" applyAlignment="1">
      <alignment vertical="center"/>
    </xf>
    <xf numFmtId="44" fontId="16" fillId="3" borderId="1" xfId="2" applyFont="1" applyFill="1" applyBorder="1" applyAlignment="1">
      <alignment horizontal="center" vertical="center"/>
    </xf>
    <xf numFmtId="1" fontId="16" fillId="3" borderId="1" xfId="2" applyNumberFormat="1" applyFont="1" applyFill="1" applyBorder="1" applyAlignment="1">
      <alignment horizontal="center" vertical="center"/>
    </xf>
    <xf numFmtId="44" fontId="7" fillId="27" borderId="9" xfId="2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0" fontId="14" fillId="10" borderId="33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vertical="center"/>
    </xf>
    <xf numFmtId="0" fontId="1" fillId="14" borderId="1" xfId="0" applyFont="1" applyFill="1" applyBorder="1" applyAlignment="1">
      <alignment horizontal="center" vertical="center"/>
    </xf>
    <xf numFmtId="1" fontId="1" fillId="43" borderId="1" xfId="0" applyNumberFormat="1" applyFont="1" applyFill="1" applyBorder="1" applyAlignment="1">
      <alignment horizontal="center" vertical="center"/>
    </xf>
    <xf numFmtId="44" fontId="28" fillId="0" borderId="0" xfId="0" applyNumberFormat="1" applyFont="1" applyAlignment="1">
      <alignment horizontal="center"/>
    </xf>
    <xf numFmtId="0" fontId="14" fillId="0" borderId="0" xfId="0" applyFont="1" applyAlignment="1">
      <alignment vertical="center"/>
    </xf>
    <xf numFmtId="44" fontId="26" fillId="4" borderId="1" xfId="2" applyFont="1" applyFill="1" applyBorder="1" applyAlignment="1">
      <alignment horizontal="center" vertical="center"/>
    </xf>
    <xf numFmtId="1" fontId="14" fillId="44" borderId="1" xfId="2" applyNumberFormat="1" applyFont="1" applyFill="1" applyBorder="1" applyAlignment="1">
      <alignment horizontal="center" vertical="center"/>
    </xf>
    <xf numFmtId="44" fontId="14" fillId="44" borderId="1" xfId="2" applyFont="1" applyFill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44" fontId="28" fillId="0" borderId="0" xfId="2" applyFont="1" applyAlignment="1">
      <alignment horizontal="center"/>
    </xf>
    <xf numFmtId="9" fontId="28" fillId="0" borderId="0" xfId="3" applyFont="1" applyAlignment="1">
      <alignment horizontal="center"/>
    </xf>
    <xf numFmtId="10" fontId="28" fillId="0" borderId="0" xfId="3" applyNumberFormat="1" applyFont="1" applyAlignment="1">
      <alignment horizontal="center"/>
    </xf>
    <xf numFmtId="44" fontId="28" fillId="0" borderId="0" xfId="3" applyNumberFormat="1" applyFont="1" applyAlignment="1">
      <alignment horizontal="center"/>
    </xf>
    <xf numFmtId="44" fontId="2" fillId="10" borderId="1" xfId="2" applyFont="1" applyFill="1" applyBorder="1" applyAlignment="1">
      <alignment horizontal="center"/>
    </xf>
    <xf numFmtId="0" fontId="26" fillId="10" borderId="2" xfId="0" applyFont="1" applyFill="1" applyBorder="1" applyAlignment="1">
      <alignment horizontal="center" vertical="center" wrapText="1"/>
    </xf>
    <xf numFmtId="1" fontId="0" fillId="0" borderId="0" xfId="0" applyNumberFormat="1"/>
    <xf numFmtId="0" fontId="15" fillId="0" borderId="1" xfId="0" applyFont="1" applyBorder="1" applyAlignment="1">
      <alignment horizontal="center" vertical="center"/>
    </xf>
    <xf numFmtId="44" fontId="14" fillId="32" borderId="1" xfId="0" applyNumberFormat="1" applyFont="1" applyFill="1" applyBorder="1" applyAlignment="1">
      <alignment horizontal="center" vertical="center"/>
    </xf>
    <xf numFmtId="1" fontId="14" fillId="22" borderId="1" xfId="0" applyNumberFormat="1" applyFont="1" applyFill="1" applyBorder="1" applyAlignment="1">
      <alignment horizontal="center" vertical="center" wrapText="1"/>
    </xf>
    <xf numFmtId="0" fontId="2" fillId="4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5" borderId="1" xfId="0" applyFont="1" applyFill="1" applyBorder="1" applyAlignment="1">
      <alignment horizontal="center" vertical="center" wrapText="1"/>
    </xf>
    <xf numFmtId="0" fontId="0" fillId="46" borderId="1" xfId="0" applyFill="1" applyBorder="1" applyAlignment="1">
      <alignment horizontal="center" vertical="center"/>
    </xf>
    <xf numFmtId="0" fontId="0" fillId="4" borderId="28" xfId="0" applyFill="1" applyBorder="1" applyAlignment="1">
      <alignment vertical="center"/>
    </xf>
    <xf numFmtId="0" fontId="0" fillId="4" borderId="29" xfId="0" applyFill="1" applyBorder="1" applyAlignment="1">
      <alignment vertical="center"/>
    </xf>
    <xf numFmtId="0" fontId="7" fillId="4" borderId="30" xfId="0" applyFont="1" applyFill="1" applyBorder="1" applyAlignment="1">
      <alignment horizontal="center" vertical="center"/>
    </xf>
    <xf numFmtId="0" fontId="2" fillId="10" borderId="27" xfId="0" applyFont="1" applyFill="1" applyBorder="1" applyAlignment="1">
      <alignment horizontal="center" vertical="center"/>
    </xf>
    <xf numFmtId="44" fontId="15" fillId="0" borderId="0" xfId="2" applyFont="1" applyAlignment="1">
      <alignment vertical="center"/>
    </xf>
    <xf numFmtId="0" fontId="7" fillId="7" borderId="0" xfId="0" applyFont="1" applyFill="1" applyAlignment="1">
      <alignment horizontal="center" vertical="center"/>
    </xf>
    <xf numFmtId="0" fontId="15" fillId="0" borderId="4" xfId="0" applyFont="1" applyBorder="1" applyAlignment="1">
      <alignment horizontal="center"/>
    </xf>
    <xf numFmtId="44" fontId="0" fillId="47" borderId="1" xfId="2" applyFont="1" applyFill="1" applyBorder="1" applyAlignment="1">
      <alignment horizontal="center"/>
    </xf>
    <xf numFmtId="44" fontId="0" fillId="0" borderId="0" xfId="2" applyFont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1" fontId="8" fillId="9" borderId="4" xfId="0" applyNumberFormat="1" applyFont="1" applyFill="1" applyBorder="1" applyAlignment="1">
      <alignment horizontal="center" vertical="center"/>
    </xf>
    <xf numFmtId="1" fontId="8" fillId="9" borderId="3" xfId="0" applyNumberFormat="1" applyFont="1" applyFill="1" applyBorder="1" applyAlignment="1">
      <alignment horizontal="center" vertical="center"/>
    </xf>
    <xf numFmtId="0" fontId="1" fillId="26" borderId="2" xfId="0" applyFont="1" applyFill="1" applyBorder="1" applyAlignment="1">
      <alignment horizontal="center" vertical="center"/>
    </xf>
    <xf numFmtId="0" fontId="1" fillId="26" borderId="9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9" fillId="26" borderId="1" xfId="0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44" fontId="14" fillId="32" borderId="13" xfId="0" applyNumberFormat="1" applyFont="1" applyFill="1" applyBorder="1" applyAlignment="1">
      <alignment horizontal="center" vertical="center"/>
    </xf>
    <xf numFmtId="44" fontId="14" fillId="32" borderId="34" xfId="0" applyNumberFormat="1" applyFont="1" applyFill="1" applyBorder="1" applyAlignment="1">
      <alignment horizontal="center" vertical="center"/>
    </xf>
    <xf numFmtId="44" fontId="14" fillId="32" borderId="35" xfId="0" applyNumberFormat="1" applyFont="1" applyFill="1" applyBorder="1" applyAlignment="1">
      <alignment horizontal="center" vertical="center"/>
    </xf>
    <xf numFmtId="1" fontId="14" fillId="24" borderId="1" xfId="0" applyNumberFormat="1" applyFont="1" applyFill="1" applyBorder="1" applyAlignment="1">
      <alignment horizontal="center" vertical="center"/>
    </xf>
    <xf numFmtId="0" fontId="14" fillId="23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16" fillId="34" borderId="1" xfId="0" applyFont="1" applyFill="1" applyBorder="1" applyAlignment="1">
      <alignment horizontal="center"/>
    </xf>
    <xf numFmtId="0" fontId="16" fillId="34" borderId="4" xfId="0" applyFont="1" applyFill="1" applyBorder="1" applyAlignment="1">
      <alignment horizontal="center"/>
    </xf>
    <xf numFmtId="0" fontId="16" fillId="34" borderId="14" xfId="0" applyFont="1" applyFill="1" applyBorder="1" applyAlignment="1">
      <alignment horizontal="center"/>
    </xf>
    <xf numFmtId="0" fontId="14" fillId="27" borderId="19" xfId="0" applyFont="1" applyFill="1" applyBorder="1" applyAlignment="1">
      <alignment horizontal="center"/>
    </xf>
    <xf numFmtId="0" fontId="14" fillId="27" borderId="20" xfId="0" applyFont="1" applyFill="1" applyBorder="1" applyAlignment="1">
      <alignment horizontal="center"/>
    </xf>
    <xf numFmtId="0" fontId="14" fillId="27" borderId="21" xfId="0" applyFont="1" applyFill="1" applyBorder="1" applyAlignment="1">
      <alignment horizontal="center"/>
    </xf>
    <xf numFmtId="44" fontId="14" fillId="27" borderId="24" xfId="0" applyNumberFormat="1" applyFont="1" applyFill="1" applyBorder="1" applyAlignment="1">
      <alignment horizontal="center"/>
    </xf>
    <xf numFmtId="0" fontId="14" fillId="27" borderId="25" xfId="0" applyFont="1" applyFill="1" applyBorder="1" applyAlignment="1">
      <alignment horizontal="center"/>
    </xf>
    <xf numFmtId="0" fontId="14" fillId="27" borderId="5" xfId="0" applyFont="1" applyFill="1" applyBorder="1" applyAlignment="1">
      <alignment horizontal="center"/>
    </xf>
    <xf numFmtId="0" fontId="14" fillId="27" borderId="1" xfId="0" applyFont="1" applyFill="1" applyBorder="1" applyAlignment="1">
      <alignment horizontal="center"/>
    </xf>
    <xf numFmtId="0" fontId="14" fillId="27" borderId="22" xfId="0" applyFont="1" applyFill="1" applyBorder="1" applyAlignment="1">
      <alignment horizontal="center"/>
    </xf>
  </cellXfs>
  <cellStyles count="4">
    <cellStyle name="Currency" xfId="2" builtinId="4"/>
    <cellStyle name="Hyperlink" xfId="1" builtinId="8"/>
    <cellStyle name="Normal" xfId="0" builtinId="0"/>
    <cellStyle name="Percent" xfId="3" builtinId="5"/>
  </cellStyles>
  <dxfs count="37"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A5858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13D3F9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A5858"/>
        </patternFill>
      </fill>
    </dxf>
    <dxf>
      <fill>
        <patternFill>
          <bgColor rgb="FFFFC000"/>
        </patternFill>
      </fill>
    </dxf>
    <dxf>
      <fill>
        <patternFill>
          <bgColor theme="9" tint="0.39994506668294322"/>
        </patternFill>
      </fill>
    </dxf>
    <dxf>
      <fill>
        <patternFill>
          <bgColor rgb="FF13D3F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176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Onshore%20MIS%20Reports/Payroll%20Consolidate/Oct/Payroll_Onshore_Oct'25.xlsx" TargetMode="External"/><Relationship Id="rId2" Type="http://schemas.openxmlformats.org/officeDocument/2006/relationships/externalLinkPath" Target="file:///F:\Onshore%20MIS%20Reports\Payroll%20Consolidate\Oct\Payroll_Onshore_Oct'25.xlsx" TargetMode="External"/><Relationship Id="rId1" Type="http://schemas.openxmlformats.org/officeDocument/2006/relationships/externalLinkPath" Target="/Onshore%20MIS%20Reports/Payroll%20Consolidate/Oct/Payroll_Onshore_Oct'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inal payout"/>
      <sheetName val="Arrears_Mar'25"/>
      <sheetName val="Payroll Verisma"/>
      <sheetName val="Payroll MRO"/>
      <sheetName val="Payroll Datavant"/>
      <sheetName val="Index"/>
      <sheetName val="Payroll"/>
      <sheetName val="Release &amp; QC"/>
      <sheetName val="Logging Payout count"/>
      <sheetName val="Processing Cou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4">
          <cell r="A24" t="str">
            <v>Location</v>
          </cell>
        </row>
        <row r="51">
          <cell r="G51">
            <v>63543</v>
          </cell>
        </row>
        <row r="52">
          <cell r="G52">
            <v>87426.75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ebartha Sengupta" id="{1ED98F2E-9F2D-41E0-9138-F578CC3A6DC4}" userId="S::dsengupta@helionext.com::549842bf-2182-4e91-95a3-bdcc14c56a9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0" dT="2024-12-03T00:53:37.44" personId="{1ED98F2E-9F2D-41E0-9138-F578CC3A6DC4}" id="{5014F25D-0448-4726-8DB3-CA48631CEDB9}">
    <text xml:space="preserve">Exception
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BC821-9F43-4DC4-8E1E-5DD23565C8B3}">
  <dimension ref="A1:C137"/>
  <sheetViews>
    <sheetView workbookViewId="0">
      <pane xSplit="1" ySplit="1" topLeftCell="B2" activePane="bottomRight" state="frozen"/>
      <selection pane="bottomRight" activeCell="A3" sqref="A3"/>
      <selection pane="bottomLeft" activeCell="A2" sqref="A2"/>
      <selection pane="topRight" activeCell="B1" sqref="B1"/>
    </sheetView>
  </sheetViews>
  <sheetFormatPr defaultRowHeight="14.45"/>
  <cols>
    <col min="1" max="1" width="27.7109375" bestFit="1" customWidth="1"/>
    <col min="2" max="2" width="11.7109375" bestFit="1" customWidth="1"/>
    <col min="3" max="3" width="12.140625" bestFit="1" customWidth="1"/>
  </cols>
  <sheetData>
    <row r="1" spans="1:3">
      <c r="A1" s="109" t="s">
        <v>0</v>
      </c>
      <c r="B1" s="109" t="s">
        <v>1</v>
      </c>
      <c r="C1" s="110" t="e">
        <f>SUM(_xlfn.ANCHORARRAY(B2))</f>
        <v>#REF!</v>
      </c>
    </row>
    <row r="2" spans="1:3">
      <c r="A2" s="108" t="str" cm="1">
        <f t="array" ref="A2:A137">TRANSPOSE('Final payout'!C1:EH1)</f>
        <v>Aanya</v>
      </c>
      <c r="B2" s="107" t="e" cm="1">
        <f t="array" ref="B2">TRANSPOSE('Final payout'!#REF!)</f>
        <v>#REF!</v>
      </c>
    </row>
    <row r="3" spans="1:3">
      <c r="A3" s="108" t="str">
        <v>Ahila Sundaresan</v>
      </c>
      <c r="B3" s="107"/>
    </row>
    <row r="4" spans="1:3">
      <c r="A4" s="108" t="str">
        <v>Alekhya Pokuri</v>
      </c>
      <c r="B4" s="107"/>
    </row>
    <row r="5" spans="1:3">
      <c r="A5" s="108" t="str">
        <v>Ambar Romero</v>
      </c>
      <c r="B5" s="107"/>
    </row>
    <row r="6" spans="1:3">
      <c r="A6" s="108" t="str">
        <v>Amel Yousfi</v>
      </c>
      <c r="B6" s="107"/>
    </row>
    <row r="7" spans="1:3">
      <c r="A7" s="108" t="str">
        <v>Amrita Singh</v>
      </c>
      <c r="B7" s="107"/>
    </row>
    <row r="8" spans="1:3">
      <c r="A8" s="108" t="str">
        <v>Andrea Lorenzano</v>
      </c>
      <c r="B8" s="107"/>
    </row>
    <row r="9" spans="1:3">
      <c r="A9" s="108" t="str">
        <v>Angayarkanni Kannan</v>
      </c>
      <c r="B9" s="107"/>
    </row>
    <row r="10" spans="1:3">
      <c r="A10" s="108" t="str">
        <v>Angel Edwards</v>
      </c>
      <c r="B10" s="107"/>
    </row>
    <row r="11" spans="1:3">
      <c r="A11" s="108" t="str">
        <v>Anitaben Patel</v>
      </c>
      <c r="B11" s="107"/>
    </row>
    <row r="12" spans="1:3">
      <c r="A12" s="108" t="str">
        <v>Anjali Devunuri</v>
      </c>
      <c r="B12" s="107"/>
    </row>
    <row r="13" spans="1:3">
      <c r="A13" s="108" t="str">
        <v>Anjana Vijayan</v>
      </c>
      <c r="B13" s="107"/>
    </row>
    <row r="14" spans="1:3">
      <c r="A14" s="108" t="str">
        <v>Ankana Biswas Dutta</v>
      </c>
      <c r="B14" s="107"/>
    </row>
    <row r="15" spans="1:3">
      <c r="A15" s="108" t="str">
        <v>Anshu Dubey</v>
      </c>
      <c r="B15" s="107"/>
    </row>
    <row r="16" spans="1:3">
      <c r="A16" s="108" t="str">
        <v>Anusha Cheerla</v>
      </c>
      <c r="B16" s="107"/>
    </row>
    <row r="17" spans="1:2">
      <c r="A17" s="108" t="str">
        <v>Anusha Kulageri</v>
      </c>
      <c r="B17" s="107"/>
    </row>
    <row r="18" spans="1:2">
      <c r="A18" s="108" t="str">
        <v>Anusha Prasannakumar</v>
      </c>
      <c r="B18" s="107"/>
    </row>
    <row r="19" spans="1:2">
      <c r="A19" s="108" t="str">
        <v>Arcelia Finkelberg</v>
      </c>
      <c r="B19" s="107"/>
    </row>
    <row r="20" spans="1:2">
      <c r="A20" s="108" t="str">
        <v>Atchaya Rangasamy Venugopal</v>
      </c>
      <c r="B20" s="107"/>
    </row>
    <row r="21" spans="1:2">
      <c r="A21" s="108" t="str">
        <v>Azumi Van Scyoc</v>
      </c>
      <c r="B21" s="107"/>
    </row>
    <row r="22" spans="1:2">
      <c r="A22" s="108" t="str">
        <v>Babitha Koraganti</v>
      </c>
      <c r="B22" s="107"/>
    </row>
    <row r="23" spans="1:2">
      <c r="A23" s="108" t="str">
        <v>Balasubramani Kandasamy</v>
      </c>
      <c r="B23" s="107"/>
    </row>
    <row r="24" spans="1:2">
      <c r="A24" s="108" t="str">
        <v>Cecilia Hendricks</v>
      </c>
      <c r="B24" s="107"/>
    </row>
    <row r="25" spans="1:2">
      <c r="A25" s="108" t="str">
        <v>Chandana Bathina</v>
      </c>
      <c r="B25" s="107"/>
    </row>
    <row r="26" spans="1:2">
      <c r="A26" s="108" t="str">
        <v>Chandini Yellamilli</v>
      </c>
      <c r="B26" s="107"/>
    </row>
    <row r="27" spans="1:2">
      <c r="A27" s="108" t="str">
        <v>Chinmaya Jyothi Pulikallu</v>
      </c>
      <c r="B27" s="107"/>
    </row>
    <row r="28" spans="1:2">
      <c r="A28" s="108" t="str">
        <v>Damion Newell</v>
      </c>
      <c r="B28" s="107"/>
    </row>
    <row r="29" spans="1:2">
      <c r="A29" s="108" t="str">
        <v>Deepika Chintaluri</v>
      </c>
      <c r="B29" s="107"/>
    </row>
    <row r="30" spans="1:2">
      <c r="A30" s="108" t="str">
        <v>Devi Prakash</v>
      </c>
      <c r="B30" s="107"/>
    </row>
    <row r="31" spans="1:2">
      <c r="A31" s="108" t="str">
        <v>Devicharitha Malapati</v>
      </c>
      <c r="B31" s="107"/>
    </row>
    <row r="32" spans="1:2">
      <c r="A32" s="108" t="str">
        <v>Dhanalakshmi Nelluri</v>
      </c>
      <c r="B32" s="107"/>
    </row>
    <row r="33" spans="1:2">
      <c r="A33" s="108" t="str">
        <v>Dhivya Shankar</v>
      </c>
      <c r="B33" s="107"/>
    </row>
    <row r="34" spans="1:2">
      <c r="A34" s="108" t="str">
        <v>Dhivyalakshmi Vigneshwaran</v>
      </c>
      <c r="B34" s="107"/>
    </row>
    <row r="35" spans="1:2">
      <c r="A35" s="108" t="str">
        <v>Diksha Vijaykumar More</v>
      </c>
      <c r="B35" s="107"/>
    </row>
    <row r="36" spans="1:2">
      <c r="A36" s="108" t="str">
        <v>Divya Babu</v>
      </c>
      <c r="B36" s="107"/>
    </row>
    <row r="37" spans="1:2">
      <c r="A37" s="108" t="str">
        <v>Divya Manjeshwar kamath</v>
      </c>
      <c r="B37" s="107"/>
    </row>
    <row r="38" spans="1:2">
      <c r="A38" s="108" t="str">
        <v>Divya Shree</v>
      </c>
      <c r="B38" s="107"/>
    </row>
    <row r="39" spans="1:2">
      <c r="A39" s="108" t="str">
        <v>Erianna Lockhart</v>
      </c>
      <c r="B39" s="107"/>
    </row>
    <row r="40" spans="1:2">
      <c r="A40" s="108" t="str">
        <v>Faith Ujjwala Singh</v>
      </c>
      <c r="B40" s="107"/>
    </row>
    <row r="41" spans="1:2">
      <c r="A41" s="108" t="str">
        <v>Fallyan Redd</v>
      </c>
      <c r="B41" s="107"/>
    </row>
    <row r="42" spans="1:2">
      <c r="A42" s="108" t="str">
        <v>Farheen Hasham</v>
      </c>
      <c r="B42" s="107"/>
    </row>
    <row r="43" spans="1:2">
      <c r="A43" s="108" t="str">
        <v>Farzana Shaik</v>
      </c>
      <c r="B43" s="107"/>
    </row>
    <row r="44" spans="1:2">
      <c r="A44" s="108" t="str">
        <v>Fnu Supriya</v>
      </c>
      <c r="B44" s="107"/>
    </row>
    <row r="45" spans="1:2">
      <c r="A45" s="108" t="str">
        <v>Foua Yang</v>
      </c>
      <c r="B45" s="107"/>
    </row>
    <row r="46" spans="1:2">
      <c r="A46" s="108" t="str">
        <v>Franklin C Onyedili</v>
      </c>
      <c r="B46" s="107"/>
    </row>
    <row r="47" spans="1:2">
      <c r="A47" s="108" t="str">
        <v>Gayatri Paramsivam</v>
      </c>
      <c r="B47" s="107"/>
    </row>
    <row r="48" spans="1:2">
      <c r="A48" s="108" t="str">
        <v>Geetalakshmi Govinthara Annadhurai</v>
      </c>
      <c r="B48" s="107"/>
    </row>
    <row r="49" spans="1:2">
      <c r="A49" s="108" t="str">
        <v>Gia Erica Coleman</v>
      </c>
      <c r="B49" s="107"/>
    </row>
    <row r="50" spans="1:2">
      <c r="A50" s="108" t="str">
        <v>Hadjer Ikram Yousfi</v>
      </c>
      <c r="B50" s="107"/>
    </row>
    <row r="51" spans="1:2">
      <c r="A51" s="108" t="str">
        <v>Haley VanNamee</v>
      </c>
      <c r="B51" s="107"/>
    </row>
    <row r="52" spans="1:2">
      <c r="A52" s="108" t="str">
        <v>Harathi Nuvuru</v>
      </c>
      <c r="B52" s="107"/>
    </row>
    <row r="53" spans="1:2">
      <c r="A53" s="108" t="str">
        <v>Hetal Shah</v>
      </c>
      <c r="B53" s="107"/>
    </row>
    <row r="54" spans="1:2">
      <c r="A54" s="108" t="str">
        <v>I-Asia Newkirk</v>
      </c>
      <c r="B54" s="107"/>
    </row>
    <row r="55" spans="1:2">
      <c r="A55" s="108" t="str">
        <v>Infanta Clara Victor Anthony</v>
      </c>
      <c r="B55" s="107"/>
    </row>
    <row r="56" spans="1:2">
      <c r="A56" s="108" t="str">
        <v>Jaya Singh</v>
      </c>
      <c r="B56" s="107"/>
    </row>
    <row r="57" spans="1:2">
      <c r="A57" s="108" t="str">
        <v>Jayashree Swain</v>
      </c>
      <c r="B57" s="107"/>
    </row>
    <row r="58" spans="1:2">
      <c r="A58" s="108" t="str">
        <v>Jhou Yang</v>
      </c>
      <c r="B58" s="107"/>
    </row>
    <row r="59" spans="1:2">
      <c r="A59" s="108" t="str">
        <v>Jyothi Venkatasubramanya</v>
      </c>
      <c r="B59" s="107"/>
    </row>
    <row r="60" spans="1:2">
      <c r="A60" s="108" t="str">
        <v>Kabila Sivasankar</v>
      </c>
      <c r="B60" s="107"/>
    </row>
    <row r="61" spans="1:2">
      <c r="A61" s="108" t="str">
        <v>Kavya Krishnappa</v>
      </c>
      <c r="B61" s="107"/>
    </row>
    <row r="62" spans="1:2">
      <c r="A62" s="108" t="str">
        <v>Kawanna Brown</v>
      </c>
      <c r="B62" s="107"/>
    </row>
    <row r="63" spans="1:2">
      <c r="A63" s="108" t="str">
        <v>Komala Renuka Prasad</v>
      </c>
      <c r="B63" s="107"/>
    </row>
    <row r="64" spans="1:2">
      <c r="A64" s="108" t="str">
        <v>Krishnaveni</v>
      </c>
      <c r="B64" s="107"/>
    </row>
    <row r="65" spans="1:2">
      <c r="A65" s="108" t="str">
        <v>Krithika Balasubramaniam</v>
      </c>
      <c r="B65" s="107"/>
    </row>
    <row r="66" spans="1:2">
      <c r="A66" s="108" t="str">
        <v>Lakshmi Neelima Duddula</v>
      </c>
      <c r="B66" s="107"/>
    </row>
    <row r="67" spans="1:2">
      <c r="A67" s="108" t="str">
        <v>LaSere Reid Smith</v>
      </c>
      <c r="B67" s="107"/>
    </row>
    <row r="68" spans="1:2">
      <c r="A68" s="108" t="str">
        <v>LATHA BUSIREDDY</v>
      </c>
      <c r="B68" s="107"/>
    </row>
    <row r="69" spans="1:2">
      <c r="A69" s="108" t="str">
        <v>Latrice Adams</v>
      </c>
      <c r="B69" s="107"/>
    </row>
    <row r="70" spans="1:2">
      <c r="A70" s="108" t="str">
        <v>Lavanya Vigrahala</v>
      </c>
      <c r="B70" s="107"/>
    </row>
    <row r="71" spans="1:2">
      <c r="A71" s="108" t="str">
        <v>Laxmi Sirisha Penumecha</v>
      </c>
      <c r="B71" s="107"/>
    </row>
    <row r="72" spans="1:2">
      <c r="A72" s="108" t="str">
        <v>Lipsa Padhy</v>
      </c>
      <c r="B72" s="107"/>
    </row>
    <row r="73" spans="1:2">
      <c r="A73" s="108" t="str">
        <v>Lokeswari Gummadi</v>
      </c>
      <c r="B73" s="107"/>
    </row>
    <row r="74" spans="1:2">
      <c r="A74" s="108" t="str">
        <v>Madhana Sundari Vijayarajan</v>
      </c>
      <c r="B74" s="107"/>
    </row>
    <row r="75" spans="1:2">
      <c r="A75" s="108" t="str">
        <v>Madhavi Balineni</v>
      </c>
      <c r="B75" s="107"/>
    </row>
    <row r="76" spans="1:2">
      <c r="A76" s="108" t="str">
        <v>Madhura Alva</v>
      </c>
      <c r="B76" s="107"/>
    </row>
    <row r="77" spans="1:2">
      <c r="A77" s="108" t="str">
        <v>Madhuri Padala</v>
      </c>
      <c r="B77" s="107"/>
    </row>
    <row r="78" spans="1:2">
      <c r="A78" s="108" t="str">
        <v>Maira Becham</v>
      </c>
      <c r="B78" s="107"/>
    </row>
    <row r="79" spans="1:2">
      <c r="A79" s="108" t="str">
        <v>Manda Talwekar</v>
      </c>
      <c r="B79" s="107"/>
    </row>
    <row r="80" spans="1:2">
      <c r="A80" s="108" t="str">
        <v>Manjunath JagadishPai</v>
      </c>
      <c r="B80" s="107"/>
    </row>
    <row r="81" spans="1:2">
      <c r="A81" s="108" t="str">
        <v>Mariko Huskey</v>
      </c>
      <c r="B81" s="107"/>
    </row>
    <row r="82" spans="1:2">
      <c r="A82" s="108" t="str">
        <v>Marilyn Brown</v>
      </c>
      <c r="B82" s="107"/>
    </row>
    <row r="83" spans="1:2">
      <c r="A83" s="108" t="str">
        <v>Marina Ibrahim</v>
      </c>
      <c r="B83" s="107"/>
    </row>
    <row r="84" spans="1:2">
      <c r="A84" s="108" t="str">
        <v>Mathangi Radhakrishnan</v>
      </c>
      <c r="B84" s="107"/>
    </row>
    <row r="85" spans="1:2">
      <c r="A85" s="108" t="str">
        <v>Michelle Cox</v>
      </c>
      <c r="B85" s="107"/>
    </row>
    <row r="86" spans="1:2">
      <c r="A86" s="108" t="str">
        <v>Minakshi Deepak</v>
      </c>
      <c r="B86" s="107"/>
    </row>
    <row r="87" spans="1:2">
      <c r="A87" s="108" t="str">
        <v>Mojisha Mohandas</v>
      </c>
      <c r="B87" s="107"/>
    </row>
    <row r="88" spans="1:2">
      <c r="A88" s="108" t="str">
        <v>Monalisa Roy</v>
      </c>
      <c r="B88" s="107"/>
    </row>
    <row r="89" spans="1:2">
      <c r="A89" s="108" t="str">
        <v>Mool Chand</v>
      </c>
      <c r="B89" s="107"/>
    </row>
    <row r="90" spans="1:2">
      <c r="A90" s="108" t="str">
        <v>Naagarashikaa Vijayakumar</v>
      </c>
      <c r="B90" s="107"/>
    </row>
    <row r="91" spans="1:2">
      <c r="A91" s="108" t="str">
        <v>Naganandhini Ganapathimaran</v>
      </c>
      <c r="B91" s="107"/>
    </row>
    <row r="92" spans="1:2">
      <c r="A92" s="108" t="str">
        <v>Namita Mishra</v>
      </c>
      <c r="B92" s="107"/>
    </row>
    <row r="93" spans="1:2">
      <c r="A93" s="108" t="str">
        <v>Namrata Sharma</v>
      </c>
      <c r="B93" s="107"/>
    </row>
    <row r="94" spans="1:2">
      <c r="A94" s="108" t="str">
        <v>Namratha Koratala</v>
      </c>
      <c r="B94" s="107"/>
    </row>
    <row r="95" spans="1:2">
      <c r="A95" s="108" t="str">
        <v>Narmadhadevi Dharmapalan</v>
      </c>
      <c r="B95" s="107"/>
    </row>
    <row r="96" spans="1:2">
      <c r="A96" s="108" t="str">
        <v>Neena Mathew Saravanakumar</v>
      </c>
      <c r="B96" s="107"/>
    </row>
    <row r="97" spans="1:2">
      <c r="A97" s="108" t="str">
        <v>Neha Aaggarwal</v>
      </c>
      <c r="B97" s="107"/>
    </row>
    <row r="98" spans="1:2">
      <c r="A98" s="108" t="str">
        <v>Nilopher Lopes</v>
      </c>
      <c r="B98" s="107"/>
    </row>
    <row r="99" spans="1:2">
      <c r="A99" s="108" t="str">
        <v>Nitha Chathoth Kunhikrishnan</v>
      </c>
      <c r="B99" s="107"/>
    </row>
    <row r="100" spans="1:2">
      <c r="A100" s="108" t="str">
        <v>Padmapriya krishnamoorthy</v>
      </c>
      <c r="B100" s="107"/>
    </row>
    <row r="101" spans="1:2">
      <c r="A101" s="108" t="str">
        <v>Palak Porwal</v>
      </c>
      <c r="B101" s="107"/>
    </row>
    <row r="102" spans="1:2">
      <c r="A102" s="108" t="str">
        <v>Pavithra Balaji</v>
      </c>
      <c r="B102" s="107"/>
    </row>
    <row r="103" spans="1:2">
      <c r="A103" s="108" t="str">
        <v>Pavithra Manas Panda</v>
      </c>
      <c r="B103" s="107"/>
    </row>
    <row r="104" spans="1:2">
      <c r="A104" s="108" t="str">
        <v>Pavitra Rani Allam</v>
      </c>
      <c r="B104" s="107"/>
    </row>
    <row r="105" spans="1:2">
      <c r="A105" s="108" t="str">
        <v>Pooja Solanki</v>
      </c>
      <c r="B105" s="107"/>
    </row>
    <row r="106" spans="1:2">
      <c r="A106" s="108" t="str">
        <v>Poongothai Duraisamy</v>
      </c>
      <c r="B106" s="107"/>
    </row>
    <row r="107" spans="1:2">
      <c r="A107" s="108" t="str">
        <v>Pragyan Paramita Mohanty</v>
      </c>
      <c r="B107" s="107"/>
    </row>
    <row r="108" spans="1:2">
      <c r="A108" s="108" t="str">
        <v>Pranusha Dontineni</v>
      </c>
      <c r="B108" s="107"/>
    </row>
    <row r="109" spans="1:2">
      <c r="A109" s="108" t="str">
        <v>Prasana Kotagiri</v>
      </c>
      <c r="B109" s="107"/>
    </row>
    <row r="110" spans="1:2">
      <c r="A110" s="108" t="str">
        <v>Prathima Krishnamurthy Yadav</v>
      </c>
      <c r="B110" s="107"/>
    </row>
    <row r="111" spans="1:2">
      <c r="A111" s="108" t="str">
        <v>Prathima Lakkireddy</v>
      </c>
      <c r="B111" s="107"/>
    </row>
    <row r="112" spans="1:2">
      <c r="A112" s="108" t="str">
        <v>PRAVALLIKA NUTHALAPATI</v>
      </c>
      <c r="B112" s="107"/>
    </row>
    <row r="113" spans="1:2">
      <c r="A113" s="108" t="str">
        <v>Priti Suman</v>
      </c>
      <c r="B113" s="107"/>
    </row>
    <row r="114" spans="1:2">
      <c r="A114" s="108" t="str">
        <v>Priyadarsini Baral</v>
      </c>
      <c r="B114" s="107"/>
    </row>
    <row r="115" spans="1:2">
      <c r="A115" s="108" t="str">
        <v>Priyanka Chandrikapure</v>
      </c>
      <c r="B115" s="107"/>
    </row>
    <row r="116" spans="1:2">
      <c r="A116" s="108" t="str">
        <v>Priyanka Dey Sarkar</v>
      </c>
      <c r="B116" s="107"/>
    </row>
    <row r="117" spans="1:2">
      <c r="A117" s="108" t="str">
        <v>Priyanka Gadar</v>
      </c>
      <c r="B117" s="107"/>
    </row>
    <row r="118" spans="1:2">
      <c r="A118" s="108" t="str">
        <v>Pushpaja Vullamgunta</v>
      </c>
      <c r="B118" s="107"/>
    </row>
    <row r="119" spans="1:2">
      <c r="A119" s="108" t="str">
        <v>Rajameenakshi Sankarasubramanian</v>
      </c>
      <c r="B119" s="107"/>
    </row>
    <row r="120" spans="1:2">
      <c r="A120" s="108" t="str">
        <v>Rajeshwari Thammineni</v>
      </c>
      <c r="B120" s="107"/>
    </row>
    <row r="121" spans="1:2">
      <c r="A121" s="108" t="str">
        <v>Ramsheena Nadathalakkel</v>
      </c>
      <c r="B121" s="107"/>
    </row>
    <row r="122" spans="1:2">
      <c r="A122" s="108" t="str">
        <v>Ramya Muralidharan</v>
      </c>
      <c r="B122" s="107"/>
    </row>
    <row r="123" spans="1:2">
      <c r="A123" s="108" t="str">
        <v>Ramya Sudarshan Palavalli</v>
      </c>
      <c r="B123" s="107"/>
    </row>
    <row r="124" spans="1:2">
      <c r="A124" s="108" t="str">
        <v>Randi Wood</v>
      </c>
      <c r="B124" s="107"/>
    </row>
    <row r="125" spans="1:2">
      <c r="A125" s="108" t="str">
        <v>Rashmi Gupta</v>
      </c>
      <c r="B125" s="107"/>
    </row>
    <row r="126" spans="1:2">
      <c r="A126" s="108" t="str">
        <v>Rashmi Kottachery</v>
      </c>
      <c r="B126" s="107"/>
    </row>
    <row r="127" spans="1:2">
      <c r="A127" s="108" t="str">
        <v>Rashmi Rangdale</v>
      </c>
      <c r="B127" s="107"/>
    </row>
    <row r="128" spans="1:2">
      <c r="A128" s="108" t="str">
        <v>Rathika Jude</v>
      </c>
      <c r="B128" s="107"/>
    </row>
    <row r="129" spans="1:2">
      <c r="A129" s="108" t="str">
        <v>Ratnasree Gudla</v>
      </c>
      <c r="B129" s="107"/>
    </row>
    <row r="130" spans="1:2">
      <c r="A130" s="108" t="str">
        <v>Reejaramani Subramani</v>
      </c>
      <c r="B130" s="107"/>
    </row>
    <row r="131" spans="1:2">
      <c r="A131" s="108" t="str">
        <v>Reema Rasheed</v>
      </c>
      <c r="B131" s="107"/>
    </row>
    <row r="132" spans="1:2">
      <c r="A132" s="108" t="str">
        <v>Reshmi Pulickal Radhakrishnan</v>
      </c>
      <c r="B132" s="107"/>
    </row>
    <row r="133" spans="1:2">
      <c r="A133" s="108" t="str">
        <v>Rima Loganathan</v>
      </c>
      <c r="B133" s="107"/>
    </row>
    <row r="134" spans="1:2">
      <c r="A134" s="108" t="str">
        <v>Rishi Goswami</v>
      </c>
      <c r="B134" s="107"/>
    </row>
    <row r="135" spans="1:2">
      <c r="A135" s="108" t="str">
        <v>Roja Punna</v>
      </c>
      <c r="B135" s="107"/>
    </row>
    <row r="136" spans="1:2">
      <c r="A136" s="108" t="str">
        <v>Rupali Bangar</v>
      </c>
      <c r="B136" s="107"/>
    </row>
    <row r="137" spans="1:2">
      <c r="A137" s="108" t="str">
        <v>Rutuja Rajput</v>
      </c>
      <c r="B137" s="10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464C-6045-47FA-A681-74F76CFC005B}">
  <dimension ref="A1:GR3"/>
  <sheetViews>
    <sheetView zoomScaleNormal="100" workbookViewId="0">
      <pane xSplit="2" ySplit="2" topLeftCell="C3" activePane="bottomRight" state="frozen"/>
      <selection pane="bottomRight" activeCell="B3" sqref="B3"/>
      <selection pane="bottomLeft" activeCell="A3" sqref="A3"/>
      <selection pane="topRight" activeCell="C1" sqref="C1"/>
    </sheetView>
  </sheetViews>
  <sheetFormatPr defaultColWidth="59.28515625" defaultRowHeight="14.45"/>
  <cols>
    <col min="1" max="1" width="10.7109375" style="67" bestFit="1" customWidth="1"/>
    <col min="2" max="2" width="13.5703125" style="67" bestFit="1" customWidth="1"/>
    <col min="3" max="3" width="11.28515625" style="67" bestFit="1" customWidth="1"/>
    <col min="4" max="4" width="11.5703125" style="67" bestFit="1" customWidth="1"/>
    <col min="5" max="5" width="9.85546875" style="67" bestFit="1" customWidth="1"/>
    <col min="6" max="6" width="11.28515625" style="67" bestFit="1" customWidth="1"/>
    <col min="7" max="7" width="9.5703125" style="67" bestFit="1" customWidth="1"/>
    <col min="8" max="8" width="11.28515625" style="67" bestFit="1" customWidth="1"/>
    <col min="9" max="9" width="11.7109375" style="67" bestFit="1" customWidth="1"/>
    <col min="10" max="10" width="14.28515625" style="67" bestFit="1" customWidth="1"/>
    <col min="11" max="12" width="9.7109375" style="67" bestFit="1" customWidth="1"/>
    <col min="13" max="13" width="10.28515625" style="67" bestFit="1" customWidth="1"/>
    <col min="14" max="14" width="10.140625" style="67" bestFit="1" customWidth="1"/>
    <col min="15" max="15" width="13.7109375" style="67" bestFit="1" customWidth="1"/>
    <col min="16" max="16" width="9.5703125" style="67" bestFit="1" customWidth="1"/>
    <col min="17" max="17" width="11.28515625" style="67" bestFit="1" customWidth="1"/>
    <col min="18" max="18" width="10.7109375" style="67" bestFit="1" customWidth="1"/>
    <col min="19" max="19" width="15.5703125" style="67" bestFit="1" customWidth="1"/>
    <col min="20" max="20" width="11.7109375" style="67" bestFit="1" customWidth="1"/>
    <col min="21" max="21" width="20" style="67" bestFit="1" customWidth="1"/>
    <col min="22" max="22" width="10.85546875" style="67" bestFit="1" customWidth="1"/>
    <col min="23" max="23" width="11.85546875" style="67" bestFit="1" customWidth="1"/>
    <col min="24" max="24" width="17.85546875" style="67" bestFit="1" customWidth="1"/>
    <col min="25" max="25" width="11.42578125" style="67" bestFit="1" customWidth="1"/>
    <col min="26" max="26" width="12.140625" style="67" bestFit="1" customWidth="1"/>
    <col min="27" max="27" width="12.5703125" style="67" bestFit="1" customWidth="1"/>
    <col min="28" max="28" width="16.7109375" style="67" bestFit="1" customWidth="1"/>
    <col min="29" max="29" width="10" style="67" bestFit="1" customWidth="1"/>
    <col min="30" max="30" width="12.28515625" style="67" bestFit="1" customWidth="1"/>
    <col min="31" max="31" width="8.7109375" style="67" bestFit="1" customWidth="1"/>
    <col min="32" max="32" width="14.7109375" style="67" bestFit="1" customWidth="1"/>
    <col min="33" max="33" width="14.28515625" style="67" bestFit="1" customWidth="1"/>
    <col min="34" max="34" width="11.28515625" style="67" bestFit="1" customWidth="1"/>
    <col min="35" max="35" width="19.140625" style="67" bestFit="1" customWidth="1"/>
    <col min="36" max="36" width="16" style="67" bestFit="1" customWidth="1"/>
    <col min="37" max="37" width="9.5703125" style="67" bestFit="1" customWidth="1"/>
    <col min="38" max="38" width="17.28515625" style="67" bestFit="1" customWidth="1"/>
    <col min="39" max="39" width="9.5703125" style="67" bestFit="1" customWidth="1"/>
    <col min="40" max="40" width="11.140625" style="67" bestFit="1" customWidth="1"/>
    <col min="41" max="41" width="12.7109375" style="67" bestFit="1" customWidth="1"/>
    <col min="42" max="42" width="8.7109375" style="67" bestFit="1" customWidth="1"/>
    <col min="43" max="43" width="11" style="67" bestFit="1" customWidth="1"/>
    <col min="44" max="46" width="9.5703125" style="67" bestFit="1" customWidth="1"/>
    <col min="47" max="47" width="12.5703125" style="67" bestFit="1" customWidth="1"/>
    <col min="48" max="48" width="13.42578125" style="67" bestFit="1" customWidth="1"/>
    <col min="49" max="49" width="24.28515625" style="67" bestFit="1" customWidth="1"/>
    <col min="50" max="50" width="12" style="67" bestFit="1" customWidth="1"/>
    <col min="51" max="51" width="13" style="67" bestFit="1" customWidth="1"/>
    <col min="52" max="52" width="11" style="67" bestFit="1" customWidth="1"/>
    <col min="53" max="53" width="10.28515625" style="67" bestFit="1" customWidth="1"/>
    <col min="54" max="55" width="11.28515625" style="67" bestFit="1" customWidth="1"/>
    <col min="56" max="56" width="18.42578125" style="67" bestFit="1" customWidth="1"/>
    <col min="57" max="57" width="9.5703125" style="67" bestFit="1" customWidth="1"/>
    <col min="58" max="58" width="10.7109375" style="67" bestFit="1" customWidth="1"/>
    <col min="59" max="59" width="8.42578125" style="67" bestFit="1" customWidth="1"/>
    <col min="60" max="60" width="17.42578125" style="67" bestFit="1" customWidth="1"/>
    <col min="61" max="62" width="11.85546875" style="67" bestFit="1" customWidth="1"/>
    <col min="63" max="63" width="10.7109375" style="67" bestFit="1" customWidth="1"/>
    <col min="64" max="64" width="15" style="67" bestFit="1" customWidth="1"/>
    <col min="65" max="65" width="11.28515625" style="67" bestFit="1" customWidth="1"/>
    <col min="66" max="66" width="17.5703125" style="67" bestFit="1" customWidth="1"/>
    <col min="67" max="67" width="16.7109375" style="67" bestFit="1" customWidth="1"/>
    <col min="68" max="69" width="11.42578125" style="67" bestFit="1" customWidth="1"/>
    <col min="70" max="70" width="9.5703125" style="67" bestFit="1" customWidth="1"/>
    <col min="71" max="71" width="12.140625" style="67" bestFit="1" customWidth="1"/>
    <col min="72" max="72" width="16.42578125" style="67" bestFit="1" customWidth="1"/>
    <col min="73" max="73" width="9.5703125" style="67" bestFit="1" customWidth="1"/>
    <col min="74" max="74" width="13.28515625" style="67" bestFit="1" customWidth="1"/>
    <col min="75" max="75" width="19.5703125" style="67" bestFit="1" customWidth="1"/>
    <col min="76" max="76" width="11.7109375" style="67" bestFit="1" customWidth="1"/>
    <col min="77" max="77" width="11.28515625" style="67" bestFit="1" customWidth="1"/>
    <col min="78" max="78" width="10.7109375" style="67" bestFit="1" customWidth="1"/>
    <col min="79" max="79" width="9.7109375" style="67" bestFit="1" customWidth="1"/>
    <col min="80" max="80" width="11" style="67" bestFit="1" customWidth="1"/>
    <col min="81" max="81" width="15.28515625" style="67" bestFit="1" customWidth="1"/>
    <col min="82" max="83" width="9.85546875" style="67" bestFit="1" customWidth="1"/>
    <col min="84" max="84" width="10.5703125" style="67" bestFit="1" customWidth="1"/>
    <col min="85" max="85" width="16.42578125" style="67" bestFit="1" customWidth="1"/>
    <col min="86" max="87" width="11.28515625" style="67" bestFit="1" customWidth="1"/>
    <col min="88" max="88" width="12.85546875" style="67" bestFit="1" customWidth="1"/>
    <col min="89" max="90" width="11.28515625" style="67" bestFit="1" customWidth="1"/>
    <col min="91" max="91" width="18.42578125" style="67" bestFit="1" customWidth="1"/>
    <col min="92" max="92" width="20.42578125" style="67" bestFit="1" customWidth="1"/>
    <col min="93" max="94" width="11.28515625" style="67" bestFit="1" customWidth="1"/>
    <col min="95" max="95" width="12.5703125" style="67" bestFit="1" customWidth="1"/>
    <col min="96" max="96" width="18.7109375" style="67" bestFit="1" customWidth="1"/>
    <col min="97" max="97" width="20" style="67" bestFit="1" customWidth="1"/>
    <col min="98" max="98" width="11.28515625" style="67" bestFit="1" customWidth="1"/>
    <col min="99" max="99" width="9.85546875" style="67" bestFit="1" customWidth="1"/>
    <col min="100" max="100" width="19.5703125" style="67" bestFit="1" customWidth="1"/>
    <col min="101" max="101" width="18.5703125" style="67" bestFit="1" customWidth="1"/>
    <col min="102" max="102" width="11.28515625" style="67" bestFit="1" customWidth="1"/>
    <col min="103" max="103" width="10" style="67" bestFit="1" customWidth="1"/>
    <col min="104" max="104" width="14.85546875" style="67" bestFit="1" customWidth="1"/>
    <col min="105" max="105" width="12.28515625" style="67" bestFit="1" customWidth="1"/>
    <col min="106" max="106" width="9.28515625" style="67" bestFit="1" customWidth="1"/>
    <col min="107" max="107" width="14.85546875" style="67" bestFit="1" customWidth="1"/>
    <col min="108" max="108" width="17.7109375" style="67" bestFit="1" customWidth="1"/>
    <col min="109" max="109" width="13.140625" style="67" bestFit="1" customWidth="1"/>
    <col min="110" max="110" width="11.140625" style="67" bestFit="1" customWidth="1"/>
    <col min="111" max="111" width="20.140625" style="67" bestFit="1" customWidth="1"/>
    <col min="112" max="112" width="13.42578125" style="67" bestFit="1" customWidth="1"/>
    <col min="113" max="113" width="16.28515625" style="67" bestFit="1" customWidth="1"/>
    <col min="114" max="114" width="11.28515625" style="67" bestFit="1" customWidth="1"/>
    <col min="115" max="115" width="12.140625" style="67" bestFit="1" customWidth="1"/>
    <col min="116" max="116" width="15.7109375" style="67" bestFit="1" customWidth="1"/>
    <col min="117" max="117" width="13.28515625" style="67" bestFit="1" customWidth="1"/>
    <col min="118" max="118" width="10.28515625" style="67" bestFit="1" customWidth="1"/>
    <col min="119" max="119" width="14.7109375" style="67" bestFit="1" customWidth="1"/>
    <col min="120" max="120" width="24" style="67" bestFit="1" customWidth="1"/>
    <col min="121" max="121" width="15.7109375" style="67" bestFit="1" customWidth="1"/>
    <col min="122" max="122" width="17.28515625" style="67" bestFit="1" customWidth="1"/>
    <col min="123" max="123" width="14" style="67" bestFit="1" customWidth="1"/>
    <col min="124" max="124" width="17.85546875" style="67" bestFit="1" customWidth="1"/>
    <col min="125" max="125" width="8.28515625" style="67" bestFit="1" customWidth="1"/>
    <col min="126" max="126" width="9.28515625" style="67" bestFit="1" customWidth="1"/>
    <col min="127" max="127" width="12.28515625" style="67" bestFit="1" customWidth="1"/>
    <col min="128" max="129" width="11.28515625" style="67" bestFit="1" customWidth="1"/>
    <col min="130" max="130" width="10.85546875" style="67" bestFit="1" customWidth="1"/>
    <col min="131" max="131" width="15.7109375" style="67" bestFit="1" customWidth="1"/>
    <col min="132" max="132" width="10.28515625" style="67" bestFit="1" customWidth="1"/>
    <col min="133" max="133" width="20.42578125" style="67" bestFit="1" customWidth="1"/>
    <col min="134" max="134" width="11.28515625" style="67" bestFit="1" customWidth="1"/>
    <col min="135" max="135" width="9.85546875" style="67" bestFit="1" customWidth="1"/>
    <col min="136" max="136" width="8.42578125" style="67" bestFit="1" customWidth="1"/>
    <col min="137" max="139" width="9.5703125" style="67" bestFit="1" customWidth="1"/>
    <col min="140" max="140" width="14.85546875" style="67" bestFit="1" customWidth="1"/>
    <col min="141" max="141" width="13.5703125" style="67" bestFit="1" customWidth="1"/>
    <col min="142" max="143" width="10.85546875" style="67" bestFit="1" customWidth="1"/>
    <col min="144" max="144" width="11.5703125" style="67" bestFit="1" customWidth="1"/>
    <col min="145" max="145" width="13.28515625" style="67" bestFit="1" customWidth="1"/>
    <col min="146" max="146" width="9.7109375" style="67" bestFit="1" customWidth="1"/>
    <col min="147" max="147" width="11.42578125" style="67" bestFit="1" customWidth="1"/>
    <col min="148" max="148" width="16" style="67" bestFit="1" customWidth="1"/>
    <col min="149" max="149" width="11.28515625" style="67" bestFit="1" customWidth="1"/>
    <col min="150" max="150" width="13.5703125" style="67" bestFit="1" customWidth="1"/>
    <col min="151" max="151" width="15.28515625" style="67" bestFit="1" customWidth="1"/>
    <col min="152" max="152" width="12.7109375" style="67" bestFit="1" customWidth="1"/>
    <col min="153" max="153" width="14.85546875" style="67" bestFit="1" customWidth="1"/>
    <col min="154" max="154" width="10.28515625" style="67" bestFit="1" customWidth="1"/>
    <col min="155" max="155" width="12.28515625" style="67" bestFit="1" customWidth="1"/>
    <col min="156" max="156" width="14.7109375" style="67" bestFit="1" customWidth="1"/>
    <col min="157" max="157" width="11.7109375" style="67" bestFit="1" customWidth="1"/>
    <col min="158" max="159" width="9.7109375" style="67" bestFit="1" customWidth="1"/>
    <col min="160" max="160" width="9.5703125" style="67" bestFit="1" customWidth="1"/>
    <col min="161" max="161" width="11.28515625" style="67" bestFit="1" customWidth="1"/>
    <col min="162" max="162" width="14.85546875" style="67" bestFit="1" customWidth="1"/>
    <col min="163" max="163" width="11.5703125" style="67" bestFit="1" customWidth="1"/>
    <col min="164" max="164" width="11.42578125" style="67" bestFit="1" customWidth="1"/>
    <col min="165" max="165" width="10.42578125" style="67" bestFit="1" customWidth="1"/>
    <col min="166" max="166" width="9.5703125" style="67" bestFit="1" customWidth="1"/>
    <col min="167" max="167" width="9.28515625" style="67" bestFit="1" customWidth="1"/>
    <col min="168" max="168" width="10.85546875" style="67" bestFit="1" customWidth="1"/>
    <col min="169" max="169" width="19.7109375" style="67" bestFit="1" customWidth="1"/>
    <col min="170" max="170" width="13.28515625" style="67" bestFit="1" customWidth="1"/>
    <col min="171" max="171" width="14.28515625" style="67" bestFit="1" customWidth="1"/>
    <col min="172" max="172" width="18.7109375" style="67" bestFit="1" customWidth="1"/>
    <col min="173" max="173" width="11.140625" style="67" bestFit="1" customWidth="1"/>
    <col min="174" max="174" width="15" style="67" bestFit="1" customWidth="1"/>
    <col min="175" max="175" width="10.28515625" style="67" bestFit="1" customWidth="1"/>
    <col min="176" max="177" width="11.28515625" style="67" bestFit="1" customWidth="1"/>
    <col min="178" max="178" width="9.28515625" style="67" bestFit="1" customWidth="1"/>
    <col min="179" max="179" width="17.85546875" style="67" bestFit="1" customWidth="1"/>
    <col min="180" max="180" width="11.28515625" style="67" bestFit="1" customWidth="1"/>
    <col min="181" max="182" width="9.5703125" style="67" bestFit="1" customWidth="1"/>
    <col min="183" max="183" width="11.28515625" style="67" bestFit="1" customWidth="1"/>
    <col min="184" max="184" width="10.7109375" style="67" bestFit="1" customWidth="1"/>
    <col min="185" max="185" width="9.5703125" style="67" bestFit="1" customWidth="1"/>
    <col min="186" max="186" width="18.28515625" style="67" bestFit="1" customWidth="1"/>
    <col min="187" max="187" width="14.5703125" style="67" bestFit="1" customWidth="1"/>
    <col min="188" max="188" width="21.7109375" style="67" bestFit="1" customWidth="1"/>
    <col min="189" max="189" width="17.7109375" style="67" bestFit="1" customWidth="1"/>
    <col min="190" max="190" width="16.140625" style="67" bestFit="1" customWidth="1"/>
    <col min="191" max="191" width="11" style="67" bestFit="1" customWidth="1"/>
    <col min="192" max="193" width="9.5703125" style="67" bestFit="1" customWidth="1"/>
    <col min="194" max="195" width="11.28515625" style="67" bestFit="1" customWidth="1"/>
    <col min="196" max="196" width="15.7109375" style="67" bestFit="1" customWidth="1"/>
    <col min="197" max="197" width="16.5703125" style="67" bestFit="1" customWidth="1"/>
    <col min="198" max="198" width="11.28515625" style="67" bestFit="1" customWidth="1"/>
    <col min="199" max="199" width="14.28515625" style="67" bestFit="1" customWidth="1"/>
    <col min="200" max="200" width="11.28515625" style="67" bestFit="1" customWidth="1"/>
    <col min="201" max="16384" width="59.28515625" style="67"/>
  </cols>
  <sheetData>
    <row r="1" spans="1:200" ht="15" thickBot="1">
      <c r="A1" s="181" t="s">
        <v>2</v>
      </c>
      <c r="B1" s="18" t="s">
        <v>3</v>
      </c>
      <c r="C1" s="145" t="s">
        <v>4</v>
      </c>
      <c r="D1" s="145" t="s">
        <v>5</v>
      </c>
      <c r="E1" s="145" t="s">
        <v>6</v>
      </c>
      <c r="F1" s="145" t="s">
        <v>7</v>
      </c>
      <c r="G1" s="145" t="s">
        <v>8</v>
      </c>
      <c r="H1" s="145" t="s">
        <v>9</v>
      </c>
      <c r="I1" s="145" t="s">
        <v>10</v>
      </c>
      <c r="J1" s="145" t="s">
        <v>11</v>
      </c>
      <c r="K1" s="145" t="s">
        <v>12</v>
      </c>
      <c r="L1" s="145" t="s">
        <v>13</v>
      </c>
      <c r="M1" s="145" t="s">
        <v>14</v>
      </c>
      <c r="N1" s="145" t="s">
        <v>15</v>
      </c>
      <c r="O1" s="145" t="s">
        <v>16</v>
      </c>
      <c r="P1" s="145" t="s">
        <v>17</v>
      </c>
      <c r="Q1" s="145" t="s">
        <v>18</v>
      </c>
      <c r="R1" s="145" t="s">
        <v>19</v>
      </c>
      <c r="S1" s="145" t="s">
        <v>20</v>
      </c>
      <c r="T1" s="145" t="s">
        <v>21</v>
      </c>
      <c r="U1" s="145" t="s">
        <v>22</v>
      </c>
      <c r="V1" s="145" t="s">
        <v>23</v>
      </c>
      <c r="W1" s="145" t="s">
        <v>24</v>
      </c>
      <c r="X1" s="145" t="s">
        <v>25</v>
      </c>
      <c r="Y1" s="145" t="s">
        <v>26</v>
      </c>
      <c r="Z1" s="145" t="s">
        <v>27</v>
      </c>
      <c r="AA1" s="145" t="s">
        <v>28</v>
      </c>
      <c r="AB1" s="145" t="s">
        <v>29</v>
      </c>
      <c r="AC1" s="152" t="s">
        <v>30</v>
      </c>
      <c r="AD1" s="145" t="s">
        <v>31</v>
      </c>
      <c r="AE1" s="145" t="s">
        <v>32</v>
      </c>
      <c r="AF1" s="145" t="s">
        <v>33</v>
      </c>
      <c r="AG1" s="145" t="s">
        <v>34</v>
      </c>
      <c r="AH1" s="145" t="s">
        <v>35</v>
      </c>
      <c r="AI1" s="145" t="s">
        <v>36</v>
      </c>
      <c r="AJ1" s="145" t="s">
        <v>37</v>
      </c>
      <c r="AK1" s="145" t="s">
        <v>38</v>
      </c>
      <c r="AL1" s="145" t="s">
        <v>39</v>
      </c>
      <c r="AM1" s="145" t="s">
        <v>40</v>
      </c>
      <c r="AN1" s="145" t="s">
        <v>41</v>
      </c>
      <c r="AO1" s="145" t="s">
        <v>42</v>
      </c>
      <c r="AP1" s="145" t="s">
        <v>43</v>
      </c>
      <c r="AQ1" s="145" t="s">
        <v>44</v>
      </c>
      <c r="AR1" s="145" t="s">
        <v>45</v>
      </c>
      <c r="AS1" s="145" t="s">
        <v>46</v>
      </c>
      <c r="AT1" s="145" t="s">
        <v>47</v>
      </c>
      <c r="AU1" s="145" t="s">
        <v>48</v>
      </c>
      <c r="AV1" s="145" t="s">
        <v>49</v>
      </c>
      <c r="AW1" s="145" t="s">
        <v>50</v>
      </c>
      <c r="AX1" s="145" t="s">
        <v>51</v>
      </c>
      <c r="AY1" s="145" t="s">
        <v>52</v>
      </c>
      <c r="AZ1" s="145" t="s">
        <v>53</v>
      </c>
      <c r="BA1" s="145" t="s">
        <v>54</v>
      </c>
      <c r="BB1" s="145" t="s">
        <v>55</v>
      </c>
      <c r="BC1" s="145" t="s">
        <v>56</v>
      </c>
      <c r="BD1" s="145" t="s">
        <v>57</v>
      </c>
      <c r="BE1" s="145" t="s">
        <v>58</v>
      </c>
      <c r="BF1" s="145" t="s">
        <v>59</v>
      </c>
      <c r="BG1" s="145" t="s">
        <v>60</v>
      </c>
      <c r="BH1" s="145" t="s">
        <v>61</v>
      </c>
      <c r="BI1" s="145" t="s">
        <v>62</v>
      </c>
      <c r="BJ1" s="145" t="s">
        <v>63</v>
      </c>
      <c r="BK1" s="145" t="s">
        <v>64</v>
      </c>
      <c r="BL1" s="145" t="s">
        <v>65</v>
      </c>
      <c r="BM1" s="145" t="s">
        <v>66</v>
      </c>
      <c r="BN1" s="145" t="s">
        <v>67</v>
      </c>
      <c r="BO1" s="145" t="s">
        <v>68</v>
      </c>
      <c r="BP1" s="145" t="s">
        <v>69</v>
      </c>
      <c r="BQ1" s="145" t="s">
        <v>70</v>
      </c>
      <c r="BR1" s="145" t="s">
        <v>71</v>
      </c>
      <c r="BS1" s="145" t="s">
        <v>72</v>
      </c>
      <c r="BT1" s="145" t="s">
        <v>73</v>
      </c>
      <c r="BU1" s="145" t="s">
        <v>74</v>
      </c>
      <c r="BV1" s="145" t="s">
        <v>75</v>
      </c>
      <c r="BW1" s="145" t="s">
        <v>76</v>
      </c>
      <c r="BX1" s="145" t="s">
        <v>77</v>
      </c>
      <c r="BY1" s="145" t="s">
        <v>78</v>
      </c>
      <c r="BZ1" s="145" t="s">
        <v>79</v>
      </c>
      <c r="CA1" s="145" t="s">
        <v>80</v>
      </c>
      <c r="CB1" s="145" t="s">
        <v>81</v>
      </c>
      <c r="CC1" s="145" t="s">
        <v>82</v>
      </c>
      <c r="CD1" s="145" t="s">
        <v>83</v>
      </c>
      <c r="CE1" s="145" t="s">
        <v>84</v>
      </c>
      <c r="CF1" s="145" t="s">
        <v>85</v>
      </c>
      <c r="CG1" s="145" t="s">
        <v>86</v>
      </c>
      <c r="CH1" s="145" t="s">
        <v>87</v>
      </c>
      <c r="CI1" s="145" t="s">
        <v>88</v>
      </c>
      <c r="CJ1" s="145" t="s">
        <v>89</v>
      </c>
      <c r="CK1" s="145" t="s">
        <v>90</v>
      </c>
      <c r="CL1" s="145" t="s">
        <v>91</v>
      </c>
      <c r="CM1" s="145" t="s">
        <v>92</v>
      </c>
      <c r="CN1" s="145" t="s">
        <v>93</v>
      </c>
      <c r="CO1" s="145" t="s">
        <v>94</v>
      </c>
      <c r="CP1" s="145" t="s">
        <v>95</v>
      </c>
      <c r="CQ1" s="145" t="s">
        <v>96</v>
      </c>
      <c r="CR1" s="145" t="s">
        <v>97</v>
      </c>
      <c r="CS1" s="145" t="s">
        <v>98</v>
      </c>
      <c r="CT1" s="145" t="s">
        <v>99</v>
      </c>
      <c r="CU1" s="145" t="s">
        <v>100</v>
      </c>
      <c r="CV1" s="145" t="s">
        <v>101</v>
      </c>
      <c r="CW1" s="145" t="s">
        <v>102</v>
      </c>
      <c r="CX1" s="145" t="s">
        <v>103</v>
      </c>
      <c r="CY1" s="145" t="s">
        <v>104</v>
      </c>
      <c r="CZ1" s="145" t="s">
        <v>105</v>
      </c>
      <c r="DA1" s="145" t="s">
        <v>106</v>
      </c>
      <c r="DB1" s="145" t="s">
        <v>107</v>
      </c>
      <c r="DC1" s="145" t="s">
        <v>108</v>
      </c>
      <c r="DD1" s="145" t="s">
        <v>109</v>
      </c>
      <c r="DE1" s="145" t="s">
        <v>110</v>
      </c>
      <c r="DF1" s="145" t="s">
        <v>111</v>
      </c>
      <c r="DG1" s="145" t="s">
        <v>112</v>
      </c>
      <c r="DH1" s="145" t="s">
        <v>113</v>
      </c>
      <c r="DI1" s="145" t="s">
        <v>114</v>
      </c>
      <c r="DJ1" s="145" t="s">
        <v>115</v>
      </c>
      <c r="DK1" s="145" t="s">
        <v>116</v>
      </c>
      <c r="DL1" s="145" t="s">
        <v>117</v>
      </c>
      <c r="DM1" s="145" t="s">
        <v>118</v>
      </c>
      <c r="DN1" s="145" t="s">
        <v>119</v>
      </c>
      <c r="DO1" s="145" t="s">
        <v>120</v>
      </c>
      <c r="DP1" s="145" t="s">
        <v>121</v>
      </c>
      <c r="DQ1" s="145" t="s">
        <v>122</v>
      </c>
      <c r="DR1" s="145" t="s">
        <v>123</v>
      </c>
      <c r="DS1" s="145" t="s">
        <v>124</v>
      </c>
      <c r="DT1" s="145" t="s">
        <v>125</v>
      </c>
      <c r="DU1" s="145" t="s">
        <v>126</v>
      </c>
      <c r="DV1" s="145" t="s">
        <v>127</v>
      </c>
      <c r="DW1" s="145" t="s">
        <v>128</v>
      </c>
      <c r="DX1" s="145" t="s">
        <v>129</v>
      </c>
      <c r="DY1" s="145" t="s">
        <v>130</v>
      </c>
      <c r="DZ1" s="145" t="s">
        <v>131</v>
      </c>
      <c r="EA1" s="145" t="s">
        <v>132</v>
      </c>
      <c r="EB1" s="145" t="s">
        <v>133</v>
      </c>
      <c r="EC1" s="145" t="s">
        <v>134</v>
      </c>
      <c r="ED1" s="145" t="s">
        <v>135</v>
      </c>
      <c r="EE1" s="145" t="s">
        <v>136</v>
      </c>
      <c r="EF1" s="145" t="s">
        <v>137</v>
      </c>
      <c r="EG1" s="145" t="s">
        <v>138</v>
      </c>
      <c r="EH1" s="145" t="s">
        <v>139</v>
      </c>
      <c r="EI1" s="145" t="s">
        <v>140</v>
      </c>
      <c r="EJ1" s="145" t="s">
        <v>141</v>
      </c>
      <c r="EK1" s="145" t="s">
        <v>142</v>
      </c>
      <c r="EL1" s="145" t="s">
        <v>143</v>
      </c>
      <c r="EM1" s="145" t="s">
        <v>144</v>
      </c>
      <c r="EN1" s="145" t="s">
        <v>145</v>
      </c>
      <c r="EO1" s="145" t="s">
        <v>146</v>
      </c>
      <c r="EP1" s="145" t="s">
        <v>147</v>
      </c>
      <c r="EQ1" s="145" t="s">
        <v>148</v>
      </c>
      <c r="ER1" s="145" t="s">
        <v>149</v>
      </c>
      <c r="ES1" s="145" t="s">
        <v>150</v>
      </c>
      <c r="ET1" s="145" t="s">
        <v>151</v>
      </c>
      <c r="EU1" s="145" t="s">
        <v>152</v>
      </c>
      <c r="EV1" s="145" t="s">
        <v>153</v>
      </c>
      <c r="EW1" s="145" t="s">
        <v>154</v>
      </c>
      <c r="EX1" s="145" t="s">
        <v>155</v>
      </c>
      <c r="EY1" s="145" t="s">
        <v>156</v>
      </c>
      <c r="EZ1" s="145" t="s">
        <v>157</v>
      </c>
      <c r="FA1" s="145" t="s">
        <v>158</v>
      </c>
      <c r="FB1" s="145" t="s">
        <v>159</v>
      </c>
      <c r="FC1" s="145" t="s">
        <v>160</v>
      </c>
      <c r="FD1" s="145" t="s">
        <v>161</v>
      </c>
      <c r="FE1" s="145" t="s">
        <v>162</v>
      </c>
      <c r="FF1" s="145" t="s">
        <v>163</v>
      </c>
      <c r="FG1" s="145" t="s">
        <v>164</v>
      </c>
      <c r="FH1" s="145" t="s">
        <v>165</v>
      </c>
      <c r="FI1" s="145" t="s">
        <v>166</v>
      </c>
      <c r="FJ1" s="145" t="s">
        <v>167</v>
      </c>
      <c r="FK1" s="145" t="s">
        <v>168</v>
      </c>
      <c r="FL1" s="145" t="s">
        <v>169</v>
      </c>
      <c r="FM1" s="145" t="s">
        <v>170</v>
      </c>
      <c r="FN1" s="145" t="s">
        <v>171</v>
      </c>
      <c r="FO1" s="145" t="s">
        <v>172</v>
      </c>
      <c r="FP1" s="145" t="s">
        <v>173</v>
      </c>
      <c r="FQ1" s="145" t="s">
        <v>174</v>
      </c>
      <c r="FR1" s="145" t="s">
        <v>175</v>
      </c>
      <c r="FS1" s="145" t="s">
        <v>176</v>
      </c>
      <c r="FT1" s="145" t="s">
        <v>177</v>
      </c>
      <c r="FU1" s="145" t="s">
        <v>178</v>
      </c>
      <c r="FV1" s="145" t="s">
        <v>179</v>
      </c>
      <c r="FW1" s="145" t="s">
        <v>180</v>
      </c>
      <c r="FX1" s="145" t="s">
        <v>181</v>
      </c>
      <c r="FY1" s="145" t="s">
        <v>182</v>
      </c>
      <c r="FZ1" s="145" t="s">
        <v>183</v>
      </c>
      <c r="GA1" s="145" t="s">
        <v>184</v>
      </c>
      <c r="GB1" s="145" t="s">
        <v>185</v>
      </c>
      <c r="GC1" s="145" t="s">
        <v>186</v>
      </c>
      <c r="GD1" s="145" t="s">
        <v>187</v>
      </c>
      <c r="GE1" s="145" t="s">
        <v>188</v>
      </c>
      <c r="GF1" s="145" t="s">
        <v>189</v>
      </c>
      <c r="GG1" s="145" t="s">
        <v>190</v>
      </c>
      <c r="GH1" s="145" t="s">
        <v>191</v>
      </c>
      <c r="GI1" s="145" t="s">
        <v>192</v>
      </c>
      <c r="GJ1" s="145" t="s">
        <v>193</v>
      </c>
      <c r="GK1" s="145" t="s">
        <v>194</v>
      </c>
      <c r="GL1" s="145" t="s">
        <v>195</v>
      </c>
      <c r="GM1" s="145" t="s">
        <v>196</v>
      </c>
      <c r="GN1" s="145" t="s">
        <v>197</v>
      </c>
      <c r="GO1" s="145" t="s">
        <v>198</v>
      </c>
      <c r="GP1" s="145" t="s">
        <v>199</v>
      </c>
      <c r="GQ1" s="145" t="s">
        <v>200</v>
      </c>
      <c r="GR1" s="145" t="s">
        <v>201</v>
      </c>
    </row>
    <row r="2" spans="1:200" ht="16.149999999999999" thickBot="1">
      <c r="A2" s="182" t="s">
        <v>1</v>
      </c>
      <c r="B2" s="180">
        <f>SUM(C2:GR2)</f>
        <v>174456.59999999998</v>
      </c>
      <c r="C2" s="22">
        <f>IFERROR(HLOOKUP(C1,Index!C1:GR12,11,0),0)</f>
        <v>4391.5</v>
      </c>
      <c r="D2" s="22">
        <f>IFERROR(HLOOKUP(D1,Index!D1:GS12,11,0),0)</f>
        <v>4556.8500000000004</v>
      </c>
      <c r="E2" s="22">
        <f>IFERROR(HLOOKUP(E1,Index!E1:GT12,11,0),0)</f>
        <v>8</v>
      </c>
      <c r="F2" s="22">
        <f>IFERROR(HLOOKUP(F1,Index!F1:GU12,11,0),0)</f>
        <v>3530.15</v>
      </c>
      <c r="G2" s="22">
        <f>IFERROR(HLOOKUP(G1,Index!G1:GV12,11,0),0)</f>
        <v>318.5</v>
      </c>
      <c r="H2" s="22">
        <f>IFERROR(HLOOKUP(H1,Index!H1:GW12,11,0),0)</f>
        <v>1191.25</v>
      </c>
      <c r="I2" s="22">
        <f>IFERROR(HLOOKUP(I1,Index!I1:GX12,11,0),0)</f>
        <v>3313.25</v>
      </c>
      <c r="J2" s="22">
        <f>IFERROR(HLOOKUP(J1,Index!J1:GY12,11,0),0)</f>
        <v>10.5</v>
      </c>
      <c r="K2" s="22">
        <f>IFERROR(HLOOKUP(K1,Index!K1:GZ12,11,0),0)</f>
        <v>0</v>
      </c>
      <c r="L2" s="22">
        <f>IFERROR(HLOOKUP(L1,Index!L1:HA12,11,0),0)</f>
        <v>396</v>
      </c>
      <c r="M2" s="22">
        <f>IFERROR(HLOOKUP(M1,Index!M1:HB12,11,0),0)</f>
        <v>510.15</v>
      </c>
      <c r="N2" s="22">
        <f>IFERROR(HLOOKUP(N1,Index!N1:HC12,11,0),0)</f>
        <v>436.8</v>
      </c>
      <c r="O2" s="22">
        <f>IFERROR(HLOOKUP(O1,Index!O1:HD12,11,0),0)</f>
        <v>1247</v>
      </c>
      <c r="P2" s="22">
        <f>IFERROR(HLOOKUP(P1,Index!P1:HE12,11,0),0)</f>
        <v>333.5</v>
      </c>
      <c r="Q2" s="22">
        <f>IFERROR(HLOOKUP(Q1,Index!Q1:HF12,11,0),0)</f>
        <v>1059</v>
      </c>
      <c r="R2" s="22">
        <f>IFERROR(HLOOKUP(R1,Index!R1:HG12,11,0),0)</f>
        <v>695.8</v>
      </c>
      <c r="S2" s="22">
        <f>IFERROR(HLOOKUP(S1,Index!S1:HH12,11,0),0)</f>
        <v>2099.4500000000003</v>
      </c>
      <c r="T2" s="22">
        <f>IFERROR(HLOOKUP(T1,Index!T1:HI12,11,0),0)</f>
        <v>328</v>
      </c>
      <c r="U2" s="22">
        <f>IFERROR(HLOOKUP(U1,Index!U1:HJ12,11,0),0)</f>
        <v>150</v>
      </c>
      <c r="V2" s="22">
        <f>IFERROR(HLOOKUP(V1,Index!V1:HK12,11,0),0)</f>
        <v>775.75</v>
      </c>
      <c r="W2" s="22">
        <f>IFERROR(HLOOKUP(W1,Index!W1:HL12,11,0),0)</f>
        <v>1</v>
      </c>
      <c r="X2" s="22">
        <f>IFERROR(HLOOKUP(X1,Index!X1:HM12,11,0),0)</f>
        <v>2256.25</v>
      </c>
      <c r="Y2" s="22">
        <f>IFERROR(HLOOKUP(Y1,Index!Y1:HN12,11,0),0)</f>
        <v>529.1</v>
      </c>
      <c r="Z2" s="22">
        <f>IFERROR(HLOOKUP(Z1,Index!Z1:HO12,11,0),0)</f>
        <v>201.5</v>
      </c>
      <c r="AA2" s="22">
        <f>IFERROR(HLOOKUP(AA1,Index!AA1:HP12,11,0),0)</f>
        <v>248.5</v>
      </c>
      <c r="AB2" s="22">
        <f>IFERROR(HLOOKUP(AB1,Index!AB1:HQ12,11,0),0)</f>
        <v>17.5</v>
      </c>
      <c r="AC2" s="22">
        <f>IFERROR(HLOOKUP(AC1,Index!AC1:HR12,11,0),0)</f>
        <v>731.15000000000009</v>
      </c>
      <c r="AD2" s="22">
        <f>IFERROR(HLOOKUP(AD1,Index!AD1:HS12,11,0),0)</f>
        <v>433.2</v>
      </c>
      <c r="AE2" s="22">
        <f>IFERROR(HLOOKUP(AE1,Index!AE1:HT12,11,0),0)</f>
        <v>12.5</v>
      </c>
      <c r="AF2" s="22">
        <f>IFERROR(HLOOKUP(AF1,Index!AF1:HU12,11,0),0)</f>
        <v>396.5</v>
      </c>
      <c r="AG2" s="22">
        <f>IFERROR(HLOOKUP(AG1,Index!AG1:HV12,11,0),0)</f>
        <v>133.35</v>
      </c>
      <c r="AH2" s="22">
        <f>IFERROR(HLOOKUP(AH1,Index!AH1:HW12,11,0),0)</f>
        <v>1286.75</v>
      </c>
      <c r="AI2" s="22">
        <f>IFERROR(HLOOKUP(AI1,Index!AI1:HX12,11,0),0)</f>
        <v>2050</v>
      </c>
      <c r="AJ2" s="22">
        <f>IFERROR(HLOOKUP(AJ1,Index!AJ1:HY12,11,0),0)</f>
        <v>455.6</v>
      </c>
      <c r="AK2" s="22">
        <f>IFERROR(HLOOKUP(AK1,Index!AK1:HZ12,11,0),0)</f>
        <v>585.25</v>
      </c>
      <c r="AL2" s="22">
        <f>IFERROR(HLOOKUP(AL1,Index!AL1:IA12,11,0),0)</f>
        <v>2063.25</v>
      </c>
      <c r="AM2" s="22">
        <f>IFERROR(HLOOKUP(AM1,Index!AM1:IB12,11,0),0)</f>
        <v>209.25</v>
      </c>
      <c r="AN2" s="22">
        <f>IFERROR(HLOOKUP(AN1,Index!AN1:IC12,11,0),0)</f>
        <v>21.450000000000003</v>
      </c>
      <c r="AO2" s="22">
        <f>IFERROR(HLOOKUP(AO1,Index!AO1:ID12,11,0),0)</f>
        <v>146.5</v>
      </c>
      <c r="AP2" s="22">
        <f>IFERROR(HLOOKUP(AP1,Index!AP1:IE12,11,0),0)</f>
        <v>53</v>
      </c>
      <c r="AQ2" s="22">
        <f>IFERROR(HLOOKUP(AQ1,Index!AQ1:IF12,11,0),0)</f>
        <v>962.5</v>
      </c>
      <c r="AR2" s="22">
        <f>IFERROR(HLOOKUP(AR1,Index!AR1:IG12,11,0),0)</f>
        <v>514.25</v>
      </c>
      <c r="AS2" s="22">
        <f>IFERROR(HLOOKUP(AS1,Index!AS1:IH12,11,0),0)</f>
        <v>848.25</v>
      </c>
      <c r="AT2" s="22">
        <f>IFERROR(HLOOKUP(AT1,Index!AT1:II12,11,0),0)</f>
        <v>111.15</v>
      </c>
      <c r="AU2" s="22">
        <f>IFERROR(HLOOKUP(AU1,Index!AU1:IJ12,11,0),0)</f>
        <v>46.8</v>
      </c>
      <c r="AV2" s="22">
        <f>IFERROR(HLOOKUP(AV1,Index!AV1:IK12,11,0),0)</f>
        <v>536.9</v>
      </c>
      <c r="AW2" s="22">
        <f>IFERROR(HLOOKUP(AW1,Index!AW1:IL12,11,0),0)</f>
        <v>750.15000000000009</v>
      </c>
      <c r="AX2" s="22">
        <f>IFERROR(HLOOKUP(AX1,Index!AX1:IM12,11,0),0)</f>
        <v>37.700000000000003</v>
      </c>
      <c r="AY2" s="22">
        <f>IFERROR(HLOOKUP(AY1,Index!AY1:IN12,11,0),0)</f>
        <v>126</v>
      </c>
      <c r="AZ2" s="22">
        <f>IFERROR(HLOOKUP(AZ1,Index!AZ1:IO12,11,0),0)</f>
        <v>893.1</v>
      </c>
      <c r="BA2" s="22">
        <f>IFERROR(HLOOKUP(BA1,Index!BA1:IP12,11,0),0)</f>
        <v>785.25</v>
      </c>
      <c r="BB2" s="22">
        <f>IFERROR(HLOOKUP(BB1,Index!BB1:IQ12,11,0),0)</f>
        <v>2489.35</v>
      </c>
      <c r="BC2" s="22">
        <f>IFERROR(HLOOKUP(BC1,Index!BC1:IR12,11,0),0)</f>
        <v>1355.6</v>
      </c>
      <c r="BD2" s="22">
        <f>IFERROR(HLOOKUP(BD1,Index!BD1:IS12,11,0),0)</f>
        <v>420.1</v>
      </c>
      <c r="BE2" s="22">
        <f>IFERROR(HLOOKUP(BE1,Index!BE1:IT12,11,0),0)</f>
        <v>477</v>
      </c>
      <c r="BF2" s="22">
        <f>IFERROR(HLOOKUP(BF1,Index!BF1:IU12,11,0),0)</f>
        <v>358</v>
      </c>
      <c r="BG2" s="22">
        <f>IFERROR(HLOOKUP(BG1,Index!BG1:IV12,11,0),0)</f>
        <v>66.95</v>
      </c>
      <c r="BH2" s="22">
        <f>IFERROR(HLOOKUP(BH1,Index!BH1:IW12,11,0),0)</f>
        <v>661.75</v>
      </c>
      <c r="BI2" s="22">
        <f>IFERROR(HLOOKUP(BI1,Index!BI1:IX12,11,0),0)</f>
        <v>182.5</v>
      </c>
      <c r="BJ2" s="22">
        <f>IFERROR(HLOOKUP(BJ1,Index!BJ1:IY12,11,0),0)</f>
        <v>2</v>
      </c>
      <c r="BK2" s="22">
        <f>IFERROR(HLOOKUP(BK1,Index!BK1:IZ12,11,0),0)</f>
        <v>404</v>
      </c>
      <c r="BL2" s="22">
        <f>IFERROR(HLOOKUP(BL1,Index!BL1:JA12,11,0),0)</f>
        <v>5</v>
      </c>
      <c r="BM2" s="22">
        <f>IFERROR(HLOOKUP(BM1,Index!BM1:JB12,11,0),0)</f>
        <v>1251.55</v>
      </c>
      <c r="BN2" s="22">
        <f>IFERROR(HLOOKUP(BN1,Index!BN1:JC12,11,0),0)</f>
        <v>259</v>
      </c>
      <c r="BO2" s="22">
        <f>IFERROR(HLOOKUP(BO1,Index!BO1:JD12,11,0),0)</f>
        <v>167</v>
      </c>
      <c r="BP2" s="22">
        <f>IFERROR(HLOOKUP(BP1,Index!BP1:JE12,11,0),0)</f>
        <v>746.5</v>
      </c>
      <c r="BQ2" s="22">
        <f>IFERROR(HLOOKUP(BQ1,Index!BQ1:JF12,11,0),0)</f>
        <v>0</v>
      </c>
      <c r="BR2" s="22">
        <f>IFERROR(HLOOKUP(BR1,Index!BR1:JG12,11,0),0)</f>
        <v>221</v>
      </c>
      <c r="BS2" s="22">
        <f>IFERROR(HLOOKUP(BS1,Index!BS1:JH12,11,0),0)</f>
        <v>0</v>
      </c>
      <c r="BT2" s="22">
        <f>IFERROR(HLOOKUP(BT1,Index!BT1:JI12,11,0),0)</f>
        <v>592.5</v>
      </c>
      <c r="BU2" s="22">
        <f>IFERROR(HLOOKUP(BU1,Index!BU1:JJ12,11,0),0)</f>
        <v>300.75</v>
      </c>
      <c r="BV2" s="22">
        <f>IFERROR(HLOOKUP(BV1,Index!BV1:JK12,11,0),0)</f>
        <v>448.5</v>
      </c>
      <c r="BW2" s="22">
        <f>IFERROR(HLOOKUP(BW1,Index!BW1:JL12,11,0),0)</f>
        <v>500.25</v>
      </c>
      <c r="BX2" s="22">
        <f>IFERROR(HLOOKUP(BX1,Index!BX1:JM12,11,0),0)</f>
        <v>2</v>
      </c>
      <c r="BY2" s="22">
        <f>IFERROR(HLOOKUP(BY1,Index!BY1:JN12,11,0),0)</f>
        <v>1842.7</v>
      </c>
      <c r="BZ2" s="22">
        <f>IFERROR(HLOOKUP(BZ1,Index!BZ1:JO12,11,0),0)</f>
        <v>496.5</v>
      </c>
      <c r="CA2" s="22">
        <f>IFERROR(HLOOKUP(CA1,Index!CA1:JP12,11,0),0)</f>
        <v>884</v>
      </c>
      <c r="CB2" s="22">
        <f>IFERROR(HLOOKUP(CB1,Index!CB1:JQ12,11,0),0)</f>
        <v>312.64999999999998</v>
      </c>
      <c r="CC2" s="22">
        <f>IFERROR(HLOOKUP(CC1,Index!CC1:JR12,11,0),0)</f>
        <v>4527.4000000000005</v>
      </c>
      <c r="CD2" s="22">
        <f>IFERROR(HLOOKUP(CD1,Index!CD1:JS12,11,0),0)</f>
        <v>806</v>
      </c>
      <c r="CE2" s="22">
        <f>IFERROR(HLOOKUP(CE1,Index!CE1:JT12,11,0),0)</f>
        <v>110.5</v>
      </c>
      <c r="CF2" s="22">
        <f>IFERROR(HLOOKUP(CF1,Index!CF1:JU12,11,0),0)</f>
        <v>2.5</v>
      </c>
      <c r="CG2" s="22">
        <f>IFERROR(HLOOKUP(CG1,Index!CG1:JV12,11,0),0)</f>
        <v>627.25</v>
      </c>
      <c r="CH2" s="22">
        <f>IFERROR(HLOOKUP(CH1,Index!CH1:JW12,11,0),0)</f>
        <v>1518</v>
      </c>
      <c r="CI2" s="22">
        <f>IFERROR(HLOOKUP(CI1,Index!CI1:JX12,11,0),0)</f>
        <v>2084.5</v>
      </c>
      <c r="CJ2" s="22">
        <f>IFERROR(HLOOKUP(CJ1,Index!CJ1:JY12,11,0),0)</f>
        <v>15</v>
      </c>
      <c r="CK2" s="22">
        <f>IFERROR(HLOOKUP(CK1,Index!CK1:JZ12,11,0),0)</f>
        <v>1391.75</v>
      </c>
      <c r="CL2" s="22">
        <f>IFERROR(HLOOKUP(CL1,Index!CL1:KA12,11,0),0)</f>
        <v>6346</v>
      </c>
      <c r="CM2" s="22">
        <f>IFERROR(HLOOKUP(CM1,Index!CM1:KB12,11,0),0)</f>
        <v>754.9</v>
      </c>
      <c r="CN2" s="22">
        <f>IFERROR(HLOOKUP(CN1,Index!CN1:KC12,11,0),0)</f>
        <v>172.1</v>
      </c>
      <c r="CO2" s="22">
        <f>IFERROR(HLOOKUP(CO1,Index!CO1:KD12,11,0),0)</f>
        <v>1490.75</v>
      </c>
      <c r="CP2" s="22">
        <f>IFERROR(HLOOKUP(CP1,Index!CP1:KE12,11,0),0)</f>
        <v>1290</v>
      </c>
      <c r="CQ2" s="22">
        <f>IFERROR(HLOOKUP(CQ1,Index!CQ1:KF12,11,0),0)</f>
        <v>3902.75</v>
      </c>
      <c r="CR2" s="22">
        <f>IFERROR(HLOOKUP(CR1,Index!CR1:KG12,11,0),0)</f>
        <v>69.55</v>
      </c>
      <c r="CS2" s="22">
        <f>IFERROR(HLOOKUP(CS1,Index!CS1:KH12,11,0),0)</f>
        <v>461.4</v>
      </c>
      <c r="CT2" s="22">
        <f>IFERROR(HLOOKUP(CT1,Index!CT1:KI12,11,0),0)</f>
        <v>1512.25</v>
      </c>
      <c r="CU2" s="22">
        <f>IFERROR(HLOOKUP(CU1,Index!CU1:KJ12,11,0),0)</f>
        <v>650.85</v>
      </c>
      <c r="CV2" s="22">
        <f>IFERROR(HLOOKUP(CV1,Index!CV1:KK12,11,0),0)</f>
        <v>5</v>
      </c>
      <c r="CW2" s="22">
        <f>IFERROR(HLOOKUP(CW1,Index!CW1:KL12,11,0),0)</f>
        <v>0</v>
      </c>
      <c r="CX2" s="22">
        <f>IFERROR(HLOOKUP(CX1,Index!CX1:KM12,11,0),0)</f>
        <v>2231.9</v>
      </c>
      <c r="CY2" s="22">
        <f>IFERROR(HLOOKUP(CY1,Index!CY1:KN12,11,0),0)</f>
        <v>968.55</v>
      </c>
      <c r="CZ2" s="22">
        <f>IFERROR(HLOOKUP(CZ1,Index!CZ1:KO12,11,0),0)</f>
        <v>484.90000000000003</v>
      </c>
      <c r="DA2" s="22">
        <f>IFERROR(HLOOKUP(DA1,Index!DA1:KP12,11,0),0)</f>
        <v>3752.75</v>
      </c>
      <c r="DB2" s="22">
        <f>IFERROR(HLOOKUP(DB1,Index!DB1:KQ12,11,0),0)</f>
        <v>2.5</v>
      </c>
      <c r="DC2" s="22">
        <f>IFERROR(HLOOKUP(DC1,Index!DC1:KR12,11,0),0)</f>
        <v>1139.9000000000001</v>
      </c>
      <c r="DD2" s="22">
        <f>IFERROR(HLOOKUP(DD1,Index!DD1:KS12,11,0),0)</f>
        <v>1858.25</v>
      </c>
      <c r="DE2" s="22">
        <f>IFERROR(HLOOKUP(DE1,Index!DE1:KT12,11,0),0)</f>
        <v>22.5</v>
      </c>
      <c r="DF2" s="22">
        <f>IFERROR(HLOOKUP(DF1,Index!DF1:KU12,11,0),0)</f>
        <v>270.5</v>
      </c>
      <c r="DG2" s="22">
        <f>IFERROR(HLOOKUP(DG1,Index!DG1:KV12,11,0),0)</f>
        <v>123</v>
      </c>
      <c r="DH2" s="22">
        <f>IFERROR(HLOOKUP(DH1,Index!DH1:KW12,11,0),0)</f>
        <v>909.5</v>
      </c>
      <c r="DI2" s="22">
        <f>IFERROR(HLOOKUP(DI1,Index!DI1:KX12,11,0),0)</f>
        <v>7</v>
      </c>
      <c r="DJ2" s="22">
        <f>IFERROR(HLOOKUP(DJ1,Index!DJ1:KY12,11,0),0)</f>
        <v>2257.3999999999996</v>
      </c>
      <c r="DK2" s="22">
        <f>IFERROR(HLOOKUP(DK1,Index!DK1:KZ12,11,0),0)</f>
        <v>164.45000000000002</v>
      </c>
      <c r="DL2" s="22">
        <f>IFERROR(HLOOKUP(DL1,Index!DL1:LA12,11,0),0)</f>
        <v>801.75</v>
      </c>
      <c r="DM2" s="22">
        <f>IFERROR(HLOOKUP(DM1,Index!DM1:LB12,11,0),0)</f>
        <v>1167.05</v>
      </c>
      <c r="DN2" s="22">
        <f>IFERROR(HLOOKUP(DN1,Index!DN1:LC12,11,0),0)</f>
        <v>262.10000000000002</v>
      </c>
      <c r="DO2" s="22">
        <f>IFERROR(HLOOKUP(DO1,Index!DO1:LD12,11,0),0)</f>
        <v>355.2</v>
      </c>
      <c r="DP2" s="22">
        <f>IFERROR(HLOOKUP(DP1,Index!DP1:LE12,11,0),0)</f>
        <v>346</v>
      </c>
      <c r="DQ2" s="22">
        <f>IFERROR(HLOOKUP(DQ1,Index!DQ1:LF12,11,0),0)</f>
        <v>634.5</v>
      </c>
      <c r="DR2" s="22">
        <f>IFERROR(HLOOKUP(DR1,Index!DR1:LG12,11,0),0)</f>
        <v>635.70000000000005</v>
      </c>
      <c r="DS2" s="22">
        <f>IFERROR(HLOOKUP(DS1,Index!DS1:LH12,11,0),0)</f>
        <v>534</v>
      </c>
      <c r="DT2" s="22">
        <f>IFERROR(HLOOKUP(DT1,Index!DT1:LI12,11,0),0)</f>
        <v>250.25</v>
      </c>
      <c r="DU2" s="22">
        <f>IFERROR(HLOOKUP(DU1,Index!DU1:LJ12,11,0),0)</f>
        <v>6</v>
      </c>
      <c r="DV2" s="22">
        <f>IFERROR(HLOOKUP(DV1,Index!DV1:LK12,11,0),0)</f>
        <v>7</v>
      </c>
      <c r="DW2" s="22">
        <f>IFERROR(HLOOKUP(DW1,Index!DW1:LL12,11,0),0)</f>
        <v>6892.55</v>
      </c>
      <c r="DX2" s="22">
        <f>IFERROR(HLOOKUP(DX1,Index!DX1:LM12,11,0),0)</f>
        <v>1256.0999999999999</v>
      </c>
      <c r="DY2" s="22">
        <f>IFERROR(HLOOKUP(DY1,Index!DY1:LN12,11,0),0)</f>
        <v>1401.55</v>
      </c>
      <c r="DZ2" s="22">
        <f>IFERROR(HLOOKUP(DZ1,Index!DZ1:LO12,11,0),0)</f>
        <v>3</v>
      </c>
      <c r="EA2" s="22">
        <f>IFERROR(HLOOKUP(EA1,Index!EA1:LP12,11,0),0)</f>
        <v>534.15</v>
      </c>
      <c r="EB2" s="22">
        <f>IFERROR(HLOOKUP(EB1,Index!EB1:LQ12,11,0),0)</f>
        <v>112.5</v>
      </c>
      <c r="EC2" s="22">
        <f>IFERROR(HLOOKUP(EC1,Index!EC1:LR12,11,0),0)</f>
        <v>1220.5</v>
      </c>
      <c r="ED2" s="22">
        <f>IFERROR(HLOOKUP(ED1,Index!ED1:LS12,11,0),0)</f>
        <v>422</v>
      </c>
      <c r="EE2" s="22">
        <f>IFERROR(HLOOKUP(EE1,Index!EE1:LT12,11,0),0)</f>
        <v>544.5</v>
      </c>
      <c r="EF2" s="22">
        <f>IFERROR(HLOOKUP(EF1,Index!EF1:LU12,11,0),0)</f>
        <v>39</v>
      </c>
      <c r="EG2" s="22">
        <f>IFERROR(HLOOKUP(EG1,Index!EG1:LV12,11,0),0)</f>
        <v>643.54999999999995</v>
      </c>
      <c r="EH2" s="22">
        <f>IFERROR(HLOOKUP(EH1,Index!EH1:LW12,11,0),0)</f>
        <v>509.5</v>
      </c>
      <c r="EI2" s="22">
        <f>IFERROR(HLOOKUP(EI1,Index!EI1:LX12,11,0),0)</f>
        <v>419.25</v>
      </c>
      <c r="EJ2" s="22">
        <f>IFERROR(HLOOKUP(EJ1,Index!EJ1:LY12,11,0),0)</f>
        <v>947</v>
      </c>
      <c r="EK2" s="22">
        <f>IFERROR(HLOOKUP(EK1,Index!EK1:LZ12,11,0),0)</f>
        <v>383.5</v>
      </c>
      <c r="EL2" s="22">
        <f>IFERROR(HLOOKUP(EL1,Index!EL1:MA12,11,0),0)</f>
        <v>347</v>
      </c>
      <c r="EM2" s="22">
        <f>IFERROR(HLOOKUP(EM1,Index!EM1:MB12,11,0),0)</f>
        <v>619</v>
      </c>
      <c r="EN2" s="22">
        <f>IFERROR(HLOOKUP(EN1,Index!EN1:MC12,11,0),0)</f>
        <v>473.85</v>
      </c>
      <c r="EO2" s="22">
        <f>IFERROR(HLOOKUP(EO1,Index!EO1:MD12,11,0),0)</f>
        <v>186</v>
      </c>
      <c r="EP2" s="22">
        <f>IFERROR(HLOOKUP(EP1,Index!EP1:ME12,11,0),0)</f>
        <v>118</v>
      </c>
      <c r="EQ2" s="22">
        <f>IFERROR(HLOOKUP(EQ1,Index!EQ1:MF12,11,0),0)</f>
        <v>252.85000000000002</v>
      </c>
      <c r="ER2" s="22">
        <f>IFERROR(HLOOKUP(ER1,Index!ER1:MG12,11,0),0)</f>
        <v>118</v>
      </c>
      <c r="ES2" s="22">
        <f>IFERROR(HLOOKUP(ES1,Index!ES1:MH12,11,0),0)</f>
        <v>1437.25</v>
      </c>
      <c r="ET2" s="22">
        <f>IFERROR(HLOOKUP(ET1,Index!ET1:MI12,11,0),0)</f>
        <v>885.3</v>
      </c>
      <c r="EU2" s="22">
        <f>IFERROR(HLOOKUP(EU1,Index!EU1:MJ12,11,0),0)</f>
        <v>932.6</v>
      </c>
      <c r="EV2" s="22">
        <f>IFERROR(HLOOKUP(EV1,Index!EV1:MK12,11,0),0)</f>
        <v>352.05</v>
      </c>
      <c r="EW2" s="22">
        <f>IFERROR(HLOOKUP(EW1,Index!EW1:ML12,11,0),0)</f>
        <v>344.5</v>
      </c>
      <c r="EX2" s="22">
        <f>IFERROR(HLOOKUP(EX1,Index!EX1:MM12,11,0),0)</f>
        <v>732.45</v>
      </c>
      <c r="EY2" s="22">
        <f>IFERROR(HLOOKUP(EY1,Index!EY1:MN12,11,0),0)</f>
        <v>165.10000000000002</v>
      </c>
      <c r="EZ2" s="22">
        <f>IFERROR(HLOOKUP(EZ1,Index!EZ1:MO12,11,0),0)</f>
        <v>719.5</v>
      </c>
      <c r="FA2" s="22">
        <f>IFERROR(HLOOKUP(FA1,Index!FA1:MP12,11,0),0)</f>
        <v>1493.7</v>
      </c>
      <c r="FB2" s="22">
        <f>IFERROR(HLOOKUP(FB1,Index!FB1:MQ12,11,0),0)</f>
        <v>0</v>
      </c>
      <c r="FC2" s="22">
        <f>IFERROR(HLOOKUP(FC1,Index!FC1:MR12,11,0),0)</f>
        <v>141.19999999999999</v>
      </c>
      <c r="FD2" s="22">
        <f>IFERROR(HLOOKUP(FD1,Index!FD1:MS12,11,0),0)</f>
        <v>385.75</v>
      </c>
      <c r="FE2" s="22">
        <f>IFERROR(HLOOKUP(FE1,Index!FE1:MT12,11,0),0)</f>
        <v>2163.75</v>
      </c>
      <c r="FF2" s="22">
        <f>IFERROR(HLOOKUP(FF1,Index!FF1:MU12,11,0),0)</f>
        <v>6.5</v>
      </c>
      <c r="FG2" s="22">
        <f>IFERROR(HLOOKUP(FG1,Index!FG1:MV12,11,0),0)</f>
        <v>2704</v>
      </c>
      <c r="FH2" s="22">
        <f>IFERROR(HLOOKUP(FH1,Index!FH1:MW12,11,0),0)</f>
        <v>229</v>
      </c>
      <c r="FI2" s="22">
        <f>IFERROR(HLOOKUP(FI1,Index!FI1:MX12,11,0),0)</f>
        <v>13</v>
      </c>
      <c r="FJ2" s="22">
        <f>IFERROR(HLOOKUP(FJ1,Index!FJ1:MY12,11,0),0)</f>
        <v>334.5</v>
      </c>
      <c r="FK2" s="22">
        <f>IFERROR(HLOOKUP(FK1,Index!FK1:MZ12,11,0),0)</f>
        <v>4.5</v>
      </c>
      <c r="FL2" s="22">
        <f>IFERROR(HLOOKUP(FL1,Index!FL1:NA12,11,0),0)</f>
        <v>562.75</v>
      </c>
      <c r="FM2" s="22">
        <f>IFERROR(HLOOKUP(FM1,Index!FM1:NB12,11,0),0)</f>
        <v>1846.5</v>
      </c>
      <c r="FN2" s="22">
        <f>IFERROR(HLOOKUP(FN1,Index!FN1:NC12,11,0),0)</f>
        <v>751.15</v>
      </c>
      <c r="FO2" s="22">
        <f>IFERROR(HLOOKUP(FO1,Index!FO1:ND12,11,0),0)</f>
        <v>441</v>
      </c>
      <c r="FP2" s="22">
        <f>IFERROR(HLOOKUP(FP1,Index!FP1:NE12,11,0),0)</f>
        <v>1063.4000000000001</v>
      </c>
      <c r="FQ2" s="22">
        <f>IFERROR(HLOOKUP(FQ1,Index!FQ1:NF12,11,0),0)</f>
        <v>142</v>
      </c>
      <c r="FR2" s="22">
        <f>IFERROR(HLOOKUP(FR1,Index!FR1:NG12,11,0),0)</f>
        <v>1193.2</v>
      </c>
      <c r="FS2" s="22">
        <f>IFERROR(HLOOKUP(FS1,Index!FS1:NH12,11,0),0)</f>
        <v>510.25</v>
      </c>
      <c r="FT2" s="22">
        <f>IFERROR(HLOOKUP(FT1,Index!FT1:NI12,11,0),0)</f>
        <v>3836</v>
      </c>
      <c r="FU2" s="22">
        <f>IFERROR(HLOOKUP(FU1,Index!FU1:NJ12,11,0),0)</f>
        <v>1479.25</v>
      </c>
      <c r="FV2" s="22">
        <f>IFERROR(HLOOKUP(FV1,Index!FV1:NK12,11,0),0)</f>
        <v>2.5</v>
      </c>
      <c r="FW2" s="22">
        <f>IFERROR(HLOOKUP(FW1,Index!FW1:NL12,11,0),0)</f>
        <v>14.5</v>
      </c>
      <c r="FX2" s="22">
        <f>IFERROR(HLOOKUP(FX1,Index!FX1:NM12,11,0),0)</f>
        <v>4973</v>
      </c>
      <c r="FY2" s="22">
        <f>IFERROR(HLOOKUP(FY1,Index!FY1:NN12,11,0),0)</f>
        <v>522.6</v>
      </c>
      <c r="FZ2" s="22">
        <f>IFERROR(HLOOKUP(FZ1,Index!FZ1:NO12,11,0),0)</f>
        <v>770.3</v>
      </c>
      <c r="GA2" s="22">
        <f>IFERROR(HLOOKUP(GA1,Index!GA1:NP12,11,0),0)</f>
        <v>1553.25</v>
      </c>
      <c r="GB2" s="22">
        <f>IFERROR(HLOOKUP(GB1,Index!GB1:NQ12,11,0),0)</f>
        <v>0</v>
      </c>
      <c r="GC2" s="22">
        <f>IFERROR(HLOOKUP(GC1,Index!GC1:NR12,11,0),0)</f>
        <v>433.3</v>
      </c>
      <c r="GD2" s="22">
        <f>IFERROR(HLOOKUP(GD1,Index!GD1:NS12,11,0),0)</f>
        <v>797.55000000000007</v>
      </c>
      <c r="GE2" s="22">
        <f>IFERROR(HLOOKUP(GE1,Index!GE1:NT12,11,0),0)</f>
        <v>1356.05</v>
      </c>
      <c r="GF2" s="22">
        <f>IFERROR(HLOOKUP(GF1,Index!GF1:NU12,11,0),0)</f>
        <v>423.5</v>
      </c>
      <c r="GG2" s="22">
        <f>IFERROR(HLOOKUP(GG1,Index!GG1:NV12,11,0),0)</f>
        <v>122.5</v>
      </c>
      <c r="GH2" s="22">
        <f>IFERROR(HLOOKUP(GH1,Index!GH1:NW12,11,0),0)</f>
        <v>1684.4</v>
      </c>
      <c r="GI2" s="22">
        <f>IFERROR(HLOOKUP(GI1,Index!GI1:NX12,11,0),0)</f>
        <v>695</v>
      </c>
      <c r="GJ2" s="22">
        <f>IFERROR(HLOOKUP(GJ1,Index!GJ1:NY12,11,0),0)</f>
        <v>702.65000000000009</v>
      </c>
      <c r="GK2" s="22">
        <f>IFERROR(HLOOKUP(GK1,Index!GK1:NZ12,11,0),0)</f>
        <v>469.95000000000005</v>
      </c>
      <c r="GL2" s="22">
        <f>IFERROR(HLOOKUP(GL1,Index!GL1:OA12,11,0),0)</f>
        <v>1218.8000000000002</v>
      </c>
      <c r="GM2" s="22">
        <f>IFERROR(HLOOKUP(GM1,Index!GM1:OB12,11,0),0)</f>
        <v>1094.75</v>
      </c>
      <c r="GN2" s="22">
        <f>IFERROR(HLOOKUP(GN1,Index!GN1:OC12,11,0),0)</f>
        <v>689.95</v>
      </c>
      <c r="GO2" s="22">
        <f>IFERROR(HLOOKUP(GO1,Index!GO1:OD12,11,0),0)</f>
        <v>1287.7</v>
      </c>
      <c r="GP2" s="22">
        <f>IFERROR(HLOOKUP(GP1,Index!GP1:OE12,11,0),0)</f>
        <v>4781</v>
      </c>
      <c r="GQ2" s="22">
        <f>IFERROR(HLOOKUP(GQ1,Index!GQ1:OF12,11,0),0)</f>
        <v>294.5</v>
      </c>
      <c r="GR2" s="22">
        <f>IFERROR(HLOOKUP(GR1,Index!GR1:OG12,11,0),0)</f>
        <v>4082</v>
      </c>
    </row>
    <row r="3" spans="1:200">
      <c r="B3" s="191">
        <f>B2-Index!B11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8E3E4-10D9-4344-A6CE-63F0F4B30316}">
  <sheetPr>
    <tabColor rgb="FFFF0000"/>
  </sheetPr>
  <dimension ref="A1:G5"/>
  <sheetViews>
    <sheetView zoomScale="90" zoomScaleNormal="90" workbookViewId="0">
      <pane xSplit="2" ySplit="1" topLeftCell="C2" activePane="bottomRight" state="frozen"/>
      <selection pane="bottomRight" activeCell="G16" sqref="G16"/>
      <selection pane="bottomLeft" activeCell="A2" sqref="A2"/>
      <selection pane="topRight" activeCell="C1" sqref="C1"/>
    </sheetView>
  </sheetViews>
  <sheetFormatPr defaultColWidth="17.7109375" defaultRowHeight="14.45"/>
  <cols>
    <col min="1" max="1" width="16" style="161" bestFit="1" customWidth="1"/>
    <col min="2" max="2" width="11.28515625" style="161" bestFit="1" customWidth="1"/>
    <col min="3" max="3" width="9.42578125" style="161" bestFit="1" customWidth="1"/>
    <col min="4" max="4" width="16.140625" style="161" bestFit="1" customWidth="1"/>
    <col min="5" max="5" width="19.140625" style="161" bestFit="1" customWidth="1"/>
    <col min="6" max="6" width="10.28515625" style="161" bestFit="1" customWidth="1"/>
    <col min="7" max="7" width="19.85546875" style="161" bestFit="1" customWidth="1"/>
    <col min="8" max="9" width="8.7109375" style="161" bestFit="1" customWidth="1"/>
    <col min="10" max="10" width="11" style="161" bestFit="1" customWidth="1"/>
    <col min="11" max="11" width="18" style="161" bestFit="1" customWidth="1"/>
    <col min="12" max="12" width="21" style="161" bestFit="1" customWidth="1"/>
    <col min="13" max="13" width="10.140625" style="161" bestFit="1" customWidth="1"/>
    <col min="14" max="14" width="12.7109375" style="161" bestFit="1" customWidth="1"/>
    <col min="15" max="15" width="10" style="161" bestFit="1" customWidth="1"/>
    <col min="16" max="16" width="22.5703125" style="161" bestFit="1" customWidth="1"/>
    <col min="17" max="17" width="10.85546875" style="161" bestFit="1" customWidth="1"/>
    <col min="18" max="18" width="20.5703125" style="161" bestFit="1" customWidth="1"/>
    <col min="19" max="19" width="11.85546875" style="161" bestFit="1" customWidth="1"/>
    <col min="20" max="20" width="9.140625" style="161" bestFit="1" customWidth="1"/>
    <col min="21" max="21" width="11" style="161" bestFit="1" customWidth="1"/>
    <col min="22" max="22" width="16.140625" style="161" bestFit="1" customWidth="1"/>
    <col min="23" max="23" width="9.140625" style="161" bestFit="1" customWidth="1"/>
    <col min="24" max="24" width="9.42578125" style="161" bestFit="1" customWidth="1"/>
    <col min="25" max="25" width="22.42578125" style="161" bestFit="1" customWidth="1"/>
    <col min="26" max="26" width="12.5703125" style="161" bestFit="1" customWidth="1"/>
    <col min="27" max="27" width="15.28515625" style="161" bestFit="1" customWidth="1"/>
    <col min="28" max="28" width="12.140625" style="161" bestFit="1" customWidth="1"/>
    <col min="29" max="29" width="12.42578125" style="161" bestFit="1" customWidth="1"/>
    <col min="30" max="30" width="12.5703125" style="161" bestFit="1" customWidth="1"/>
    <col min="31" max="31" width="13.7109375" style="161" bestFit="1" customWidth="1"/>
    <col min="32" max="32" width="16.42578125" style="161" bestFit="1" customWidth="1"/>
    <col min="33" max="33" width="10.85546875" style="161" bestFit="1" customWidth="1"/>
    <col min="34" max="34" width="10.5703125" style="161" bestFit="1" customWidth="1"/>
    <col min="35" max="35" width="9.7109375" style="161" bestFit="1" customWidth="1"/>
    <col min="36" max="36" width="12.28515625" style="161" bestFit="1" customWidth="1"/>
    <col min="37" max="37" width="16.5703125" style="161" bestFit="1" customWidth="1"/>
    <col min="38" max="38" width="9.42578125" style="161" bestFit="1" customWidth="1"/>
    <col min="39" max="39" width="10.140625" style="161" bestFit="1" customWidth="1"/>
    <col min="40" max="40" width="6.7109375" style="161" bestFit="1" customWidth="1"/>
    <col min="41" max="41" width="11.5703125" style="161" bestFit="1" customWidth="1"/>
    <col min="42" max="42" width="18" style="161" bestFit="1" customWidth="1"/>
    <col min="43" max="43" width="11.7109375" style="161" bestFit="1" customWidth="1"/>
    <col min="44" max="44" width="7.7109375" style="161" bestFit="1" customWidth="1"/>
    <col min="45" max="45" width="12" style="161" bestFit="1" customWidth="1"/>
    <col min="46" max="46" width="8.7109375" style="161" bestFit="1" customWidth="1"/>
    <col min="47" max="47" width="9.85546875" style="161" bestFit="1" customWidth="1"/>
    <col min="48" max="48" width="9.28515625" style="161" bestFit="1" customWidth="1"/>
    <col min="49" max="49" width="12.140625" style="161" bestFit="1" customWidth="1"/>
    <col min="50" max="50" width="13.28515625" style="161" bestFit="1" customWidth="1"/>
    <col min="51" max="51" width="16.140625" style="161" bestFit="1" customWidth="1"/>
    <col min="52" max="52" width="18.85546875" style="161" bestFit="1" customWidth="1"/>
    <col min="53" max="53" width="10.28515625" style="161" bestFit="1" customWidth="1"/>
    <col min="54" max="54" width="16.140625" style="161" bestFit="1" customWidth="1"/>
    <col min="55" max="55" width="12.7109375" style="161" bestFit="1" customWidth="1"/>
    <col min="56" max="56" width="16" style="161" bestFit="1" customWidth="1"/>
    <col min="57" max="57" width="12.7109375" style="161" bestFit="1" customWidth="1"/>
    <col min="58" max="58" width="12.42578125" style="161" bestFit="1" customWidth="1"/>
    <col min="59" max="16384" width="17.7109375" style="161"/>
  </cols>
  <sheetData>
    <row r="1" spans="1:7">
      <c r="A1" s="149" t="s">
        <v>2</v>
      </c>
      <c r="B1" s="149" t="s">
        <v>202</v>
      </c>
      <c r="C1" s="145"/>
      <c r="D1" s="145"/>
      <c r="E1" s="145"/>
      <c r="F1" s="145"/>
      <c r="G1" s="145"/>
    </row>
    <row r="2" spans="1:7">
      <c r="A2" s="150" t="s">
        <v>203</v>
      </c>
      <c r="B2" s="151">
        <f>SUM(C2:CL2)</f>
        <v>0</v>
      </c>
      <c r="E2" s="107"/>
      <c r="F2" s="107"/>
      <c r="G2" s="107"/>
    </row>
    <row r="3" spans="1:7">
      <c r="A3" s="150" t="s">
        <v>204</v>
      </c>
      <c r="B3" s="151">
        <f>SUM(C3:CL3)</f>
        <v>0</v>
      </c>
      <c r="C3" s="107"/>
      <c r="D3" s="107"/>
      <c r="E3" s="107"/>
      <c r="F3" s="107"/>
      <c r="G3" s="39"/>
    </row>
    <row r="4" spans="1:7">
      <c r="A4" s="150" t="s">
        <v>205</v>
      </c>
      <c r="B4" s="151">
        <f>SUM(C4:CL4)</f>
        <v>0</v>
      </c>
      <c r="C4" s="107"/>
      <c r="D4" s="107"/>
      <c r="E4" s="107"/>
      <c r="F4" s="107"/>
      <c r="G4" s="107"/>
    </row>
    <row r="5" spans="1:7">
      <c r="A5" s="150" t="s">
        <v>202</v>
      </c>
      <c r="B5" s="162">
        <f>SUM(B2:B4)</f>
        <v>0</v>
      </c>
      <c r="C5" s="196">
        <f>SUM(C3:C4)</f>
        <v>0</v>
      </c>
      <c r="D5" s="196">
        <f>SUM(D3:D4)</f>
        <v>0</v>
      </c>
      <c r="E5" s="196">
        <f t="shared" ref="E5:F5" si="0">SUM(E2:E4)</f>
        <v>0</v>
      </c>
      <c r="F5" s="196">
        <f t="shared" si="0"/>
        <v>0</v>
      </c>
      <c r="G5" s="196">
        <f>SUM(G3:G4)</f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2CAB5-EE4E-429F-BB7F-722E47EB9EC4}">
  <dimension ref="A1:GV35"/>
  <sheetViews>
    <sheetView zoomScale="90" zoomScaleNormal="90" workbookViewId="0">
      <pane xSplit="3" ySplit="2" topLeftCell="D20" activePane="bottomRight" state="frozen"/>
      <selection pane="bottomRight" activeCell="C35" sqref="C35"/>
      <selection pane="bottomLeft" activeCell="G22" sqref="G22"/>
      <selection pane="topRight" activeCell="G22" sqref="G22"/>
    </sheetView>
  </sheetViews>
  <sheetFormatPr defaultColWidth="16" defaultRowHeight="13.9"/>
  <cols>
    <col min="1" max="1" width="8.7109375" style="24" bestFit="1" customWidth="1"/>
    <col min="2" max="2" width="4.7109375" style="24" bestFit="1" customWidth="1"/>
    <col min="3" max="3" width="6.7109375" style="24" bestFit="1" customWidth="1"/>
    <col min="4" max="4" width="4.85546875" style="24" bestFit="1" customWidth="1"/>
    <col min="5" max="5" width="12.7109375" style="24" bestFit="1" customWidth="1"/>
    <col min="6" max="7" width="10.7109375" style="24" bestFit="1" customWidth="1"/>
    <col min="8" max="8" width="8.85546875" style="24" bestFit="1" customWidth="1"/>
    <col min="9" max="9" width="9.28515625" style="24" bestFit="1" customWidth="1"/>
    <col min="10" max="10" width="13" style="24" bestFit="1" customWidth="1"/>
    <col min="11" max="11" width="15.5703125" style="24" bestFit="1" customWidth="1"/>
    <col min="12" max="12" width="10.7109375" style="24" bestFit="1" customWidth="1"/>
    <col min="13" max="13" width="10.85546875" style="24" bestFit="1" customWidth="1"/>
    <col min="14" max="14" width="11.28515625" style="24" bestFit="1" customWidth="1"/>
    <col min="15" max="15" width="10.85546875" style="24" bestFit="1" customWidth="1"/>
    <col min="16" max="16" width="15.28515625" style="24" bestFit="1" customWidth="1"/>
    <col min="17" max="17" width="9.7109375" style="24" bestFit="1" customWidth="1"/>
    <col min="18" max="18" width="11.42578125" style="24" bestFit="1" customWidth="1"/>
    <col min="19" max="19" width="11.85546875" style="24" bestFit="1" customWidth="1"/>
    <col min="20" max="20" width="16.85546875" style="24" bestFit="1" customWidth="1"/>
    <col min="21" max="21" width="13.140625" style="24" bestFit="1" customWidth="1"/>
    <col min="22" max="22" width="22" style="24" bestFit="1" customWidth="1"/>
    <col min="23" max="23" width="11.7109375" style="24" bestFit="1" customWidth="1"/>
    <col min="24" max="24" width="13" style="24" bestFit="1" customWidth="1"/>
    <col min="25" max="25" width="19.42578125" style="24" bestFit="1" customWidth="1"/>
    <col min="26" max="26" width="12.42578125" style="24" bestFit="1" customWidth="1"/>
    <col min="27" max="27" width="13.28515625" style="24" bestFit="1" customWidth="1"/>
    <col min="28" max="28" width="13.85546875" style="24" bestFit="1" customWidth="1"/>
    <col min="29" max="29" width="18.140625" style="24" bestFit="1" customWidth="1"/>
    <col min="30" max="30" width="11.28515625" style="24" bestFit="1" customWidth="1"/>
    <col min="31" max="31" width="13.5703125" style="24" bestFit="1" customWidth="1"/>
    <col min="32" max="32" width="9.42578125" style="24" bestFit="1" customWidth="1"/>
    <col min="33" max="33" width="16" style="24" bestFit="1" customWidth="1"/>
    <col min="34" max="34" width="15.85546875" style="24" bestFit="1" customWidth="1"/>
    <col min="35" max="35" width="11.140625" style="24" bestFit="1" customWidth="1"/>
    <col min="36" max="36" width="21" style="24" bestFit="1" customWidth="1"/>
    <col min="37" max="37" width="17.28515625" style="24" bestFit="1" customWidth="1"/>
    <col min="38" max="38" width="8.28515625" style="24" bestFit="1" customWidth="1"/>
    <col min="39" max="39" width="18.7109375" style="24" bestFit="1" customWidth="1"/>
    <col min="40" max="40" width="8.7109375" style="24" bestFit="1" customWidth="1"/>
    <col min="41" max="41" width="12" style="24" bestFit="1" customWidth="1"/>
    <col min="42" max="42" width="13.7109375" style="24" bestFit="1" customWidth="1"/>
    <col min="43" max="43" width="9.7109375" style="24" bestFit="1" customWidth="1"/>
    <col min="44" max="44" width="12.28515625" style="24" bestFit="1" customWidth="1"/>
    <col min="45" max="45" width="10.28515625" style="24" bestFit="1" customWidth="1"/>
    <col min="46" max="46" width="8.7109375" style="24" bestFit="1" customWidth="1"/>
    <col min="47" max="47" width="7.7109375" style="24" bestFit="1" customWidth="1"/>
    <col min="48" max="48" width="13.5703125" style="24" bestFit="1" customWidth="1"/>
    <col min="49" max="49" width="14.28515625" style="24" bestFit="1" customWidth="1"/>
    <col min="50" max="50" width="26.7109375" style="24" bestFit="1" customWidth="1"/>
    <col min="51" max="51" width="13.140625" style="24" bestFit="1" customWidth="1"/>
    <col min="52" max="52" width="14.140625" style="24" bestFit="1" customWidth="1"/>
    <col min="53" max="53" width="12.42578125" style="24" bestFit="1" customWidth="1"/>
    <col min="54" max="54" width="11" style="24" bestFit="1" customWidth="1"/>
    <col min="55" max="55" width="8.28515625" style="24" bestFit="1" customWidth="1"/>
    <col min="56" max="56" width="10.5703125" style="24" bestFit="1" customWidth="1"/>
    <col min="57" max="57" width="19.85546875" style="24" bestFit="1" customWidth="1"/>
    <col min="58" max="58" width="7.7109375" style="24" bestFit="1" customWidth="1"/>
    <col min="59" max="59" width="12" style="24" bestFit="1" customWidth="1"/>
    <col min="60" max="60" width="7.5703125" style="24" bestFit="1" customWidth="1"/>
    <col min="61" max="61" width="19.140625" style="24" bestFit="1" customWidth="1"/>
    <col min="62" max="62" width="12.7109375" style="24" bestFit="1" customWidth="1"/>
    <col min="63" max="63" width="12.5703125" style="24" bestFit="1" customWidth="1"/>
    <col min="64" max="64" width="11.5703125" style="24" bestFit="1" customWidth="1"/>
    <col min="65" max="65" width="16.42578125" style="24" bestFit="1" customWidth="1"/>
    <col min="66" max="66" width="8.7109375" style="24" bestFit="1" customWidth="1"/>
    <col min="67" max="67" width="19.140625" style="24" bestFit="1" customWidth="1"/>
    <col min="68" max="68" width="19" style="24" bestFit="1" customWidth="1"/>
    <col min="69" max="69" width="13" style="24" bestFit="1" customWidth="1"/>
    <col min="70" max="70" width="12.7109375" style="24" bestFit="1" customWidth="1"/>
    <col min="71" max="71" width="10.28515625" style="24" bestFit="1" customWidth="1"/>
    <col min="72" max="72" width="13.140625" style="24" bestFit="1" customWidth="1"/>
    <col min="73" max="73" width="18" style="24" bestFit="1" customWidth="1"/>
    <col min="74" max="74" width="8.7109375" style="24" bestFit="1" customWidth="1"/>
    <col min="75" max="75" width="14.7109375" style="24" bestFit="1" customWidth="1"/>
    <col min="76" max="76" width="21" style="24" bestFit="1" customWidth="1"/>
    <col min="77" max="77" width="12.7109375" style="24" bestFit="1" customWidth="1"/>
    <col min="78" max="78" width="10.140625" style="24" bestFit="1" customWidth="1"/>
    <col min="79" max="79" width="11.5703125" style="24" bestFit="1" customWidth="1"/>
    <col min="80" max="80" width="10.42578125" style="24" bestFit="1" customWidth="1"/>
    <col min="81" max="81" width="12.140625" style="24" bestFit="1" customWidth="1"/>
    <col min="82" max="82" width="16.7109375" style="24" bestFit="1" customWidth="1"/>
    <col min="83" max="83" width="10.7109375" style="24" bestFit="1" customWidth="1"/>
    <col min="84" max="84" width="10.42578125" style="24" bestFit="1" customWidth="1"/>
    <col min="85" max="85" width="11.28515625" style="24" bestFit="1" customWidth="1"/>
    <col min="86" max="86" width="18" style="24" bestFit="1" customWidth="1"/>
    <col min="87" max="87" width="9.28515625" style="24" bestFit="1" customWidth="1"/>
    <col min="88" max="88" width="12.7109375" style="24" bestFit="1" customWidth="1"/>
    <col min="89" max="89" width="13.7109375" style="24" bestFit="1" customWidth="1"/>
    <col min="90" max="90" width="10" style="24" bestFit="1" customWidth="1"/>
    <col min="91" max="91" width="8.85546875" style="24" bestFit="1" customWidth="1"/>
    <col min="92" max="92" width="20" style="24" bestFit="1" customWidth="1"/>
    <col min="93" max="93" width="22.5703125" style="24" bestFit="1" customWidth="1"/>
    <col min="94" max="94" width="10.85546875" style="24" bestFit="1" customWidth="1"/>
    <col min="95" max="95" width="12.140625" style="24" bestFit="1" customWidth="1"/>
    <col min="96" max="96" width="13.5703125" style="24" bestFit="1" customWidth="1"/>
    <col min="97" max="97" width="20.5703125" style="24" bestFit="1" customWidth="1"/>
    <col min="98" max="98" width="22.140625" style="24" bestFit="1" customWidth="1"/>
    <col min="99" max="99" width="11.85546875" style="24" bestFit="1" customWidth="1"/>
    <col min="100" max="100" width="11.140625" style="24" bestFit="1" customWidth="1"/>
    <col min="101" max="101" width="21.28515625" style="24" bestFit="1" customWidth="1"/>
    <col min="102" max="102" width="19.85546875" style="24" bestFit="1" customWidth="1"/>
    <col min="103" max="103" width="9.42578125" style="24" bestFit="1" customWidth="1"/>
    <col min="104" max="104" width="10.5703125" style="24" bestFit="1" customWidth="1"/>
    <col min="105" max="105" width="15.85546875" style="24" bestFit="1" customWidth="1"/>
    <col min="106" max="106" width="13.28515625" style="24" bestFit="1" customWidth="1"/>
    <col min="107" max="107" width="10" style="24" bestFit="1" customWidth="1"/>
    <col min="108" max="108" width="16.140625" style="24" bestFit="1" customWidth="1"/>
    <col min="109" max="109" width="18.85546875" style="24" bestFit="1" customWidth="1"/>
    <col min="110" max="110" width="14.42578125" style="24" bestFit="1" customWidth="1"/>
    <col min="111" max="111" width="11.85546875" style="24" bestFit="1" customWidth="1"/>
    <col min="112" max="112" width="21.42578125" style="24" bestFit="1" customWidth="1"/>
    <col min="113" max="113" width="14.5703125" style="24" bestFit="1" customWidth="1"/>
    <col min="114" max="114" width="17.7109375" style="24" bestFit="1" customWidth="1"/>
    <col min="115" max="115" width="8.5703125" style="24" bestFit="1" customWidth="1"/>
    <col min="116" max="116" width="12.7109375" style="24" bestFit="1" customWidth="1"/>
    <col min="117" max="117" width="16.85546875" style="24" bestFit="1" customWidth="1"/>
    <col min="118" max="118" width="13.85546875" style="24" bestFit="1" customWidth="1"/>
    <col min="119" max="119" width="11" style="24" bestFit="1" customWidth="1"/>
    <col min="120" max="120" width="16.140625" style="24" bestFit="1" customWidth="1"/>
    <col min="121" max="121" width="26.5703125" style="24" bestFit="1" customWidth="1"/>
    <col min="122" max="122" width="17.42578125" style="24" bestFit="1" customWidth="1"/>
    <col min="123" max="123" width="19.42578125" style="24" bestFit="1" customWidth="1"/>
    <col min="124" max="124" width="15" style="24" bestFit="1" customWidth="1"/>
    <col min="125" max="125" width="19.28515625" style="24" bestFit="1" customWidth="1"/>
    <col min="126" max="126" width="9.140625" style="24" bestFit="1" customWidth="1"/>
    <col min="127" max="127" width="10.28515625" style="24" bestFit="1" customWidth="1"/>
    <col min="128" max="128" width="13.28515625" style="24" bestFit="1" customWidth="1"/>
    <col min="129" max="129" width="12.7109375" style="24" bestFit="1" customWidth="1"/>
    <col min="130" max="130" width="9.42578125" style="24" bestFit="1" customWidth="1"/>
    <col min="131" max="131" width="12.28515625" style="24" bestFit="1" customWidth="1"/>
    <col min="132" max="132" width="17.28515625" style="24" bestFit="1" customWidth="1"/>
    <col min="133" max="133" width="11.85546875" style="24" bestFit="1" customWidth="1"/>
    <col min="134" max="134" width="22.42578125" style="24" bestFit="1" customWidth="1"/>
    <col min="135" max="135" width="12.5703125" style="24" bestFit="1" customWidth="1"/>
    <col min="136" max="136" width="11" style="24" bestFit="1" customWidth="1"/>
    <col min="137" max="137" width="8.28515625" style="24" bestFit="1" customWidth="1"/>
    <col min="138" max="138" width="10.28515625" style="24" bestFit="1" customWidth="1"/>
    <col min="139" max="139" width="9.85546875" style="24" bestFit="1" customWidth="1"/>
    <col min="140" max="140" width="9.28515625" style="24" bestFit="1" customWidth="1"/>
    <col min="141" max="141" width="16.140625" style="24" bestFit="1" customWidth="1"/>
    <col min="142" max="142" width="15.28515625" style="24" bestFit="1" customWidth="1"/>
    <col min="143" max="143" width="11.85546875" style="24" bestFit="1" customWidth="1"/>
    <col min="144" max="144" width="12.140625" style="24" bestFit="1" customWidth="1"/>
    <col min="145" max="145" width="12.42578125" style="24" bestFit="1" customWidth="1"/>
    <col min="146" max="146" width="14.7109375" style="24" bestFit="1" customWidth="1"/>
    <col min="147" max="147" width="10.5703125" style="24" bestFit="1" customWidth="1"/>
    <col min="148" max="148" width="12.42578125" style="24" bestFit="1" customWidth="1"/>
    <col min="149" max="149" width="17.5703125" style="24" bestFit="1" customWidth="1"/>
    <col min="150" max="150" width="12.5703125" style="24" bestFit="1" customWidth="1"/>
    <col min="151" max="151" width="14.5703125" style="24" bestFit="1" customWidth="1"/>
    <col min="152" max="152" width="16.7109375" style="24" bestFit="1" customWidth="1"/>
    <col min="153" max="153" width="13.7109375" style="24" bestFit="1" customWidth="1"/>
    <col min="154" max="154" width="16" style="24" bestFit="1" customWidth="1"/>
    <col min="155" max="155" width="11.28515625" style="24" bestFit="1" customWidth="1"/>
    <col min="156" max="156" width="13.7109375" style="24" bestFit="1" customWidth="1"/>
    <col min="157" max="157" width="16.42578125" style="24" bestFit="1" customWidth="1"/>
    <col min="158" max="158" width="12.7109375" style="24" bestFit="1" customWidth="1"/>
    <col min="159" max="159" width="10.85546875" style="24" bestFit="1" customWidth="1"/>
    <col min="160" max="160" width="10.5703125" style="24" bestFit="1" customWidth="1"/>
    <col min="161" max="161" width="9.7109375" style="24" bestFit="1" customWidth="1"/>
    <col min="162" max="162" width="10.85546875" style="24" bestFit="1" customWidth="1"/>
    <col min="163" max="163" width="16.140625" style="24" bestFit="1" customWidth="1"/>
    <col min="164" max="164" width="12.5703125" style="24" bestFit="1" customWidth="1"/>
    <col min="165" max="165" width="12.7109375" style="24" bestFit="1" customWidth="1"/>
    <col min="166" max="166" width="11.7109375" style="24" bestFit="1" customWidth="1"/>
    <col min="167" max="167" width="7.7109375" style="24" bestFit="1" customWidth="1"/>
    <col min="168" max="168" width="10.28515625" style="24" bestFit="1" customWidth="1"/>
    <col min="169" max="169" width="11.5703125" style="24" bestFit="1" customWidth="1"/>
    <col min="170" max="170" width="21.28515625" style="24" bestFit="1" customWidth="1"/>
    <col min="171" max="171" width="14.28515625" style="24" bestFit="1" customWidth="1"/>
    <col min="172" max="172" width="15.7109375" style="24" bestFit="1" customWidth="1"/>
    <col min="173" max="173" width="20.28515625" style="24" bestFit="1" customWidth="1"/>
    <col min="174" max="174" width="12.28515625" style="24" bestFit="1" customWidth="1"/>
    <col min="175" max="175" width="16.5703125" style="24" bestFit="1" customWidth="1"/>
    <col min="176" max="176" width="11.28515625" style="24" bestFit="1" customWidth="1"/>
    <col min="177" max="177" width="9.28515625" style="24" bestFit="1" customWidth="1"/>
    <col min="178" max="178" width="9.42578125" style="24" bestFit="1" customWidth="1"/>
    <col min="179" max="179" width="10.140625" style="24" bestFit="1" customWidth="1"/>
    <col min="180" max="180" width="19.42578125" style="24" bestFit="1" customWidth="1"/>
    <col min="181" max="181" width="10.140625" style="24" bestFit="1" customWidth="1"/>
    <col min="182" max="182" width="10.5703125" style="24" bestFit="1" customWidth="1"/>
    <col min="183" max="183" width="10.140625" style="24" bestFit="1" customWidth="1"/>
    <col min="184" max="184" width="8.85546875" style="24" bestFit="1" customWidth="1"/>
    <col min="185" max="185" width="11.7109375" style="24" bestFit="1" customWidth="1"/>
    <col min="186" max="186" width="6.7109375" style="24" bestFit="1" customWidth="1"/>
    <col min="187" max="187" width="20.28515625" style="24" bestFit="1" customWidth="1"/>
    <col min="188" max="188" width="16" style="24" bestFit="1" customWidth="1"/>
    <col min="189" max="189" width="23.7109375" style="24" bestFit="1" customWidth="1"/>
    <col min="190" max="190" width="19.28515625" style="24" bestFit="1" customWidth="1"/>
    <col min="191" max="191" width="17.85546875" style="24" bestFit="1" customWidth="1"/>
    <col min="192" max="192" width="12.28515625" style="24" bestFit="1" customWidth="1"/>
    <col min="193" max="193" width="9.7109375" style="24" bestFit="1" customWidth="1"/>
    <col min="194" max="194" width="10.42578125" style="24" bestFit="1" customWidth="1"/>
    <col min="195" max="195" width="10.140625" style="24" bestFit="1" customWidth="1"/>
    <col min="196" max="196" width="11.5703125" style="24" bestFit="1" customWidth="1"/>
    <col min="197" max="197" width="17" style="24" bestFit="1" customWidth="1"/>
    <col min="198" max="198" width="18" style="24" bestFit="1" customWidth="1"/>
    <col min="199" max="199" width="11" style="24" bestFit="1" customWidth="1"/>
    <col min="200" max="200" width="15.42578125" style="24" bestFit="1" customWidth="1"/>
    <col min="201" max="204" width="2" style="24" bestFit="1" customWidth="1"/>
    <col min="205" max="16384" width="16" style="24"/>
  </cols>
  <sheetData>
    <row r="1" spans="1:204">
      <c r="A1" s="215" t="s">
        <v>206</v>
      </c>
      <c r="B1" s="215" t="s">
        <v>207</v>
      </c>
      <c r="C1" s="215" t="s">
        <v>208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/>
      <c r="EP1" s="25"/>
      <c r="EQ1" s="25"/>
      <c r="ER1" s="25"/>
      <c r="ES1" s="25"/>
      <c r="ET1" s="25"/>
      <c r="EU1" s="25"/>
      <c r="EV1" s="25"/>
      <c r="EW1" s="25"/>
      <c r="EX1" s="25"/>
      <c r="EY1" s="25"/>
      <c r="EZ1" s="25"/>
      <c r="FA1" s="25"/>
      <c r="FB1" s="25"/>
      <c r="FC1" s="25"/>
    </row>
    <row r="2" spans="1:204">
      <c r="A2" s="215"/>
      <c r="B2" s="215"/>
      <c r="C2" s="215"/>
      <c r="D2" s="145" t="s">
        <v>4</v>
      </c>
      <c r="E2" s="145" t="s">
        <v>5</v>
      </c>
      <c r="F2" s="145" t="s">
        <v>6</v>
      </c>
      <c r="G2" s="145" t="s">
        <v>7</v>
      </c>
      <c r="H2" s="145" t="s">
        <v>8</v>
      </c>
      <c r="I2" s="145" t="s">
        <v>9</v>
      </c>
      <c r="J2" s="145" t="s">
        <v>10</v>
      </c>
      <c r="K2" s="145" t="s">
        <v>11</v>
      </c>
      <c r="L2" s="145" t="s">
        <v>12</v>
      </c>
      <c r="M2" s="145" t="s">
        <v>13</v>
      </c>
      <c r="N2" s="145" t="s">
        <v>14</v>
      </c>
      <c r="O2" s="145" t="s">
        <v>15</v>
      </c>
      <c r="P2" s="145" t="s">
        <v>16</v>
      </c>
      <c r="Q2" s="145" t="s">
        <v>17</v>
      </c>
      <c r="R2" s="145" t="s">
        <v>18</v>
      </c>
      <c r="S2" s="145" t="s">
        <v>19</v>
      </c>
      <c r="T2" s="145" t="s">
        <v>20</v>
      </c>
      <c r="U2" s="145" t="s">
        <v>21</v>
      </c>
      <c r="V2" s="145" t="s">
        <v>22</v>
      </c>
      <c r="W2" s="145" t="s">
        <v>23</v>
      </c>
      <c r="X2" s="145" t="s">
        <v>24</v>
      </c>
      <c r="Y2" s="145" t="s">
        <v>25</v>
      </c>
      <c r="Z2" s="145" t="s">
        <v>26</v>
      </c>
      <c r="AA2" s="145" t="s">
        <v>27</v>
      </c>
      <c r="AB2" s="145" t="s">
        <v>28</v>
      </c>
      <c r="AC2" s="145" t="s">
        <v>29</v>
      </c>
      <c r="AD2" s="152" t="s">
        <v>30</v>
      </c>
      <c r="AE2" s="145" t="s">
        <v>31</v>
      </c>
      <c r="AF2" s="145" t="s">
        <v>32</v>
      </c>
      <c r="AG2" s="145" t="s">
        <v>33</v>
      </c>
      <c r="AH2" s="145" t="s">
        <v>34</v>
      </c>
      <c r="AI2" s="145" t="s">
        <v>35</v>
      </c>
      <c r="AJ2" s="145" t="s">
        <v>36</v>
      </c>
      <c r="AK2" s="145" t="s">
        <v>37</v>
      </c>
      <c r="AL2" s="145" t="s">
        <v>38</v>
      </c>
      <c r="AM2" s="145" t="s">
        <v>39</v>
      </c>
      <c r="AN2" s="145" t="s">
        <v>40</v>
      </c>
      <c r="AO2" s="145" t="s">
        <v>41</v>
      </c>
      <c r="AP2" s="145" t="s">
        <v>42</v>
      </c>
      <c r="AQ2" s="145" t="s">
        <v>43</v>
      </c>
      <c r="AR2" s="145" t="s">
        <v>44</v>
      </c>
      <c r="AS2" s="145" t="s">
        <v>45</v>
      </c>
      <c r="AT2" s="145" t="s">
        <v>46</v>
      </c>
      <c r="AU2" s="145" t="s">
        <v>47</v>
      </c>
      <c r="AV2" s="145" t="s">
        <v>48</v>
      </c>
      <c r="AW2" s="145" t="s">
        <v>49</v>
      </c>
      <c r="AX2" s="145" t="s">
        <v>50</v>
      </c>
      <c r="AY2" s="145" t="s">
        <v>51</v>
      </c>
      <c r="AZ2" s="145" t="s">
        <v>52</v>
      </c>
      <c r="BA2" s="145" t="s">
        <v>53</v>
      </c>
      <c r="BB2" s="145" t="s">
        <v>54</v>
      </c>
      <c r="BC2" s="145" t="s">
        <v>55</v>
      </c>
      <c r="BD2" s="145" t="s">
        <v>56</v>
      </c>
      <c r="BE2" s="145" t="s">
        <v>57</v>
      </c>
      <c r="BF2" s="145" t="s">
        <v>58</v>
      </c>
      <c r="BG2" s="145" t="s">
        <v>59</v>
      </c>
      <c r="BH2" s="145" t="s">
        <v>60</v>
      </c>
      <c r="BI2" s="145" t="s">
        <v>61</v>
      </c>
      <c r="BJ2" s="145" t="s">
        <v>62</v>
      </c>
      <c r="BK2" s="145" t="s">
        <v>63</v>
      </c>
      <c r="BL2" s="145" t="s">
        <v>64</v>
      </c>
      <c r="BM2" s="145" t="s">
        <v>65</v>
      </c>
      <c r="BN2" s="145" t="s">
        <v>66</v>
      </c>
      <c r="BO2" s="145" t="s">
        <v>67</v>
      </c>
      <c r="BP2" s="145" t="s">
        <v>68</v>
      </c>
      <c r="BQ2" s="145" t="s">
        <v>69</v>
      </c>
      <c r="BR2" s="145" t="s">
        <v>70</v>
      </c>
      <c r="BS2" s="145" t="s">
        <v>71</v>
      </c>
      <c r="BT2" s="145" t="s">
        <v>72</v>
      </c>
      <c r="BU2" s="145" t="s">
        <v>73</v>
      </c>
      <c r="BV2" s="145" t="s">
        <v>74</v>
      </c>
      <c r="BW2" s="145" t="s">
        <v>75</v>
      </c>
      <c r="BX2" s="145" t="s">
        <v>76</v>
      </c>
      <c r="BY2" s="145" t="s">
        <v>77</v>
      </c>
      <c r="BZ2" s="145" t="s">
        <v>78</v>
      </c>
      <c r="CA2" s="145" t="s">
        <v>79</v>
      </c>
      <c r="CB2" s="145" t="s">
        <v>80</v>
      </c>
      <c r="CC2" s="145" t="s">
        <v>81</v>
      </c>
      <c r="CD2" s="145" t="s">
        <v>82</v>
      </c>
      <c r="CE2" s="145" t="s">
        <v>83</v>
      </c>
      <c r="CF2" s="145" t="s">
        <v>84</v>
      </c>
      <c r="CG2" s="145" t="s">
        <v>85</v>
      </c>
      <c r="CH2" s="145" t="s">
        <v>86</v>
      </c>
      <c r="CI2" s="145" t="s">
        <v>87</v>
      </c>
      <c r="CJ2" s="145" t="s">
        <v>88</v>
      </c>
      <c r="CK2" s="145" t="s">
        <v>89</v>
      </c>
      <c r="CL2" s="145" t="s">
        <v>90</v>
      </c>
      <c r="CM2" s="145" t="s">
        <v>91</v>
      </c>
      <c r="CN2" s="145" t="s">
        <v>92</v>
      </c>
      <c r="CO2" s="145" t="s">
        <v>93</v>
      </c>
      <c r="CP2" s="145" t="s">
        <v>94</v>
      </c>
      <c r="CQ2" s="145" t="s">
        <v>95</v>
      </c>
      <c r="CR2" s="145" t="s">
        <v>96</v>
      </c>
      <c r="CS2" s="145" t="s">
        <v>97</v>
      </c>
      <c r="CT2" s="145" t="s">
        <v>98</v>
      </c>
      <c r="CU2" s="145" t="s">
        <v>99</v>
      </c>
      <c r="CV2" s="145" t="s">
        <v>100</v>
      </c>
      <c r="CW2" s="145" t="s">
        <v>101</v>
      </c>
      <c r="CX2" s="145" t="s">
        <v>102</v>
      </c>
      <c r="CY2" s="145" t="s">
        <v>103</v>
      </c>
      <c r="CZ2" s="145" t="s">
        <v>104</v>
      </c>
      <c r="DA2" s="145" t="s">
        <v>105</v>
      </c>
      <c r="DB2" s="145" t="s">
        <v>106</v>
      </c>
      <c r="DC2" s="145" t="s">
        <v>107</v>
      </c>
      <c r="DD2" s="145" t="s">
        <v>108</v>
      </c>
      <c r="DE2" s="145" t="s">
        <v>109</v>
      </c>
      <c r="DF2" s="145" t="s">
        <v>110</v>
      </c>
      <c r="DG2" s="145" t="s">
        <v>111</v>
      </c>
      <c r="DH2" s="145" t="s">
        <v>112</v>
      </c>
      <c r="DI2" s="145" t="s">
        <v>113</v>
      </c>
      <c r="DJ2" s="145" t="s">
        <v>114</v>
      </c>
      <c r="DK2" s="145" t="s">
        <v>115</v>
      </c>
      <c r="DL2" s="145" t="s">
        <v>116</v>
      </c>
      <c r="DM2" s="145" t="s">
        <v>117</v>
      </c>
      <c r="DN2" s="145" t="s">
        <v>118</v>
      </c>
      <c r="DO2" s="145" t="s">
        <v>119</v>
      </c>
      <c r="DP2" s="145" t="s">
        <v>120</v>
      </c>
      <c r="DQ2" s="145" t="s">
        <v>121</v>
      </c>
      <c r="DR2" s="145" t="s">
        <v>122</v>
      </c>
      <c r="DS2" s="145" t="s">
        <v>123</v>
      </c>
      <c r="DT2" s="145" t="s">
        <v>124</v>
      </c>
      <c r="DU2" s="145" t="s">
        <v>125</v>
      </c>
      <c r="DV2" s="145" t="s">
        <v>126</v>
      </c>
      <c r="DW2" s="145" t="s">
        <v>127</v>
      </c>
      <c r="DX2" s="145" t="s">
        <v>128</v>
      </c>
      <c r="DY2" s="145" t="s">
        <v>129</v>
      </c>
      <c r="DZ2" s="145" t="s">
        <v>130</v>
      </c>
      <c r="EA2" s="145" t="s">
        <v>131</v>
      </c>
      <c r="EB2" s="145" t="s">
        <v>132</v>
      </c>
      <c r="EC2" s="145" t="s">
        <v>133</v>
      </c>
      <c r="ED2" s="145" t="s">
        <v>134</v>
      </c>
      <c r="EE2" s="145" t="s">
        <v>135</v>
      </c>
      <c r="EF2" s="145" t="s">
        <v>136</v>
      </c>
      <c r="EG2" s="145" t="s">
        <v>137</v>
      </c>
      <c r="EH2" s="145" t="s">
        <v>138</v>
      </c>
      <c r="EI2" s="145" t="s">
        <v>139</v>
      </c>
      <c r="EJ2" s="145" t="s">
        <v>140</v>
      </c>
      <c r="EK2" s="145" t="s">
        <v>141</v>
      </c>
      <c r="EL2" s="145" t="s">
        <v>142</v>
      </c>
      <c r="EM2" s="145" t="s">
        <v>143</v>
      </c>
      <c r="EN2" s="145" t="s">
        <v>144</v>
      </c>
      <c r="EO2" s="145" t="s">
        <v>145</v>
      </c>
      <c r="EP2" s="145" t="s">
        <v>146</v>
      </c>
      <c r="EQ2" s="145" t="s">
        <v>147</v>
      </c>
      <c r="ER2" s="145" t="s">
        <v>148</v>
      </c>
      <c r="ES2" s="145" t="s">
        <v>149</v>
      </c>
      <c r="ET2" s="145" t="s">
        <v>150</v>
      </c>
      <c r="EU2" s="145" t="s">
        <v>151</v>
      </c>
      <c r="EV2" s="145" t="s">
        <v>152</v>
      </c>
      <c r="EW2" s="145" t="s">
        <v>153</v>
      </c>
      <c r="EX2" s="145" t="s">
        <v>154</v>
      </c>
      <c r="EY2" s="145" t="s">
        <v>155</v>
      </c>
      <c r="EZ2" s="145" t="s">
        <v>156</v>
      </c>
      <c r="FA2" s="145" t="s">
        <v>157</v>
      </c>
      <c r="FB2" s="145" t="s">
        <v>158</v>
      </c>
      <c r="FC2" s="145" t="s">
        <v>159</v>
      </c>
      <c r="FD2" s="145" t="s">
        <v>160</v>
      </c>
      <c r="FE2" s="145" t="s">
        <v>161</v>
      </c>
      <c r="FF2" s="145" t="s">
        <v>162</v>
      </c>
      <c r="FG2" s="145" t="s">
        <v>163</v>
      </c>
      <c r="FH2" s="145" t="s">
        <v>164</v>
      </c>
      <c r="FI2" s="145" t="s">
        <v>165</v>
      </c>
      <c r="FJ2" s="145" t="s">
        <v>166</v>
      </c>
      <c r="FK2" s="145" t="s">
        <v>167</v>
      </c>
      <c r="FL2" s="145" t="s">
        <v>168</v>
      </c>
      <c r="FM2" s="145" t="s">
        <v>169</v>
      </c>
      <c r="FN2" s="145" t="s">
        <v>170</v>
      </c>
      <c r="FO2" s="145" t="s">
        <v>171</v>
      </c>
      <c r="FP2" s="145" t="s">
        <v>172</v>
      </c>
      <c r="FQ2" s="145" t="s">
        <v>173</v>
      </c>
      <c r="FR2" s="145" t="s">
        <v>174</v>
      </c>
      <c r="FS2" s="145" t="s">
        <v>175</v>
      </c>
      <c r="FT2" s="145" t="s">
        <v>176</v>
      </c>
      <c r="FU2" s="145" t="s">
        <v>177</v>
      </c>
      <c r="FV2" s="145" t="s">
        <v>178</v>
      </c>
      <c r="FW2" s="145" t="s">
        <v>179</v>
      </c>
      <c r="FX2" s="145" t="s">
        <v>180</v>
      </c>
      <c r="FY2" s="145" t="s">
        <v>181</v>
      </c>
      <c r="FZ2" s="145" t="s">
        <v>182</v>
      </c>
      <c r="GA2" s="145" t="s">
        <v>183</v>
      </c>
      <c r="GB2" s="145" t="s">
        <v>184</v>
      </c>
      <c r="GC2" s="145" t="s">
        <v>185</v>
      </c>
      <c r="GD2" s="145" t="s">
        <v>186</v>
      </c>
      <c r="GE2" s="145" t="s">
        <v>187</v>
      </c>
      <c r="GF2" s="145" t="s">
        <v>188</v>
      </c>
      <c r="GG2" s="145" t="s">
        <v>189</v>
      </c>
      <c r="GH2" s="145" t="s">
        <v>190</v>
      </c>
      <c r="GI2" s="145" t="s">
        <v>191</v>
      </c>
      <c r="GJ2" s="145" t="s">
        <v>192</v>
      </c>
      <c r="GK2" s="145" t="s">
        <v>193</v>
      </c>
      <c r="GL2" s="145" t="s">
        <v>194</v>
      </c>
      <c r="GM2" s="145" t="s">
        <v>195</v>
      </c>
      <c r="GN2" s="145" t="s">
        <v>196</v>
      </c>
      <c r="GO2" s="145" t="s">
        <v>197</v>
      </c>
      <c r="GP2" s="145" t="s">
        <v>198</v>
      </c>
      <c r="GQ2" s="145" t="s">
        <v>199</v>
      </c>
      <c r="GR2" s="145" t="s">
        <v>200</v>
      </c>
      <c r="GS2" s="145"/>
      <c r="GT2" s="145"/>
      <c r="GU2" s="145"/>
      <c r="GV2" s="145"/>
    </row>
    <row r="3" spans="1:204" ht="15.6">
      <c r="A3" s="26">
        <f>'Payroll MRO'!A3</f>
        <v>46023</v>
      </c>
      <c r="B3" s="27" t="str">
        <f>TEXT(A3,"DDD")</f>
        <v>Thu</v>
      </c>
      <c r="C3" s="28">
        <f>SUM(D3:GV3)</f>
        <v>814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56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62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10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0</v>
      </c>
      <c r="CH3" s="5">
        <v>8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  <c r="CN3" s="5">
        <v>51</v>
      </c>
      <c r="CO3" s="5">
        <v>0</v>
      </c>
      <c r="CP3" s="5">
        <v>0</v>
      </c>
      <c r="CQ3" s="5">
        <v>0</v>
      </c>
      <c r="CR3" s="5">
        <v>10</v>
      </c>
      <c r="CS3" s="5">
        <v>0</v>
      </c>
      <c r="CT3" s="5">
        <v>0</v>
      </c>
      <c r="CU3" s="5">
        <v>0</v>
      </c>
      <c r="CV3" s="5">
        <v>0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0</v>
      </c>
      <c r="DD3" s="5">
        <v>0</v>
      </c>
      <c r="DE3" s="5">
        <v>0</v>
      </c>
      <c r="DF3" s="5">
        <v>0</v>
      </c>
      <c r="DG3" s="5">
        <v>0</v>
      </c>
      <c r="DH3" s="5">
        <v>0</v>
      </c>
      <c r="DI3" s="5">
        <v>0</v>
      </c>
      <c r="DJ3" s="5">
        <v>0</v>
      </c>
      <c r="DK3" s="5">
        <v>69</v>
      </c>
      <c r="DL3" s="5">
        <v>0</v>
      </c>
      <c r="DM3" s="5">
        <v>0</v>
      </c>
      <c r="DN3" s="5">
        <v>0</v>
      </c>
      <c r="DO3" s="5">
        <v>0</v>
      </c>
      <c r="DP3" s="5">
        <v>0</v>
      </c>
      <c r="DQ3" s="5">
        <v>0</v>
      </c>
      <c r="DR3" s="5">
        <v>0</v>
      </c>
      <c r="DS3" s="5">
        <v>0</v>
      </c>
      <c r="DT3" s="5">
        <v>0</v>
      </c>
      <c r="DU3" s="5">
        <v>0</v>
      </c>
      <c r="DV3" s="5">
        <v>0</v>
      </c>
      <c r="DW3" s="5">
        <v>0</v>
      </c>
      <c r="DX3" s="5">
        <v>3</v>
      </c>
      <c r="DY3" s="5">
        <v>0</v>
      </c>
      <c r="DZ3" s="5">
        <v>0</v>
      </c>
      <c r="EA3" s="5">
        <v>0</v>
      </c>
      <c r="EB3" s="5">
        <v>0</v>
      </c>
      <c r="EC3" s="5">
        <v>0</v>
      </c>
      <c r="ED3" s="5">
        <v>0</v>
      </c>
      <c r="EE3" s="5">
        <v>0</v>
      </c>
      <c r="EF3" s="5">
        <v>0</v>
      </c>
      <c r="EG3" s="5">
        <v>0</v>
      </c>
      <c r="EH3" s="5">
        <v>0</v>
      </c>
      <c r="EI3" s="5">
        <v>0</v>
      </c>
      <c r="EJ3" s="5">
        <v>0</v>
      </c>
      <c r="EK3" s="5">
        <v>0</v>
      </c>
      <c r="EL3" s="5">
        <v>0</v>
      </c>
      <c r="EM3" s="5">
        <v>0</v>
      </c>
      <c r="EN3" s="5">
        <v>0</v>
      </c>
      <c r="EO3" s="5">
        <v>0</v>
      </c>
      <c r="EP3" s="5">
        <v>0</v>
      </c>
      <c r="EQ3" s="5">
        <v>0</v>
      </c>
      <c r="ER3" s="5">
        <v>0</v>
      </c>
      <c r="ES3" s="5">
        <v>0</v>
      </c>
      <c r="ET3" s="5">
        <v>0</v>
      </c>
      <c r="EU3" s="5">
        <v>0</v>
      </c>
      <c r="EV3" s="5">
        <v>0</v>
      </c>
      <c r="EW3" s="5">
        <v>0</v>
      </c>
      <c r="EX3" s="5">
        <v>0</v>
      </c>
      <c r="EY3" s="5">
        <v>0</v>
      </c>
      <c r="EZ3" s="5">
        <v>0</v>
      </c>
      <c r="FA3" s="5">
        <v>0</v>
      </c>
      <c r="FB3" s="5">
        <v>0</v>
      </c>
      <c r="FC3" s="5">
        <v>0</v>
      </c>
      <c r="FD3" s="5">
        <v>0</v>
      </c>
      <c r="FE3" s="5">
        <v>0</v>
      </c>
      <c r="FF3" s="5">
        <v>0</v>
      </c>
      <c r="FG3" s="5">
        <v>0</v>
      </c>
      <c r="FH3" s="5">
        <v>290</v>
      </c>
      <c r="FI3" s="5">
        <v>0</v>
      </c>
      <c r="FJ3" s="5">
        <v>0</v>
      </c>
      <c r="FK3" s="5">
        <v>0</v>
      </c>
      <c r="FL3" s="5">
        <v>0</v>
      </c>
      <c r="FM3" s="5">
        <v>0</v>
      </c>
      <c r="FN3" s="5">
        <v>0</v>
      </c>
      <c r="FO3" s="5">
        <v>0</v>
      </c>
      <c r="FP3" s="5">
        <v>0</v>
      </c>
      <c r="FQ3" s="5">
        <v>0</v>
      </c>
      <c r="FR3" s="5">
        <v>0</v>
      </c>
      <c r="FS3" s="5">
        <v>200</v>
      </c>
      <c r="FT3" s="5">
        <v>0</v>
      </c>
      <c r="FU3" s="5">
        <v>0</v>
      </c>
      <c r="FV3" s="5">
        <v>0</v>
      </c>
      <c r="FW3" s="5">
        <v>0</v>
      </c>
      <c r="FX3" s="5">
        <v>0</v>
      </c>
      <c r="FY3" s="5">
        <v>0</v>
      </c>
      <c r="FZ3" s="5">
        <v>0</v>
      </c>
      <c r="GA3" s="5">
        <v>0</v>
      </c>
      <c r="GB3" s="5">
        <v>0</v>
      </c>
      <c r="GC3" s="5">
        <v>0</v>
      </c>
      <c r="GD3" s="5">
        <v>0</v>
      </c>
      <c r="GE3" s="5">
        <v>28</v>
      </c>
      <c r="GF3" s="5">
        <v>0</v>
      </c>
      <c r="GG3" s="5">
        <v>0</v>
      </c>
      <c r="GH3" s="5">
        <v>0</v>
      </c>
      <c r="GI3" s="5">
        <v>0</v>
      </c>
      <c r="GJ3" s="5">
        <v>0</v>
      </c>
      <c r="GK3" s="5">
        <v>0</v>
      </c>
      <c r="GL3" s="5">
        <v>27</v>
      </c>
      <c r="GM3" s="5">
        <v>0</v>
      </c>
      <c r="GN3" s="5">
        <v>0</v>
      </c>
      <c r="GO3" s="5">
        <v>0</v>
      </c>
      <c r="GP3" s="5">
        <v>0</v>
      </c>
      <c r="GQ3" s="5">
        <v>0</v>
      </c>
      <c r="GR3" s="5">
        <v>0</v>
      </c>
      <c r="GS3" s="5"/>
      <c r="GT3" s="5"/>
      <c r="GU3" s="5"/>
      <c r="GV3" s="5"/>
    </row>
    <row r="4" spans="1:204" ht="15.6">
      <c r="A4" s="26">
        <f>A3+1</f>
        <v>46024</v>
      </c>
      <c r="B4" s="27" t="str">
        <f t="shared" ref="B4:B32" si="0">TEXT(A4,"DDD")</f>
        <v>Fri</v>
      </c>
      <c r="C4" s="28">
        <f t="shared" ref="C4:C32" si="1">SUM(D4:GV4)</f>
        <v>2443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32</v>
      </c>
      <c r="O4" s="5">
        <v>0</v>
      </c>
      <c r="P4" s="5">
        <v>0</v>
      </c>
      <c r="Q4" s="5">
        <v>0</v>
      </c>
      <c r="R4" s="5">
        <v>0</v>
      </c>
      <c r="S4" s="5">
        <v>57</v>
      </c>
      <c r="T4" s="5">
        <v>136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36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10</v>
      </c>
      <c r="AW4" s="5">
        <v>30</v>
      </c>
      <c r="AX4" s="5">
        <v>82</v>
      </c>
      <c r="AY4" s="5">
        <v>17</v>
      </c>
      <c r="AZ4" s="5">
        <v>0</v>
      </c>
      <c r="BA4" s="5">
        <v>87</v>
      </c>
      <c r="BB4" s="5">
        <v>0</v>
      </c>
      <c r="BC4" s="5">
        <v>0</v>
      </c>
      <c r="BD4" s="5">
        <v>250</v>
      </c>
      <c r="BE4" s="5">
        <v>40</v>
      </c>
      <c r="BF4" s="5">
        <v>0</v>
      </c>
      <c r="BG4" s="5">
        <v>0</v>
      </c>
      <c r="BH4" s="5">
        <v>0</v>
      </c>
      <c r="BI4" s="5">
        <v>72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38</v>
      </c>
      <c r="BT4" s="5">
        <v>0</v>
      </c>
      <c r="BU4" s="5">
        <v>0</v>
      </c>
      <c r="BV4" s="5">
        <v>0</v>
      </c>
      <c r="BW4" s="5">
        <v>0</v>
      </c>
      <c r="BX4" s="5">
        <v>0</v>
      </c>
      <c r="BY4" s="5">
        <v>0</v>
      </c>
      <c r="BZ4" s="5">
        <v>13</v>
      </c>
      <c r="CA4" s="5">
        <v>0</v>
      </c>
      <c r="CB4" s="5">
        <v>0</v>
      </c>
      <c r="CC4" s="5">
        <v>26</v>
      </c>
      <c r="CD4" s="5">
        <v>0</v>
      </c>
      <c r="CE4" s="5">
        <v>0</v>
      </c>
      <c r="CF4" s="5">
        <v>17</v>
      </c>
      <c r="CG4" s="5">
        <v>0</v>
      </c>
      <c r="CH4" s="5">
        <v>47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  <c r="CN4" s="5">
        <v>57</v>
      </c>
      <c r="CO4" s="5">
        <v>0</v>
      </c>
      <c r="CP4" s="5">
        <v>0</v>
      </c>
      <c r="CQ4" s="5">
        <v>0</v>
      </c>
      <c r="CR4" s="5">
        <v>25</v>
      </c>
      <c r="CS4" s="5">
        <v>5</v>
      </c>
      <c r="CT4" s="5">
        <v>0</v>
      </c>
      <c r="CU4" s="5">
        <v>0</v>
      </c>
      <c r="CV4" s="5">
        <v>0</v>
      </c>
      <c r="CW4" s="5">
        <v>0</v>
      </c>
      <c r="CX4" s="5">
        <v>0</v>
      </c>
      <c r="CY4" s="5">
        <v>0</v>
      </c>
      <c r="CZ4" s="5">
        <v>33</v>
      </c>
      <c r="DA4" s="5">
        <v>43</v>
      </c>
      <c r="DB4" s="5">
        <v>0</v>
      </c>
      <c r="DC4" s="5">
        <v>0</v>
      </c>
      <c r="DD4" s="5">
        <v>0</v>
      </c>
      <c r="DE4" s="5">
        <v>0</v>
      </c>
      <c r="DF4" s="5">
        <v>0</v>
      </c>
      <c r="DG4" s="5">
        <v>0</v>
      </c>
      <c r="DH4" s="5">
        <v>0</v>
      </c>
      <c r="DI4" s="5">
        <v>0</v>
      </c>
      <c r="DJ4" s="5">
        <v>0</v>
      </c>
      <c r="DK4" s="5">
        <v>0</v>
      </c>
      <c r="DL4" s="5">
        <v>20</v>
      </c>
      <c r="DM4" s="5">
        <v>0</v>
      </c>
      <c r="DN4" s="5">
        <v>28</v>
      </c>
      <c r="DO4" s="5">
        <v>0</v>
      </c>
      <c r="DP4" s="5">
        <v>0</v>
      </c>
      <c r="DQ4" s="5">
        <v>0</v>
      </c>
      <c r="DR4" s="5">
        <v>0</v>
      </c>
      <c r="DS4" s="5">
        <v>46</v>
      </c>
      <c r="DT4" s="5">
        <v>0</v>
      </c>
      <c r="DU4" s="5">
        <v>24</v>
      </c>
      <c r="DV4" s="5">
        <v>0</v>
      </c>
      <c r="DW4" s="5">
        <v>0</v>
      </c>
      <c r="DX4" s="5">
        <v>28</v>
      </c>
      <c r="DY4" s="5">
        <v>0</v>
      </c>
      <c r="DZ4" s="5">
        <v>70</v>
      </c>
      <c r="EA4" s="5">
        <v>0</v>
      </c>
      <c r="EB4" s="5">
        <v>20</v>
      </c>
      <c r="EC4" s="5">
        <v>0</v>
      </c>
      <c r="ED4" s="5">
        <v>0</v>
      </c>
      <c r="EE4" s="5">
        <v>0</v>
      </c>
      <c r="EF4" s="5">
        <v>0</v>
      </c>
      <c r="EG4" s="5">
        <v>0</v>
      </c>
      <c r="EH4" s="5">
        <v>0</v>
      </c>
      <c r="EI4" s="5">
        <v>0</v>
      </c>
      <c r="EJ4" s="5">
        <v>53</v>
      </c>
      <c r="EK4" s="5">
        <v>0</v>
      </c>
      <c r="EL4" s="5">
        <v>0</v>
      </c>
      <c r="EM4" s="5">
        <v>0</v>
      </c>
      <c r="EN4" s="5">
        <v>0</v>
      </c>
      <c r="EO4" s="5">
        <v>55</v>
      </c>
      <c r="EP4" s="5">
        <v>0</v>
      </c>
      <c r="EQ4" s="5">
        <v>0</v>
      </c>
      <c r="ER4" s="5">
        <v>0</v>
      </c>
      <c r="ES4" s="5">
        <v>0</v>
      </c>
      <c r="ET4" s="5">
        <v>0</v>
      </c>
      <c r="EU4" s="5">
        <v>0</v>
      </c>
      <c r="EV4" s="5">
        <v>47</v>
      </c>
      <c r="EW4" s="5">
        <v>0</v>
      </c>
      <c r="EX4" s="5">
        <v>38</v>
      </c>
      <c r="EY4" s="5">
        <v>0</v>
      </c>
      <c r="EZ4" s="5">
        <v>24</v>
      </c>
      <c r="FA4" s="5">
        <v>0</v>
      </c>
      <c r="FB4" s="5">
        <v>0</v>
      </c>
      <c r="FC4" s="5">
        <v>0</v>
      </c>
      <c r="FD4" s="5">
        <v>0</v>
      </c>
      <c r="FE4" s="5">
        <v>0</v>
      </c>
      <c r="FF4" s="5">
        <v>0</v>
      </c>
      <c r="FG4" s="5">
        <v>0</v>
      </c>
      <c r="FH4" s="5">
        <v>352</v>
      </c>
      <c r="FI4" s="5">
        <v>0</v>
      </c>
      <c r="FJ4" s="5">
        <v>0</v>
      </c>
      <c r="FK4" s="5">
        <v>0</v>
      </c>
      <c r="FL4" s="5">
        <v>0</v>
      </c>
      <c r="FM4" s="5">
        <v>0</v>
      </c>
      <c r="FN4" s="5">
        <v>0</v>
      </c>
      <c r="FO4" s="5">
        <v>16</v>
      </c>
      <c r="FP4" s="5">
        <v>0</v>
      </c>
      <c r="FQ4" s="5">
        <v>71</v>
      </c>
      <c r="FR4" s="5">
        <v>0</v>
      </c>
      <c r="FS4" s="5">
        <v>23</v>
      </c>
      <c r="FT4" s="5">
        <v>94</v>
      </c>
      <c r="FU4" s="5">
        <v>0</v>
      </c>
      <c r="FV4" s="5">
        <v>0</v>
      </c>
      <c r="FW4" s="5">
        <v>0</v>
      </c>
      <c r="FX4" s="5">
        <v>0</v>
      </c>
      <c r="FY4" s="5">
        <v>35</v>
      </c>
      <c r="FZ4" s="5">
        <v>78</v>
      </c>
      <c r="GA4" s="5">
        <v>0</v>
      </c>
      <c r="GB4" s="5">
        <v>0</v>
      </c>
      <c r="GC4" s="5">
        <v>0</v>
      </c>
      <c r="GD4" s="5">
        <v>0</v>
      </c>
      <c r="GE4" s="5">
        <v>66</v>
      </c>
      <c r="GF4" s="5">
        <v>0</v>
      </c>
      <c r="GG4" s="5">
        <v>0</v>
      </c>
      <c r="GH4" s="5">
        <v>0</v>
      </c>
      <c r="GI4" s="5">
        <v>0</v>
      </c>
      <c r="GJ4" s="5">
        <v>0</v>
      </c>
      <c r="GK4" s="5">
        <v>54</v>
      </c>
      <c r="GL4" s="5">
        <v>0</v>
      </c>
      <c r="GM4" s="5">
        <v>0</v>
      </c>
      <c r="GN4" s="5">
        <v>0</v>
      </c>
      <c r="GO4" s="5">
        <v>48</v>
      </c>
      <c r="GP4" s="5">
        <v>0</v>
      </c>
      <c r="GQ4" s="5">
        <v>0</v>
      </c>
      <c r="GR4" s="5">
        <v>0</v>
      </c>
      <c r="GS4" s="5"/>
      <c r="GT4" s="5"/>
      <c r="GU4" s="5"/>
      <c r="GV4" s="5"/>
    </row>
    <row r="5" spans="1:204" ht="15.6">
      <c r="A5" s="26">
        <f t="shared" ref="A5:A30" si="2">A4+1</f>
        <v>46025</v>
      </c>
      <c r="B5" s="27" t="str">
        <f t="shared" si="0"/>
        <v>Sat</v>
      </c>
      <c r="C5" s="28">
        <f t="shared" si="1"/>
        <v>250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22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42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35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25</v>
      </c>
      <c r="CS5" s="5">
        <v>10</v>
      </c>
      <c r="CT5" s="5">
        <v>0</v>
      </c>
      <c r="CU5" s="5">
        <v>0</v>
      </c>
      <c r="CV5" s="5">
        <v>0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36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0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0</v>
      </c>
      <c r="ES5" s="5">
        <v>0</v>
      </c>
      <c r="ET5" s="5">
        <v>0</v>
      </c>
      <c r="EU5" s="5">
        <v>0</v>
      </c>
      <c r="EV5" s="5">
        <v>0</v>
      </c>
      <c r="EW5" s="5">
        <v>8</v>
      </c>
      <c r="EX5" s="5">
        <v>0</v>
      </c>
      <c r="EY5" s="5">
        <v>0</v>
      </c>
      <c r="EZ5" s="5">
        <v>0</v>
      </c>
      <c r="FA5" s="5">
        <v>0</v>
      </c>
      <c r="FB5" s="5">
        <v>0</v>
      </c>
      <c r="FC5" s="5">
        <v>0</v>
      </c>
      <c r="FD5" s="5">
        <v>0</v>
      </c>
      <c r="FE5" s="5">
        <v>0</v>
      </c>
      <c r="FF5" s="5">
        <v>0</v>
      </c>
      <c r="FG5" s="5">
        <v>0</v>
      </c>
      <c r="FH5" s="5">
        <v>72</v>
      </c>
      <c r="FI5" s="5">
        <v>0</v>
      </c>
      <c r="FJ5" s="5">
        <v>0</v>
      </c>
      <c r="FK5" s="5">
        <v>0</v>
      </c>
      <c r="FL5" s="5">
        <v>0</v>
      </c>
      <c r="FM5" s="5">
        <v>0</v>
      </c>
      <c r="FN5" s="5">
        <v>0</v>
      </c>
      <c r="FO5" s="5">
        <v>0</v>
      </c>
      <c r="FP5" s="5">
        <v>0</v>
      </c>
      <c r="FQ5" s="5">
        <v>0</v>
      </c>
      <c r="FR5" s="5">
        <v>0</v>
      </c>
      <c r="FS5" s="5">
        <v>0</v>
      </c>
      <c r="FT5" s="5">
        <v>0</v>
      </c>
      <c r="FU5" s="5">
        <v>0</v>
      </c>
      <c r="FV5" s="5">
        <v>0</v>
      </c>
      <c r="FW5" s="5">
        <v>0</v>
      </c>
      <c r="FX5" s="5">
        <v>0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0</v>
      </c>
      <c r="GL5" s="5">
        <v>0</v>
      </c>
      <c r="GM5" s="5">
        <v>0</v>
      </c>
      <c r="GN5" s="5">
        <v>0</v>
      </c>
      <c r="GO5" s="5">
        <v>0</v>
      </c>
      <c r="GP5" s="5">
        <v>0</v>
      </c>
      <c r="GQ5" s="5">
        <v>0</v>
      </c>
      <c r="GR5" s="5">
        <v>0</v>
      </c>
      <c r="GS5" s="5"/>
      <c r="GT5" s="5"/>
      <c r="GU5" s="5"/>
      <c r="GV5" s="5"/>
    </row>
    <row r="6" spans="1:204" ht="15.6">
      <c r="A6" s="26">
        <f t="shared" si="2"/>
        <v>46026</v>
      </c>
      <c r="B6" s="27" t="str">
        <f t="shared" si="0"/>
        <v>Sun</v>
      </c>
      <c r="C6" s="28">
        <f t="shared" si="1"/>
        <v>73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9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9</v>
      </c>
      <c r="CS6" s="5">
        <v>6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>
        <v>0</v>
      </c>
      <c r="DZ6" s="5">
        <v>0</v>
      </c>
      <c r="EA6" s="5">
        <v>0</v>
      </c>
      <c r="EB6" s="5">
        <v>0</v>
      </c>
      <c r="EC6" s="5">
        <v>0</v>
      </c>
      <c r="ED6" s="5">
        <v>0</v>
      </c>
      <c r="EE6" s="5">
        <v>0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5">
        <v>0</v>
      </c>
      <c r="EL6" s="5">
        <v>0</v>
      </c>
      <c r="EM6" s="5">
        <v>0</v>
      </c>
      <c r="EN6" s="5">
        <v>0</v>
      </c>
      <c r="EO6" s="5">
        <v>0</v>
      </c>
      <c r="EP6" s="5">
        <v>0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  <c r="EV6" s="5">
        <v>0</v>
      </c>
      <c r="EW6" s="5">
        <v>0</v>
      </c>
      <c r="EX6" s="5">
        <v>0</v>
      </c>
      <c r="EY6" s="5">
        <v>0</v>
      </c>
      <c r="EZ6" s="5">
        <v>0</v>
      </c>
      <c r="FA6" s="5">
        <v>0</v>
      </c>
      <c r="FB6" s="5">
        <v>0</v>
      </c>
      <c r="FC6" s="5">
        <v>0</v>
      </c>
      <c r="FD6" s="5">
        <v>0</v>
      </c>
      <c r="FE6" s="5">
        <v>0</v>
      </c>
      <c r="FF6" s="5">
        <v>0</v>
      </c>
      <c r="FG6" s="5">
        <v>0</v>
      </c>
      <c r="FH6" s="5">
        <v>17</v>
      </c>
      <c r="FI6" s="5">
        <v>0</v>
      </c>
      <c r="FJ6" s="5">
        <v>0</v>
      </c>
      <c r="FK6" s="5">
        <v>0</v>
      </c>
      <c r="FL6" s="5">
        <v>0</v>
      </c>
      <c r="FM6" s="5">
        <v>0</v>
      </c>
      <c r="FN6" s="5">
        <v>0</v>
      </c>
      <c r="FO6" s="5">
        <v>0</v>
      </c>
      <c r="FP6" s="5">
        <v>0</v>
      </c>
      <c r="FQ6" s="5">
        <v>0</v>
      </c>
      <c r="FR6" s="5">
        <v>0</v>
      </c>
      <c r="FS6" s="5">
        <v>0</v>
      </c>
      <c r="FT6" s="5">
        <v>0</v>
      </c>
      <c r="FU6" s="5">
        <v>0</v>
      </c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5">
        <v>0</v>
      </c>
      <c r="GB6" s="5">
        <v>0</v>
      </c>
      <c r="GC6" s="5">
        <v>0</v>
      </c>
      <c r="GD6" s="5">
        <v>0</v>
      </c>
      <c r="GE6" s="5">
        <v>32</v>
      </c>
      <c r="GF6" s="5">
        <v>0</v>
      </c>
      <c r="GG6" s="5">
        <v>0</v>
      </c>
      <c r="GH6" s="5">
        <v>0</v>
      </c>
      <c r="GI6" s="5">
        <v>0</v>
      </c>
      <c r="GJ6" s="5">
        <v>0</v>
      </c>
      <c r="GK6" s="5">
        <v>0</v>
      </c>
      <c r="GL6" s="5">
        <v>0</v>
      </c>
      <c r="GM6" s="5">
        <v>0</v>
      </c>
      <c r="GN6" s="5">
        <v>0</v>
      </c>
      <c r="GO6" s="5">
        <v>0</v>
      </c>
      <c r="GP6" s="5">
        <v>0</v>
      </c>
      <c r="GQ6" s="5">
        <v>0</v>
      </c>
      <c r="GR6" s="5">
        <v>0</v>
      </c>
      <c r="GS6" s="5"/>
      <c r="GT6" s="5"/>
      <c r="GU6" s="5"/>
      <c r="GV6" s="5"/>
    </row>
    <row r="7" spans="1:204" ht="15.6">
      <c r="A7" s="26">
        <f t="shared" si="2"/>
        <v>46027</v>
      </c>
      <c r="B7" s="27" t="str">
        <f t="shared" si="0"/>
        <v>Mon</v>
      </c>
      <c r="C7" s="28">
        <f t="shared" si="1"/>
        <v>2531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16</v>
      </c>
      <c r="O7" s="5">
        <v>66</v>
      </c>
      <c r="P7" s="5">
        <v>0</v>
      </c>
      <c r="Q7" s="5">
        <v>0</v>
      </c>
      <c r="R7" s="5">
        <v>0</v>
      </c>
      <c r="S7" s="5">
        <v>53</v>
      </c>
      <c r="T7" s="5">
        <v>96</v>
      </c>
      <c r="U7" s="5">
        <v>17</v>
      </c>
      <c r="V7" s="5">
        <v>0</v>
      </c>
      <c r="W7" s="5">
        <v>0</v>
      </c>
      <c r="X7" s="5">
        <v>0</v>
      </c>
      <c r="Y7" s="5">
        <v>0</v>
      </c>
      <c r="Z7" s="5">
        <v>51</v>
      </c>
      <c r="AA7" s="5">
        <v>0</v>
      </c>
      <c r="AB7" s="5">
        <v>0</v>
      </c>
      <c r="AC7" s="5">
        <v>0</v>
      </c>
      <c r="AD7" s="5">
        <v>74</v>
      </c>
      <c r="AE7" s="5">
        <v>0</v>
      </c>
      <c r="AF7" s="5">
        <v>0</v>
      </c>
      <c r="AG7" s="5">
        <v>0</v>
      </c>
      <c r="AH7" s="5">
        <v>39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27</v>
      </c>
      <c r="AV7" s="5">
        <v>21</v>
      </c>
      <c r="AW7" s="5">
        <v>30</v>
      </c>
      <c r="AX7" s="5">
        <v>31</v>
      </c>
      <c r="AY7" s="5">
        <v>0</v>
      </c>
      <c r="AZ7" s="5">
        <v>0</v>
      </c>
      <c r="BA7" s="5">
        <v>75</v>
      </c>
      <c r="BB7" s="5">
        <v>0</v>
      </c>
      <c r="BC7" s="5">
        <v>0</v>
      </c>
      <c r="BD7" s="5">
        <v>234</v>
      </c>
      <c r="BE7" s="5">
        <v>23</v>
      </c>
      <c r="BF7" s="5">
        <v>0</v>
      </c>
      <c r="BG7" s="5">
        <v>0</v>
      </c>
      <c r="BH7" s="5">
        <v>0</v>
      </c>
      <c r="BI7" s="5">
        <v>17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46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17</v>
      </c>
      <c r="CD7" s="5">
        <v>204</v>
      </c>
      <c r="CE7" s="5">
        <v>0</v>
      </c>
      <c r="CF7" s="5">
        <v>21</v>
      </c>
      <c r="CG7" s="5">
        <v>0</v>
      </c>
      <c r="CH7" s="5">
        <v>18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5</v>
      </c>
      <c r="CT7" s="5">
        <v>22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30</v>
      </c>
      <c r="DA7" s="5">
        <v>33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2</v>
      </c>
      <c r="DM7" s="5">
        <v>0</v>
      </c>
      <c r="DN7" s="5">
        <v>75</v>
      </c>
      <c r="DO7" s="5">
        <v>0</v>
      </c>
      <c r="DP7" s="5">
        <v>0</v>
      </c>
      <c r="DQ7" s="5">
        <v>0</v>
      </c>
      <c r="DR7" s="5">
        <v>0</v>
      </c>
      <c r="DS7" s="5">
        <v>83</v>
      </c>
      <c r="DT7" s="5">
        <v>0</v>
      </c>
      <c r="DU7" s="5">
        <v>21</v>
      </c>
      <c r="DV7" s="5">
        <v>0</v>
      </c>
      <c r="DW7" s="5">
        <v>0</v>
      </c>
      <c r="DX7" s="5">
        <v>29</v>
      </c>
      <c r="DY7" s="5">
        <v>49</v>
      </c>
      <c r="DZ7" s="5">
        <v>135</v>
      </c>
      <c r="EA7" s="5">
        <v>0</v>
      </c>
      <c r="EB7" s="5">
        <v>24</v>
      </c>
      <c r="EC7" s="5">
        <v>0</v>
      </c>
      <c r="ED7" s="5">
        <v>0</v>
      </c>
      <c r="EE7" s="5">
        <v>0</v>
      </c>
      <c r="EF7" s="5">
        <v>0</v>
      </c>
      <c r="EG7" s="5">
        <v>0</v>
      </c>
      <c r="EH7" s="5">
        <v>0</v>
      </c>
      <c r="EI7" s="5">
        <v>0</v>
      </c>
      <c r="EJ7" s="5">
        <v>38</v>
      </c>
      <c r="EK7" s="5">
        <v>0</v>
      </c>
      <c r="EL7" s="5">
        <v>0</v>
      </c>
      <c r="EM7" s="5">
        <v>0</v>
      </c>
      <c r="EN7" s="5">
        <v>0</v>
      </c>
      <c r="EO7" s="5">
        <v>40</v>
      </c>
      <c r="EP7" s="5">
        <v>0</v>
      </c>
      <c r="EQ7" s="5">
        <v>0</v>
      </c>
      <c r="ER7" s="5">
        <v>0</v>
      </c>
      <c r="ES7" s="5">
        <v>0</v>
      </c>
      <c r="ET7" s="5">
        <v>0</v>
      </c>
      <c r="EU7" s="5">
        <v>18</v>
      </c>
      <c r="EV7" s="5">
        <v>12</v>
      </c>
      <c r="EW7" s="5">
        <v>36</v>
      </c>
      <c r="EX7" s="5">
        <v>26</v>
      </c>
      <c r="EY7" s="5">
        <v>0</v>
      </c>
      <c r="EZ7" s="5">
        <v>5</v>
      </c>
      <c r="FA7" s="5">
        <v>0</v>
      </c>
      <c r="FB7" s="5">
        <v>0</v>
      </c>
      <c r="FC7" s="5">
        <v>0</v>
      </c>
      <c r="FD7" s="5">
        <v>20</v>
      </c>
      <c r="FE7" s="5">
        <v>0</v>
      </c>
      <c r="FF7" s="5">
        <v>0</v>
      </c>
      <c r="FG7" s="5">
        <v>0</v>
      </c>
      <c r="FH7" s="5">
        <v>213</v>
      </c>
      <c r="FI7" s="5">
        <v>0</v>
      </c>
      <c r="FJ7" s="5">
        <v>0</v>
      </c>
      <c r="FK7" s="5">
        <v>0</v>
      </c>
      <c r="FL7" s="5">
        <v>0</v>
      </c>
      <c r="FM7" s="5">
        <v>0</v>
      </c>
      <c r="FN7" s="5">
        <v>0</v>
      </c>
      <c r="FO7" s="5">
        <v>40</v>
      </c>
      <c r="FP7" s="5">
        <v>0</v>
      </c>
      <c r="FQ7" s="5">
        <v>55</v>
      </c>
      <c r="FR7" s="5">
        <v>0</v>
      </c>
      <c r="FS7" s="5">
        <v>42</v>
      </c>
      <c r="FT7" s="5">
        <v>32</v>
      </c>
      <c r="FU7" s="5">
        <v>0</v>
      </c>
      <c r="FV7" s="5">
        <v>0</v>
      </c>
      <c r="FW7" s="5">
        <v>0</v>
      </c>
      <c r="FX7" s="5">
        <v>0</v>
      </c>
      <c r="FY7" s="5">
        <v>35</v>
      </c>
      <c r="FZ7" s="5">
        <v>25</v>
      </c>
      <c r="GA7" s="5">
        <v>0</v>
      </c>
      <c r="GB7" s="5">
        <v>0</v>
      </c>
      <c r="GC7" s="5">
        <v>0</v>
      </c>
      <c r="GD7" s="5">
        <v>0</v>
      </c>
      <c r="GE7" s="5">
        <v>41</v>
      </c>
      <c r="GF7" s="5">
        <v>0</v>
      </c>
      <c r="GG7" s="5">
        <v>0</v>
      </c>
      <c r="GH7" s="5">
        <v>0</v>
      </c>
      <c r="GI7" s="5">
        <v>31</v>
      </c>
      <c r="GJ7" s="5">
        <v>0</v>
      </c>
      <c r="GK7" s="5">
        <v>41</v>
      </c>
      <c r="GL7" s="5">
        <v>66</v>
      </c>
      <c r="GM7" s="5">
        <v>0</v>
      </c>
      <c r="GN7" s="5">
        <v>0</v>
      </c>
      <c r="GO7" s="5">
        <v>31</v>
      </c>
      <c r="GP7" s="5">
        <v>0</v>
      </c>
      <c r="GQ7" s="5">
        <v>0</v>
      </c>
      <c r="GR7" s="5">
        <v>0</v>
      </c>
      <c r="GS7" s="5"/>
      <c r="GT7" s="5"/>
      <c r="GU7" s="5"/>
      <c r="GV7" s="5"/>
    </row>
    <row r="8" spans="1:204" ht="15.6">
      <c r="A8" s="26">
        <f t="shared" si="2"/>
        <v>46028</v>
      </c>
      <c r="B8" s="27" t="str">
        <f t="shared" si="0"/>
        <v>Tue</v>
      </c>
      <c r="C8" s="28">
        <f t="shared" si="1"/>
        <v>2614</v>
      </c>
      <c r="D8" s="5">
        <v>0</v>
      </c>
      <c r="E8" s="5">
        <v>27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12</v>
      </c>
      <c r="O8" s="5">
        <v>76</v>
      </c>
      <c r="P8" s="5">
        <v>0</v>
      </c>
      <c r="Q8" s="5">
        <v>0</v>
      </c>
      <c r="R8" s="5">
        <v>0</v>
      </c>
      <c r="S8" s="5">
        <v>53</v>
      </c>
      <c r="T8" s="5">
        <v>154</v>
      </c>
      <c r="U8" s="5">
        <v>16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84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11</v>
      </c>
      <c r="AL8" s="5">
        <v>0</v>
      </c>
      <c r="AM8" s="5">
        <v>0</v>
      </c>
      <c r="AN8" s="5">
        <v>0</v>
      </c>
      <c r="AO8" s="5">
        <v>33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35</v>
      </c>
      <c r="AV8" s="5">
        <v>0</v>
      </c>
      <c r="AW8" s="5">
        <v>42</v>
      </c>
      <c r="AX8" s="5">
        <v>69</v>
      </c>
      <c r="AY8" s="5">
        <v>26</v>
      </c>
      <c r="AZ8" s="5">
        <v>0</v>
      </c>
      <c r="BA8" s="5">
        <v>69</v>
      </c>
      <c r="BB8" s="5">
        <v>0</v>
      </c>
      <c r="BC8" s="5">
        <v>0</v>
      </c>
      <c r="BD8" s="5">
        <v>92</v>
      </c>
      <c r="BE8" s="5">
        <v>0</v>
      </c>
      <c r="BF8" s="5">
        <v>0</v>
      </c>
      <c r="BG8" s="5">
        <v>0</v>
      </c>
      <c r="BH8" s="5">
        <v>0</v>
      </c>
      <c r="BI8" s="5">
        <v>23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10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32</v>
      </c>
      <c r="CD8" s="5">
        <v>171</v>
      </c>
      <c r="CE8" s="5">
        <v>0</v>
      </c>
      <c r="CF8" s="5">
        <v>14</v>
      </c>
      <c r="CG8" s="5">
        <v>0</v>
      </c>
      <c r="CH8" s="5">
        <v>19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27</v>
      </c>
      <c r="CO8" s="5">
        <v>0</v>
      </c>
      <c r="CP8" s="5">
        <v>0</v>
      </c>
      <c r="CQ8" s="5">
        <v>0</v>
      </c>
      <c r="CR8" s="5">
        <v>2</v>
      </c>
      <c r="CS8" s="5">
        <v>6</v>
      </c>
      <c r="CT8" s="5">
        <v>10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40</v>
      </c>
      <c r="DA8" s="5">
        <v>34</v>
      </c>
      <c r="DB8" s="5">
        <v>0</v>
      </c>
      <c r="DC8" s="5">
        <v>0</v>
      </c>
      <c r="DD8" s="5">
        <v>23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51</v>
      </c>
      <c r="DL8" s="5">
        <v>25</v>
      </c>
      <c r="DM8" s="5">
        <v>0</v>
      </c>
      <c r="DN8" s="5">
        <v>108</v>
      </c>
      <c r="DO8" s="5">
        <v>0</v>
      </c>
      <c r="DP8" s="5">
        <v>0</v>
      </c>
      <c r="DQ8" s="5">
        <v>0</v>
      </c>
      <c r="DR8" s="5">
        <v>0</v>
      </c>
      <c r="DS8" s="5">
        <v>20</v>
      </c>
      <c r="DT8" s="5">
        <v>0</v>
      </c>
      <c r="DU8" s="5">
        <v>28</v>
      </c>
      <c r="DV8" s="5">
        <v>0</v>
      </c>
      <c r="DW8" s="5">
        <v>0</v>
      </c>
      <c r="DX8" s="5">
        <v>30</v>
      </c>
      <c r="DY8" s="5">
        <v>47</v>
      </c>
      <c r="DZ8" s="5">
        <v>79</v>
      </c>
      <c r="EA8" s="5">
        <v>0</v>
      </c>
      <c r="EB8" s="5">
        <v>28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12</v>
      </c>
      <c r="EI8" s="5">
        <v>0</v>
      </c>
      <c r="EJ8" s="5">
        <v>41</v>
      </c>
      <c r="EK8" s="5">
        <v>0</v>
      </c>
      <c r="EL8" s="5">
        <v>0</v>
      </c>
      <c r="EM8" s="5">
        <v>0</v>
      </c>
      <c r="EN8" s="5">
        <v>0</v>
      </c>
      <c r="EO8" s="5">
        <v>48</v>
      </c>
      <c r="EP8" s="5">
        <v>0</v>
      </c>
      <c r="EQ8" s="5">
        <v>0</v>
      </c>
      <c r="ER8" s="5">
        <v>0</v>
      </c>
      <c r="ES8" s="5">
        <v>0</v>
      </c>
      <c r="ET8" s="5">
        <v>0</v>
      </c>
      <c r="EU8" s="5">
        <v>14</v>
      </c>
      <c r="EV8" s="5">
        <v>21</v>
      </c>
      <c r="EW8" s="5">
        <v>0</v>
      </c>
      <c r="EX8" s="5">
        <v>42</v>
      </c>
      <c r="EY8" s="5">
        <v>0</v>
      </c>
      <c r="EZ8" s="5">
        <v>17</v>
      </c>
      <c r="FA8" s="5">
        <v>0</v>
      </c>
      <c r="FB8" s="5">
        <v>15</v>
      </c>
      <c r="FC8" s="5">
        <v>0</v>
      </c>
      <c r="FD8" s="5">
        <v>16</v>
      </c>
      <c r="FE8" s="5">
        <v>0</v>
      </c>
      <c r="FF8" s="5">
        <v>0</v>
      </c>
      <c r="FG8" s="5">
        <v>0</v>
      </c>
      <c r="FH8" s="5">
        <v>165</v>
      </c>
      <c r="FI8" s="5">
        <v>0</v>
      </c>
      <c r="FJ8" s="5">
        <v>0</v>
      </c>
      <c r="FK8" s="5">
        <v>0</v>
      </c>
      <c r="FL8" s="5">
        <v>0</v>
      </c>
      <c r="FM8" s="5">
        <v>0</v>
      </c>
      <c r="FN8" s="5">
        <v>0</v>
      </c>
      <c r="FO8" s="5">
        <v>40</v>
      </c>
      <c r="FP8" s="5">
        <v>0</v>
      </c>
      <c r="FQ8" s="5">
        <v>83</v>
      </c>
      <c r="FR8" s="5">
        <v>0</v>
      </c>
      <c r="FS8" s="5">
        <v>70</v>
      </c>
      <c r="FT8" s="5">
        <v>35</v>
      </c>
      <c r="FU8" s="5">
        <v>0</v>
      </c>
      <c r="FV8" s="5">
        <v>0</v>
      </c>
      <c r="FW8" s="5">
        <v>0</v>
      </c>
      <c r="FX8" s="5">
        <v>0</v>
      </c>
      <c r="FY8" s="5">
        <v>15</v>
      </c>
      <c r="FZ8" s="5">
        <v>45</v>
      </c>
      <c r="GA8" s="5">
        <v>0</v>
      </c>
      <c r="GB8" s="5">
        <v>0</v>
      </c>
      <c r="GC8" s="5">
        <v>0</v>
      </c>
      <c r="GD8" s="5">
        <v>0</v>
      </c>
      <c r="GE8" s="5">
        <v>78</v>
      </c>
      <c r="GF8" s="5">
        <v>0</v>
      </c>
      <c r="GG8" s="5">
        <v>0</v>
      </c>
      <c r="GH8" s="5">
        <v>0</v>
      </c>
      <c r="GI8" s="5">
        <v>0</v>
      </c>
      <c r="GJ8" s="5">
        <v>0</v>
      </c>
      <c r="GK8" s="5">
        <v>85</v>
      </c>
      <c r="GL8" s="5">
        <v>81</v>
      </c>
      <c r="GM8" s="5">
        <v>0</v>
      </c>
      <c r="GN8" s="5">
        <v>0</v>
      </c>
      <c r="GO8" s="5">
        <v>65</v>
      </c>
      <c r="GP8" s="5">
        <v>0</v>
      </c>
      <c r="GQ8" s="5">
        <v>0</v>
      </c>
      <c r="GR8" s="5">
        <v>0</v>
      </c>
      <c r="GS8" s="5"/>
      <c r="GT8" s="5"/>
      <c r="GU8" s="5"/>
      <c r="GV8" s="5"/>
    </row>
    <row r="9" spans="1:204" ht="15.6">
      <c r="A9" s="26">
        <f t="shared" si="2"/>
        <v>46029</v>
      </c>
      <c r="B9" s="27" t="str">
        <f t="shared" si="0"/>
        <v>Wed</v>
      </c>
      <c r="C9" s="28">
        <f t="shared" si="1"/>
        <v>2604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50</v>
      </c>
      <c r="O9" s="5">
        <v>71</v>
      </c>
      <c r="P9" s="5">
        <v>0</v>
      </c>
      <c r="Q9" s="5">
        <v>0</v>
      </c>
      <c r="R9" s="5">
        <v>0</v>
      </c>
      <c r="S9" s="5">
        <v>58</v>
      </c>
      <c r="T9" s="5">
        <v>157</v>
      </c>
      <c r="U9" s="5">
        <v>12</v>
      </c>
      <c r="V9" s="5">
        <v>0</v>
      </c>
      <c r="W9" s="5">
        <v>0</v>
      </c>
      <c r="X9" s="5">
        <v>0</v>
      </c>
      <c r="Y9" s="5">
        <v>0</v>
      </c>
      <c r="Z9" s="5">
        <v>57</v>
      </c>
      <c r="AA9" s="5">
        <v>0</v>
      </c>
      <c r="AB9" s="5">
        <v>0</v>
      </c>
      <c r="AC9" s="5">
        <v>0</v>
      </c>
      <c r="AD9" s="5">
        <v>44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10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36</v>
      </c>
      <c r="AV9" s="5">
        <v>32</v>
      </c>
      <c r="AW9" s="5">
        <v>45</v>
      </c>
      <c r="AX9" s="5">
        <v>53</v>
      </c>
      <c r="AY9" s="5">
        <v>11</v>
      </c>
      <c r="AZ9" s="5">
        <v>0</v>
      </c>
      <c r="BA9" s="5">
        <v>79</v>
      </c>
      <c r="BB9" s="5">
        <v>0</v>
      </c>
      <c r="BC9" s="5">
        <v>0</v>
      </c>
      <c r="BD9" s="5">
        <v>70</v>
      </c>
      <c r="BE9" s="5">
        <v>38</v>
      </c>
      <c r="BF9" s="5">
        <v>0</v>
      </c>
      <c r="BG9" s="5">
        <v>0</v>
      </c>
      <c r="BH9" s="5">
        <v>16</v>
      </c>
      <c r="BI9" s="5">
        <v>41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29</v>
      </c>
      <c r="CD9" s="5">
        <v>155</v>
      </c>
      <c r="CE9" s="5">
        <v>0</v>
      </c>
      <c r="CF9" s="5">
        <v>13</v>
      </c>
      <c r="CG9" s="5">
        <v>0</v>
      </c>
      <c r="CH9" s="5">
        <v>50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29</v>
      </c>
      <c r="CO9" s="5">
        <v>0</v>
      </c>
      <c r="CP9" s="5">
        <v>0</v>
      </c>
      <c r="CQ9" s="5">
        <v>0</v>
      </c>
      <c r="CR9" s="5">
        <v>0</v>
      </c>
      <c r="CS9" s="5">
        <v>8</v>
      </c>
      <c r="CT9" s="5">
        <v>30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48</v>
      </c>
      <c r="DA9" s="5">
        <v>32</v>
      </c>
      <c r="DB9" s="5">
        <v>0</v>
      </c>
      <c r="DC9" s="5">
        <v>0</v>
      </c>
      <c r="DD9" s="5">
        <v>30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5">
        <v>11</v>
      </c>
      <c r="DM9" s="5">
        <v>0</v>
      </c>
      <c r="DN9" s="5">
        <v>69</v>
      </c>
      <c r="DO9" s="5">
        <v>9</v>
      </c>
      <c r="DP9" s="5">
        <v>1</v>
      </c>
      <c r="DQ9" s="5">
        <v>0</v>
      </c>
      <c r="DR9" s="5">
        <v>0</v>
      </c>
      <c r="DS9" s="5">
        <v>31</v>
      </c>
      <c r="DT9" s="5">
        <v>0</v>
      </c>
      <c r="DU9" s="5">
        <v>22</v>
      </c>
      <c r="DV9" s="5">
        <v>0</v>
      </c>
      <c r="DW9" s="5">
        <v>0</v>
      </c>
      <c r="DX9" s="5">
        <v>23</v>
      </c>
      <c r="DY9" s="5">
        <v>52</v>
      </c>
      <c r="DZ9" s="5">
        <v>43</v>
      </c>
      <c r="EA9" s="5">
        <v>0</v>
      </c>
      <c r="EB9" s="5">
        <v>31</v>
      </c>
      <c r="EC9" s="5">
        <v>0</v>
      </c>
      <c r="ED9" s="5">
        <v>0</v>
      </c>
      <c r="EE9" s="5">
        <v>0</v>
      </c>
      <c r="EF9" s="5">
        <v>0</v>
      </c>
      <c r="EG9" s="5">
        <v>0</v>
      </c>
      <c r="EH9" s="5">
        <v>2</v>
      </c>
      <c r="EI9" s="5">
        <v>0</v>
      </c>
      <c r="EJ9" s="5">
        <v>43</v>
      </c>
      <c r="EK9" s="5">
        <v>24</v>
      </c>
      <c r="EL9" s="5">
        <v>0</v>
      </c>
      <c r="EM9" s="5">
        <v>0</v>
      </c>
      <c r="EN9" s="5">
        <v>0</v>
      </c>
      <c r="EO9" s="5">
        <v>39</v>
      </c>
      <c r="EP9" s="5">
        <v>0</v>
      </c>
      <c r="EQ9" s="5">
        <v>0</v>
      </c>
      <c r="ER9" s="5">
        <v>0</v>
      </c>
      <c r="ES9" s="5">
        <v>0</v>
      </c>
      <c r="ET9" s="5">
        <v>0</v>
      </c>
      <c r="EU9" s="5">
        <v>84</v>
      </c>
      <c r="EV9" s="5">
        <v>75</v>
      </c>
      <c r="EW9" s="5">
        <v>42</v>
      </c>
      <c r="EX9" s="5">
        <v>17</v>
      </c>
      <c r="EY9" s="5">
        <v>15</v>
      </c>
      <c r="EZ9" s="5">
        <v>21</v>
      </c>
      <c r="FA9" s="5">
        <v>0</v>
      </c>
      <c r="FB9" s="5">
        <v>20</v>
      </c>
      <c r="FC9" s="5">
        <v>0</v>
      </c>
      <c r="FD9" s="5">
        <v>15</v>
      </c>
      <c r="FE9" s="5">
        <v>0</v>
      </c>
      <c r="FF9" s="5">
        <v>0</v>
      </c>
      <c r="FG9" s="5">
        <v>0</v>
      </c>
      <c r="FH9" s="5">
        <v>109</v>
      </c>
      <c r="FI9" s="5">
        <v>0</v>
      </c>
      <c r="FJ9" s="5">
        <v>0</v>
      </c>
      <c r="FK9" s="5">
        <v>0</v>
      </c>
      <c r="FL9" s="5">
        <v>0</v>
      </c>
      <c r="FM9" s="5">
        <v>0</v>
      </c>
      <c r="FN9" s="5">
        <v>0</v>
      </c>
      <c r="FO9" s="5">
        <v>54</v>
      </c>
      <c r="FP9" s="5">
        <v>0</v>
      </c>
      <c r="FQ9" s="5">
        <v>81</v>
      </c>
      <c r="FR9" s="5">
        <v>0</v>
      </c>
      <c r="FS9" s="5">
        <v>71</v>
      </c>
      <c r="FT9" s="5">
        <v>36</v>
      </c>
      <c r="FU9" s="5">
        <v>0</v>
      </c>
      <c r="FV9" s="5">
        <v>0</v>
      </c>
      <c r="FW9" s="5">
        <v>0</v>
      </c>
      <c r="FX9" s="5">
        <v>0</v>
      </c>
      <c r="FY9" s="5">
        <v>0</v>
      </c>
      <c r="FZ9" s="5">
        <v>46</v>
      </c>
      <c r="GA9" s="5">
        <v>0</v>
      </c>
      <c r="GB9" s="5">
        <v>0</v>
      </c>
      <c r="GC9" s="5">
        <v>0</v>
      </c>
      <c r="GD9" s="5">
        <v>0</v>
      </c>
      <c r="GE9" s="5">
        <v>55</v>
      </c>
      <c r="GF9" s="5">
        <v>0</v>
      </c>
      <c r="GG9" s="5">
        <v>0</v>
      </c>
      <c r="GH9" s="5">
        <v>0</v>
      </c>
      <c r="GI9" s="5">
        <v>0</v>
      </c>
      <c r="GJ9" s="5">
        <v>0</v>
      </c>
      <c r="GK9" s="5">
        <v>80</v>
      </c>
      <c r="GL9" s="5">
        <v>30</v>
      </c>
      <c r="GM9" s="5">
        <v>0</v>
      </c>
      <c r="GN9" s="5">
        <v>0</v>
      </c>
      <c r="GO9" s="5">
        <v>49</v>
      </c>
      <c r="GP9" s="5">
        <v>0</v>
      </c>
      <c r="GQ9" s="5">
        <v>0</v>
      </c>
      <c r="GR9" s="5">
        <v>0</v>
      </c>
      <c r="GS9" s="5"/>
      <c r="GT9" s="5"/>
      <c r="GU9" s="5"/>
      <c r="GV9" s="5"/>
    </row>
    <row r="10" spans="1:204" ht="15.6">
      <c r="A10" s="26">
        <f t="shared" si="2"/>
        <v>46030</v>
      </c>
      <c r="B10" s="27" t="str">
        <f t="shared" si="0"/>
        <v>Thu</v>
      </c>
      <c r="C10" s="28">
        <f t="shared" si="1"/>
        <v>2695</v>
      </c>
      <c r="D10" s="5">
        <v>0</v>
      </c>
      <c r="E10" s="5">
        <v>16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56</v>
      </c>
      <c r="O10" s="5">
        <v>60</v>
      </c>
      <c r="P10" s="5">
        <v>0</v>
      </c>
      <c r="Q10" s="5">
        <v>0</v>
      </c>
      <c r="R10" s="5">
        <v>0</v>
      </c>
      <c r="S10" s="5">
        <v>59</v>
      </c>
      <c r="T10" s="5">
        <v>149</v>
      </c>
      <c r="U10" s="5">
        <v>24</v>
      </c>
      <c r="V10" s="5">
        <v>0</v>
      </c>
      <c r="W10" s="5">
        <v>0</v>
      </c>
      <c r="X10" s="5">
        <v>0</v>
      </c>
      <c r="Y10" s="5">
        <v>0</v>
      </c>
      <c r="Z10" s="5">
        <v>53</v>
      </c>
      <c r="AA10" s="5">
        <v>0</v>
      </c>
      <c r="AB10" s="5">
        <v>0</v>
      </c>
      <c r="AC10" s="5">
        <v>0</v>
      </c>
      <c r="AD10" s="5">
        <v>54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15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29</v>
      </c>
      <c r="AV10" s="5">
        <v>0</v>
      </c>
      <c r="AW10" s="5">
        <v>45</v>
      </c>
      <c r="AX10" s="5">
        <v>72</v>
      </c>
      <c r="AY10" s="5">
        <v>4</v>
      </c>
      <c r="AZ10" s="5">
        <v>0</v>
      </c>
      <c r="BA10" s="5">
        <v>63</v>
      </c>
      <c r="BB10" s="5">
        <v>0</v>
      </c>
      <c r="BC10" s="5">
        <v>0</v>
      </c>
      <c r="BD10" s="5">
        <v>83</v>
      </c>
      <c r="BE10" s="5">
        <v>29</v>
      </c>
      <c r="BF10" s="5">
        <v>0</v>
      </c>
      <c r="BG10" s="5">
        <v>0</v>
      </c>
      <c r="BH10" s="5">
        <v>11</v>
      </c>
      <c r="BI10" s="5">
        <v>37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10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32</v>
      </c>
      <c r="CD10" s="5">
        <v>307</v>
      </c>
      <c r="CE10" s="5">
        <v>0</v>
      </c>
      <c r="CF10" s="5">
        <v>7</v>
      </c>
      <c r="CG10" s="5">
        <v>0</v>
      </c>
      <c r="CH10" s="5">
        <v>57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47</v>
      </c>
      <c r="CO10" s="5">
        <v>0</v>
      </c>
      <c r="CP10" s="5">
        <v>0</v>
      </c>
      <c r="CQ10" s="5">
        <v>0</v>
      </c>
      <c r="CR10" s="5">
        <v>0</v>
      </c>
      <c r="CS10" s="5">
        <v>2</v>
      </c>
      <c r="CT10" s="5">
        <v>30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5</v>
      </c>
      <c r="DA10" s="5">
        <v>52</v>
      </c>
      <c r="DB10" s="5">
        <v>0</v>
      </c>
      <c r="DC10" s="5">
        <v>0</v>
      </c>
      <c r="DD10" s="5">
        <v>40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4</v>
      </c>
      <c r="DL10" s="5">
        <v>16</v>
      </c>
      <c r="DM10" s="5">
        <v>0</v>
      </c>
      <c r="DN10" s="5">
        <v>103</v>
      </c>
      <c r="DO10" s="5">
        <v>7</v>
      </c>
      <c r="DP10" s="5">
        <v>8</v>
      </c>
      <c r="DQ10" s="5">
        <v>0</v>
      </c>
      <c r="DR10" s="5">
        <v>0</v>
      </c>
      <c r="DS10" s="5">
        <v>42</v>
      </c>
      <c r="DT10" s="5">
        <v>0</v>
      </c>
      <c r="DU10" s="5">
        <v>22</v>
      </c>
      <c r="DV10" s="5">
        <v>0</v>
      </c>
      <c r="DW10" s="5">
        <v>0</v>
      </c>
      <c r="DX10" s="5">
        <v>22</v>
      </c>
      <c r="DY10" s="5">
        <v>46</v>
      </c>
      <c r="DZ10" s="5">
        <v>0</v>
      </c>
      <c r="EA10" s="5">
        <v>0</v>
      </c>
      <c r="EB10" s="5">
        <v>36</v>
      </c>
      <c r="EC10" s="5">
        <v>0</v>
      </c>
      <c r="ED10" s="5">
        <v>0</v>
      </c>
      <c r="EE10" s="5">
        <v>0</v>
      </c>
      <c r="EF10" s="5">
        <v>0</v>
      </c>
      <c r="EG10" s="5">
        <v>0</v>
      </c>
      <c r="EH10" s="5">
        <v>0</v>
      </c>
      <c r="EI10" s="5">
        <v>0</v>
      </c>
      <c r="EJ10" s="5">
        <v>33</v>
      </c>
      <c r="EK10" s="5">
        <v>10</v>
      </c>
      <c r="EL10" s="5">
        <v>0</v>
      </c>
      <c r="EM10" s="5">
        <v>0</v>
      </c>
      <c r="EN10" s="5">
        <v>0</v>
      </c>
      <c r="EO10" s="5">
        <v>27</v>
      </c>
      <c r="EP10" s="5">
        <v>0</v>
      </c>
      <c r="EQ10" s="5">
        <v>0</v>
      </c>
      <c r="ER10" s="5">
        <v>0</v>
      </c>
      <c r="ES10" s="5">
        <v>0</v>
      </c>
      <c r="ET10" s="5">
        <v>0</v>
      </c>
      <c r="EU10" s="5">
        <v>56</v>
      </c>
      <c r="EV10" s="5">
        <v>64</v>
      </c>
      <c r="EW10" s="5">
        <v>20</v>
      </c>
      <c r="EX10" s="5">
        <v>31</v>
      </c>
      <c r="EY10" s="5">
        <v>29</v>
      </c>
      <c r="EZ10" s="5">
        <v>6</v>
      </c>
      <c r="FA10" s="5">
        <v>0</v>
      </c>
      <c r="FB10" s="5">
        <v>7</v>
      </c>
      <c r="FC10" s="5">
        <v>0</v>
      </c>
      <c r="FD10" s="5">
        <v>20</v>
      </c>
      <c r="FE10" s="5">
        <v>0</v>
      </c>
      <c r="FF10" s="5">
        <v>0</v>
      </c>
      <c r="FG10" s="5">
        <v>0</v>
      </c>
      <c r="FH10" s="5">
        <v>131</v>
      </c>
      <c r="FI10" s="5">
        <v>0</v>
      </c>
      <c r="FJ10" s="5">
        <v>0</v>
      </c>
      <c r="FK10" s="5">
        <v>0</v>
      </c>
      <c r="FL10" s="5">
        <v>0</v>
      </c>
      <c r="FM10" s="5">
        <v>0</v>
      </c>
      <c r="FN10" s="5">
        <v>0</v>
      </c>
      <c r="FO10" s="5">
        <v>46</v>
      </c>
      <c r="FP10" s="5">
        <v>0</v>
      </c>
      <c r="FQ10" s="5">
        <v>102</v>
      </c>
      <c r="FR10" s="5">
        <v>0</v>
      </c>
      <c r="FS10" s="5">
        <v>17</v>
      </c>
      <c r="FT10" s="5">
        <v>19</v>
      </c>
      <c r="FU10" s="5">
        <v>0</v>
      </c>
      <c r="FV10" s="5">
        <v>0</v>
      </c>
      <c r="FW10" s="5">
        <v>0</v>
      </c>
      <c r="FX10" s="5">
        <v>0</v>
      </c>
      <c r="FY10" s="5">
        <v>0</v>
      </c>
      <c r="FZ10" s="5">
        <v>37</v>
      </c>
      <c r="GA10" s="5">
        <v>0</v>
      </c>
      <c r="GB10" s="5">
        <v>0</v>
      </c>
      <c r="GC10" s="5">
        <v>0</v>
      </c>
      <c r="GD10" s="5">
        <v>0</v>
      </c>
      <c r="GE10" s="5">
        <v>58</v>
      </c>
      <c r="GF10" s="5">
        <v>0</v>
      </c>
      <c r="GG10" s="5">
        <v>0</v>
      </c>
      <c r="GH10" s="5">
        <v>0</v>
      </c>
      <c r="GI10" s="5">
        <v>21</v>
      </c>
      <c r="GJ10" s="5">
        <v>0</v>
      </c>
      <c r="GK10" s="5">
        <v>75</v>
      </c>
      <c r="GL10" s="5">
        <v>68</v>
      </c>
      <c r="GM10" s="5">
        <v>0</v>
      </c>
      <c r="GN10" s="5">
        <v>0</v>
      </c>
      <c r="GO10" s="5">
        <v>64</v>
      </c>
      <c r="GP10" s="5">
        <v>0</v>
      </c>
      <c r="GQ10" s="5">
        <v>0</v>
      </c>
      <c r="GR10" s="5">
        <v>0</v>
      </c>
      <c r="GS10" s="5"/>
      <c r="GT10" s="5"/>
      <c r="GU10" s="5"/>
      <c r="GV10" s="5"/>
    </row>
    <row r="11" spans="1:204" ht="15.6">
      <c r="A11" s="26">
        <f t="shared" si="2"/>
        <v>46031</v>
      </c>
      <c r="B11" s="27" t="str">
        <f t="shared" si="0"/>
        <v>Fri</v>
      </c>
      <c r="C11" s="28">
        <f t="shared" si="1"/>
        <v>2734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69</v>
      </c>
      <c r="O11" s="5">
        <v>75</v>
      </c>
      <c r="P11" s="5">
        <v>0</v>
      </c>
      <c r="Q11" s="5">
        <v>0</v>
      </c>
      <c r="R11" s="5">
        <v>0</v>
      </c>
      <c r="S11" s="5">
        <v>56</v>
      </c>
      <c r="T11" s="5">
        <v>144</v>
      </c>
      <c r="U11" s="5">
        <v>6</v>
      </c>
      <c r="V11" s="5">
        <v>0</v>
      </c>
      <c r="W11" s="5">
        <v>0</v>
      </c>
      <c r="X11" s="5">
        <v>0</v>
      </c>
      <c r="Y11" s="5">
        <v>0</v>
      </c>
      <c r="Z11" s="5">
        <v>51</v>
      </c>
      <c r="AA11" s="5">
        <v>0</v>
      </c>
      <c r="AB11" s="5">
        <v>0</v>
      </c>
      <c r="AC11" s="5">
        <v>0</v>
      </c>
      <c r="AD11" s="5">
        <v>51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44</v>
      </c>
      <c r="AV11" s="5">
        <v>9</v>
      </c>
      <c r="AW11" s="5">
        <v>42</v>
      </c>
      <c r="AX11" s="5">
        <v>49</v>
      </c>
      <c r="AY11" s="5">
        <v>0</v>
      </c>
      <c r="AZ11" s="5">
        <v>0</v>
      </c>
      <c r="BA11" s="5">
        <v>60</v>
      </c>
      <c r="BB11" s="5">
        <v>0</v>
      </c>
      <c r="BC11" s="5">
        <v>0</v>
      </c>
      <c r="BD11" s="5">
        <v>95</v>
      </c>
      <c r="BE11" s="5">
        <v>17</v>
      </c>
      <c r="BF11" s="5">
        <v>0</v>
      </c>
      <c r="BG11" s="5">
        <v>0</v>
      </c>
      <c r="BH11" s="5">
        <v>25</v>
      </c>
      <c r="BI11" s="5">
        <v>52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15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41</v>
      </c>
      <c r="CD11" s="5">
        <v>251</v>
      </c>
      <c r="CE11" s="5">
        <v>0</v>
      </c>
      <c r="CF11" s="5">
        <v>0</v>
      </c>
      <c r="CG11" s="5">
        <v>0</v>
      </c>
      <c r="CH11" s="5">
        <v>39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41</v>
      </c>
      <c r="CO11" s="5">
        <v>0</v>
      </c>
      <c r="CP11" s="5">
        <v>0</v>
      </c>
      <c r="CQ11" s="5">
        <v>0</v>
      </c>
      <c r="CR11" s="5">
        <v>0</v>
      </c>
      <c r="CS11" s="5">
        <v>2</v>
      </c>
      <c r="CT11" s="5">
        <v>25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0</v>
      </c>
      <c r="DA11" s="5">
        <v>58</v>
      </c>
      <c r="DB11" s="5">
        <v>0</v>
      </c>
      <c r="DC11" s="5">
        <v>0</v>
      </c>
      <c r="DD11" s="5">
        <v>30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8</v>
      </c>
      <c r="DM11" s="5">
        <v>0</v>
      </c>
      <c r="DN11" s="5">
        <v>55</v>
      </c>
      <c r="DO11" s="5">
        <v>14</v>
      </c>
      <c r="DP11" s="5">
        <v>6</v>
      </c>
      <c r="DQ11" s="5">
        <v>0</v>
      </c>
      <c r="DR11" s="5">
        <v>0</v>
      </c>
      <c r="DS11" s="5">
        <v>32</v>
      </c>
      <c r="DT11" s="5">
        <v>0</v>
      </c>
      <c r="DU11" s="5">
        <v>0</v>
      </c>
      <c r="DV11" s="5">
        <v>0</v>
      </c>
      <c r="DW11" s="5">
        <v>0</v>
      </c>
      <c r="DX11" s="5">
        <v>34</v>
      </c>
      <c r="DY11" s="5">
        <v>60</v>
      </c>
      <c r="DZ11" s="5">
        <v>12</v>
      </c>
      <c r="EA11" s="5">
        <v>0</v>
      </c>
      <c r="EB11" s="5">
        <v>45</v>
      </c>
      <c r="EC11" s="5">
        <v>0</v>
      </c>
      <c r="ED11" s="5">
        <v>0</v>
      </c>
      <c r="EE11" s="5">
        <v>0</v>
      </c>
      <c r="EF11" s="5">
        <v>0</v>
      </c>
      <c r="EG11" s="5">
        <v>0</v>
      </c>
      <c r="EH11" s="5">
        <v>0</v>
      </c>
      <c r="EI11" s="5">
        <v>0</v>
      </c>
      <c r="EJ11" s="5">
        <v>29</v>
      </c>
      <c r="EK11" s="5">
        <v>34</v>
      </c>
      <c r="EL11" s="5">
        <v>0</v>
      </c>
      <c r="EM11" s="5">
        <v>0</v>
      </c>
      <c r="EN11" s="5">
        <v>0</v>
      </c>
      <c r="EO11" s="5">
        <v>43</v>
      </c>
      <c r="EP11" s="5">
        <v>0</v>
      </c>
      <c r="EQ11" s="5">
        <v>0</v>
      </c>
      <c r="ER11" s="5">
        <v>0</v>
      </c>
      <c r="ES11" s="5">
        <v>0</v>
      </c>
      <c r="ET11" s="5">
        <v>0</v>
      </c>
      <c r="EU11" s="5">
        <v>62</v>
      </c>
      <c r="EV11" s="5">
        <v>49</v>
      </c>
      <c r="EW11" s="5">
        <v>47</v>
      </c>
      <c r="EX11" s="5">
        <v>36</v>
      </c>
      <c r="EY11" s="5">
        <v>0</v>
      </c>
      <c r="EZ11" s="5">
        <v>17</v>
      </c>
      <c r="FA11" s="5">
        <v>0</v>
      </c>
      <c r="FB11" s="5">
        <v>0</v>
      </c>
      <c r="FC11" s="5">
        <v>0</v>
      </c>
      <c r="FD11" s="5">
        <v>0</v>
      </c>
      <c r="FE11" s="5">
        <v>0</v>
      </c>
      <c r="FF11" s="5">
        <v>0</v>
      </c>
      <c r="FG11" s="5">
        <v>0</v>
      </c>
      <c r="FH11" s="5">
        <v>251</v>
      </c>
      <c r="FI11" s="5">
        <v>0</v>
      </c>
      <c r="FJ11" s="5">
        <v>0</v>
      </c>
      <c r="FK11" s="5">
        <v>0</v>
      </c>
      <c r="FL11" s="5">
        <v>0</v>
      </c>
      <c r="FM11" s="5">
        <v>0</v>
      </c>
      <c r="FN11" s="5">
        <v>0</v>
      </c>
      <c r="FO11" s="5">
        <v>0</v>
      </c>
      <c r="FP11" s="5">
        <v>0</v>
      </c>
      <c r="FQ11" s="5">
        <v>116</v>
      </c>
      <c r="FR11" s="5">
        <v>0</v>
      </c>
      <c r="FS11" s="5">
        <v>50</v>
      </c>
      <c r="FT11" s="5">
        <v>61</v>
      </c>
      <c r="FU11" s="5">
        <v>0</v>
      </c>
      <c r="FV11" s="5">
        <v>0</v>
      </c>
      <c r="FW11" s="5">
        <v>0</v>
      </c>
      <c r="FX11" s="5">
        <v>0</v>
      </c>
      <c r="FY11" s="5">
        <v>0</v>
      </c>
      <c r="FZ11" s="5">
        <v>73</v>
      </c>
      <c r="GA11" s="5">
        <v>0</v>
      </c>
      <c r="GB11" s="5">
        <v>0</v>
      </c>
      <c r="GC11" s="5">
        <v>0</v>
      </c>
      <c r="GD11" s="5">
        <v>0</v>
      </c>
      <c r="GE11" s="5">
        <v>84</v>
      </c>
      <c r="GF11" s="5">
        <v>15</v>
      </c>
      <c r="GG11" s="5">
        <v>0</v>
      </c>
      <c r="GH11" s="5">
        <v>0</v>
      </c>
      <c r="GI11" s="5">
        <v>11</v>
      </c>
      <c r="GJ11" s="5">
        <v>0</v>
      </c>
      <c r="GK11" s="5">
        <v>60</v>
      </c>
      <c r="GL11" s="5">
        <v>37</v>
      </c>
      <c r="GM11" s="5">
        <v>0</v>
      </c>
      <c r="GN11" s="5">
        <v>0</v>
      </c>
      <c r="GO11" s="5">
        <v>46</v>
      </c>
      <c r="GP11" s="5">
        <v>0</v>
      </c>
      <c r="GQ11" s="5">
        <v>0</v>
      </c>
      <c r="GR11" s="5">
        <v>0</v>
      </c>
      <c r="GS11" s="5"/>
      <c r="GT11" s="5"/>
      <c r="GU11" s="5"/>
      <c r="GV11" s="5"/>
    </row>
    <row r="12" spans="1:204" ht="15.6">
      <c r="A12" s="26">
        <f t="shared" si="2"/>
        <v>46032</v>
      </c>
      <c r="B12" s="27" t="str">
        <f t="shared" si="0"/>
        <v>Sat</v>
      </c>
      <c r="C12" s="28">
        <f t="shared" si="1"/>
        <v>207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51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7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12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24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7</v>
      </c>
      <c r="DV12" s="5">
        <v>0</v>
      </c>
      <c r="DW12" s="5">
        <v>0</v>
      </c>
      <c r="DX12" s="5">
        <v>0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s="5">
        <v>0</v>
      </c>
      <c r="EF12" s="5">
        <v>0</v>
      </c>
      <c r="EG12" s="5">
        <v>0</v>
      </c>
      <c r="EH12" s="5">
        <v>0</v>
      </c>
      <c r="EI12" s="5">
        <v>0</v>
      </c>
      <c r="EJ12" s="5">
        <v>0</v>
      </c>
      <c r="EK12" s="5">
        <v>0</v>
      </c>
      <c r="EL12" s="5">
        <v>0</v>
      </c>
      <c r="EM12" s="5">
        <v>0</v>
      </c>
      <c r="EN12" s="5">
        <v>0</v>
      </c>
      <c r="EO12" s="5">
        <v>0</v>
      </c>
      <c r="EP12" s="5">
        <v>0</v>
      </c>
      <c r="EQ12" s="5">
        <v>0</v>
      </c>
      <c r="ER12" s="5">
        <v>0</v>
      </c>
      <c r="ES12" s="5">
        <v>0</v>
      </c>
      <c r="ET12" s="5">
        <v>0</v>
      </c>
      <c r="EU12" s="5">
        <v>0</v>
      </c>
      <c r="EV12" s="5">
        <v>0</v>
      </c>
      <c r="EW12" s="5">
        <v>0</v>
      </c>
      <c r="EX12" s="5">
        <v>0</v>
      </c>
      <c r="EY12" s="5">
        <v>0</v>
      </c>
      <c r="EZ12" s="5">
        <v>0</v>
      </c>
      <c r="FA12" s="5">
        <v>0</v>
      </c>
      <c r="FB12" s="5">
        <v>0</v>
      </c>
      <c r="FC12" s="5">
        <v>0</v>
      </c>
      <c r="FD12" s="5">
        <v>0</v>
      </c>
      <c r="FE12" s="5">
        <v>0</v>
      </c>
      <c r="FF12" s="5">
        <v>0</v>
      </c>
      <c r="FG12" s="5">
        <v>0</v>
      </c>
      <c r="FH12" s="5">
        <v>0</v>
      </c>
      <c r="FI12" s="5">
        <v>0</v>
      </c>
      <c r="FJ12" s="5">
        <v>0</v>
      </c>
      <c r="FK12" s="5">
        <v>0</v>
      </c>
      <c r="FL12" s="5">
        <v>0</v>
      </c>
      <c r="FM12" s="5">
        <v>0</v>
      </c>
      <c r="FN12" s="5">
        <v>0</v>
      </c>
      <c r="FO12" s="5">
        <v>0</v>
      </c>
      <c r="FP12" s="5">
        <v>0</v>
      </c>
      <c r="FQ12" s="5">
        <v>66</v>
      </c>
      <c r="FR12" s="5">
        <v>0</v>
      </c>
      <c r="FS12" s="5">
        <v>0</v>
      </c>
      <c r="FT12" s="5">
        <v>0</v>
      </c>
      <c r="FU12" s="5">
        <v>0</v>
      </c>
      <c r="FV12" s="5">
        <v>0</v>
      </c>
      <c r="FW12" s="5">
        <v>0</v>
      </c>
      <c r="FX12" s="5">
        <v>0</v>
      </c>
      <c r="FY12" s="5">
        <v>0</v>
      </c>
      <c r="FZ12" s="5">
        <v>0</v>
      </c>
      <c r="GA12" s="5">
        <v>0</v>
      </c>
      <c r="GB12" s="5">
        <v>0</v>
      </c>
      <c r="GC12" s="5">
        <v>0</v>
      </c>
      <c r="GD12" s="5">
        <v>0</v>
      </c>
      <c r="GE12" s="5">
        <v>40</v>
      </c>
      <c r="GF12" s="5">
        <v>0</v>
      </c>
      <c r="GG12" s="5">
        <v>0</v>
      </c>
      <c r="GH12" s="5">
        <v>0</v>
      </c>
      <c r="GI12" s="5">
        <v>0</v>
      </c>
      <c r="GJ12" s="5">
        <v>0</v>
      </c>
      <c r="GK12" s="5">
        <v>0</v>
      </c>
      <c r="GL12" s="5">
        <v>0</v>
      </c>
      <c r="GM12" s="5">
        <v>0</v>
      </c>
      <c r="GN12" s="5">
        <v>0</v>
      </c>
      <c r="GO12" s="5">
        <v>0</v>
      </c>
      <c r="GP12" s="5">
        <v>0</v>
      </c>
      <c r="GQ12" s="5">
        <v>0</v>
      </c>
      <c r="GR12" s="5">
        <v>0</v>
      </c>
      <c r="GS12" s="5"/>
      <c r="GT12" s="5"/>
      <c r="GU12" s="5"/>
      <c r="GV12" s="5"/>
    </row>
    <row r="13" spans="1:204" ht="15.6">
      <c r="A13" s="26">
        <f t="shared" si="2"/>
        <v>46033</v>
      </c>
      <c r="B13" s="27" t="str">
        <f t="shared" si="0"/>
        <v>Sun</v>
      </c>
      <c r="C13" s="28">
        <f t="shared" si="1"/>
        <v>156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6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11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0</v>
      </c>
      <c r="EO13" s="5">
        <v>0</v>
      </c>
      <c r="EP13" s="5">
        <v>0</v>
      </c>
      <c r="EQ13" s="5">
        <v>0</v>
      </c>
      <c r="ER13" s="5">
        <v>0</v>
      </c>
      <c r="ES13" s="5">
        <v>0</v>
      </c>
      <c r="ET13" s="5">
        <v>0</v>
      </c>
      <c r="EU13" s="5">
        <v>13</v>
      </c>
      <c r="EV13" s="5">
        <v>0</v>
      </c>
      <c r="EW13" s="5">
        <v>0</v>
      </c>
      <c r="EX13" s="5">
        <v>0</v>
      </c>
      <c r="EY13" s="5">
        <v>0</v>
      </c>
      <c r="EZ13" s="5">
        <v>0</v>
      </c>
      <c r="FA13" s="5">
        <v>0</v>
      </c>
      <c r="FB13" s="5">
        <v>0</v>
      </c>
      <c r="FC13" s="5">
        <v>0</v>
      </c>
      <c r="FD13" s="5">
        <v>0</v>
      </c>
      <c r="FE13" s="5">
        <v>0</v>
      </c>
      <c r="FF13" s="5">
        <v>0</v>
      </c>
      <c r="FG13" s="5">
        <v>0</v>
      </c>
      <c r="FH13" s="5">
        <v>124</v>
      </c>
      <c r="FI13" s="5">
        <v>0</v>
      </c>
      <c r="FJ13" s="5">
        <v>0</v>
      </c>
      <c r="FK13" s="5">
        <v>0</v>
      </c>
      <c r="FL13" s="5">
        <v>0</v>
      </c>
      <c r="FM13" s="5">
        <v>0</v>
      </c>
      <c r="FN13" s="5">
        <v>0</v>
      </c>
      <c r="FO13" s="5">
        <v>0</v>
      </c>
      <c r="FP13" s="5">
        <v>0</v>
      </c>
      <c r="FQ13" s="5">
        <v>1</v>
      </c>
      <c r="FR13" s="5">
        <v>0</v>
      </c>
      <c r="FS13" s="5">
        <v>0</v>
      </c>
      <c r="FT13" s="5">
        <v>0</v>
      </c>
      <c r="FU13" s="5">
        <v>0</v>
      </c>
      <c r="FV13" s="5">
        <v>0</v>
      </c>
      <c r="FW13" s="5">
        <v>0</v>
      </c>
      <c r="FX13" s="5">
        <v>0</v>
      </c>
      <c r="FY13" s="5">
        <v>0</v>
      </c>
      <c r="FZ13" s="5">
        <v>0</v>
      </c>
      <c r="GA13" s="5">
        <v>0</v>
      </c>
      <c r="GB13" s="5">
        <v>0</v>
      </c>
      <c r="GC13" s="5">
        <v>0</v>
      </c>
      <c r="GD13" s="5">
        <v>0</v>
      </c>
      <c r="GE13" s="5">
        <v>1</v>
      </c>
      <c r="GF13" s="5">
        <v>0</v>
      </c>
      <c r="GG13" s="5">
        <v>0</v>
      </c>
      <c r="GH13" s="5">
        <v>0</v>
      </c>
      <c r="GI13" s="5">
        <v>0</v>
      </c>
      <c r="GJ13" s="5">
        <v>0</v>
      </c>
      <c r="GK13" s="5">
        <v>0</v>
      </c>
      <c r="GL13" s="5">
        <v>0</v>
      </c>
      <c r="GM13" s="5">
        <v>0</v>
      </c>
      <c r="GN13" s="5">
        <v>0</v>
      </c>
      <c r="GO13" s="5">
        <v>0</v>
      </c>
      <c r="GP13" s="5">
        <v>0</v>
      </c>
      <c r="GQ13" s="5">
        <v>0</v>
      </c>
      <c r="GR13" s="5">
        <v>0</v>
      </c>
      <c r="GS13" s="5"/>
      <c r="GT13" s="5"/>
      <c r="GU13" s="5"/>
      <c r="GV13" s="5"/>
    </row>
    <row r="14" spans="1:204" ht="15.6">
      <c r="A14" s="26">
        <f t="shared" si="2"/>
        <v>46034</v>
      </c>
      <c r="B14" s="27" t="str">
        <f t="shared" si="0"/>
        <v>Mon</v>
      </c>
      <c r="C14" s="28">
        <f t="shared" si="1"/>
        <v>2864</v>
      </c>
      <c r="D14" s="5">
        <v>0</v>
      </c>
      <c r="E14" s="5">
        <v>29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30</v>
      </c>
      <c r="O14" s="5">
        <v>65</v>
      </c>
      <c r="P14" s="5">
        <v>0</v>
      </c>
      <c r="Q14" s="5">
        <v>0</v>
      </c>
      <c r="R14" s="5">
        <v>0</v>
      </c>
      <c r="S14" s="5">
        <v>55</v>
      </c>
      <c r="T14" s="5">
        <v>128</v>
      </c>
      <c r="U14" s="5">
        <v>28</v>
      </c>
      <c r="V14" s="5">
        <v>0</v>
      </c>
      <c r="W14" s="5">
        <v>0</v>
      </c>
      <c r="X14" s="5">
        <v>0</v>
      </c>
      <c r="Y14" s="5">
        <v>0</v>
      </c>
      <c r="Z14" s="5">
        <v>74</v>
      </c>
      <c r="AA14" s="5">
        <v>0</v>
      </c>
      <c r="AB14" s="5">
        <v>0</v>
      </c>
      <c r="AC14" s="5">
        <v>0</v>
      </c>
      <c r="AD14" s="5">
        <v>74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23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45</v>
      </c>
      <c r="AX14" s="5">
        <v>59</v>
      </c>
      <c r="AY14" s="5">
        <v>0</v>
      </c>
      <c r="AZ14" s="5">
        <v>0</v>
      </c>
      <c r="BA14" s="5">
        <v>94</v>
      </c>
      <c r="BB14" s="5">
        <v>0</v>
      </c>
      <c r="BC14" s="5">
        <v>0</v>
      </c>
      <c r="BD14" s="5">
        <v>89</v>
      </c>
      <c r="BE14" s="5">
        <v>33</v>
      </c>
      <c r="BF14" s="5">
        <v>0</v>
      </c>
      <c r="BG14" s="5">
        <v>0</v>
      </c>
      <c r="BH14" s="5">
        <v>17</v>
      </c>
      <c r="BI14" s="5">
        <v>44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30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29</v>
      </c>
      <c r="CD14" s="5">
        <v>192</v>
      </c>
      <c r="CE14" s="5">
        <v>0</v>
      </c>
      <c r="CF14" s="5">
        <v>18</v>
      </c>
      <c r="CG14" s="5">
        <v>0</v>
      </c>
      <c r="CH14" s="5">
        <v>56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54</v>
      </c>
      <c r="CO14" s="5">
        <v>0</v>
      </c>
      <c r="CP14" s="5">
        <v>0</v>
      </c>
      <c r="CQ14" s="5">
        <v>0</v>
      </c>
      <c r="CR14" s="5">
        <v>0</v>
      </c>
      <c r="CS14" s="5">
        <v>20</v>
      </c>
      <c r="CT14" s="5">
        <v>23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11</v>
      </c>
      <c r="DA14" s="5">
        <v>52</v>
      </c>
      <c r="DB14" s="5">
        <v>0</v>
      </c>
      <c r="DC14" s="5">
        <v>0</v>
      </c>
      <c r="DD14" s="5">
        <v>74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19</v>
      </c>
      <c r="DM14" s="5">
        <v>0</v>
      </c>
      <c r="DN14" s="5">
        <v>67</v>
      </c>
      <c r="DO14" s="5">
        <v>21</v>
      </c>
      <c r="DP14" s="5">
        <v>0</v>
      </c>
      <c r="DQ14" s="5">
        <v>0</v>
      </c>
      <c r="DR14" s="5">
        <v>0</v>
      </c>
      <c r="DS14" s="5">
        <v>30</v>
      </c>
      <c r="DT14" s="5">
        <v>0</v>
      </c>
      <c r="DU14" s="5">
        <v>33</v>
      </c>
      <c r="DV14" s="5">
        <v>0</v>
      </c>
      <c r="DW14" s="5">
        <v>0</v>
      </c>
      <c r="DX14" s="5">
        <v>45</v>
      </c>
      <c r="DY14" s="5">
        <v>78</v>
      </c>
      <c r="DZ14" s="5">
        <v>0</v>
      </c>
      <c r="EA14" s="5">
        <v>0</v>
      </c>
      <c r="EB14" s="5">
        <v>50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12</v>
      </c>
      <c r="EI14" s="5">
        <v>0</v>
      </c>
      <c r="EJ14" s="5">
        <v>40</v>
      </c>
      <c r="EK14" s="5">
        <v>38</v>
      </c>
      <c r="EL14" s="5">
        <v>0</v>
      </c>
      <c r="EM14" s="5">
        <v>0</v>
      </c>
      <c r="EN14" s="5">
        <v>0</v>
      </c>
      <c r="EO14" s="5">
        <v>47</v>
      </c>
      <c r="EP14" s="5">
        <v>0</v>
      </c>
      <c r="EQ14" s="5">
        <v>0</v>
      </c>
      <c r="ER14" s="5">
        <v>10</v>
      </c>
      <c r="ES14" s="5">
        <v>0</v>
      </c>
      <c r="ET14" s="5">
        <v>0</v>
      </c>
      <c r="EU14" s="5">
        <v>43</v>
      </c>
      <c r="EV14" s="5">
        <v>57</v>
      </c>
      <c r="EW14" s="5">
        <v>15</v>
      </c>
      <c r="EX14" s="5">
        <v>34</v>
      </c>
      <c r="EY14" s="5">
        <v>46</v>
      </c>
      <c r="EZ14" s="5">
        <v>19</v>
      </c>
      <c r="FA14" s="5">
        <v>0</v>
      </c>
      <c r="FB14" s="5">
        <v>10</v>
      </c>
      <c r="FC14" s="5">
        <v>0</v>
      </c>
      <c r="FD14" s="5">
        <v>18</v>
      </c>
      <c r="FE14" s="5">
        <v>0</v>
      </c>
      <c r="FF14" s="5">
        <v>0</v>
      </c>
      <c r="FG14" s="5">
        <v>0</v>
      </c>
      <c r="FH14" s="5">
        <v>126</v>
      </c>
      <c r="FI14" s="5">
        <v>0</v>
      </c>
      <c r="FJ14" s="5">
        <v>0</v>
      </c>
      <c r="FK14" s="5">
        <v>0</v>
      </c>
      <c r="FL14" s="5">
        <v>0</v>
      </c>
      <c r="FM14" s="5">
        <v>0</v>
      </c>
      <c r="FN14" s="5">
        <v>0</v>
      </c>
      <c r="FO14" s="5">
        <v>49</v>
      </c>
      <c r="FP14" s="5">
        <v>0</v>
      </c>
      <c r="FQ14" s="5">
        <v>58</v>
      </c>
      <c r="FR14" s="5">
        <v>0</v>
      </c>
      <c r="FS14" s="5">
        <v>58</v>
      </c>
      <c r="FT14" s="5">
        <v>47</v>
      </c>
      <c r="FU14" s="5">
        <v>0</v>
      </c>
      <c r="FV14" s="5">
        <v>0</v>
      </c>
      <c r="FW14" s="5">
        <v>0</v>
      </c>
      <c r="FX14" s="5">
        <v>0</v>
      </c>
      <c r="FY14" s="5">
        <v>16</v>
      </c>
      <c r="FZ14" s="5">
        <v>49</v>
      </c>
      <c r="GA14" s="5">
        <v>0</v>
      </c>
      <c r="GB14" s="5">
        <v>0</v>
      </c>
      <c r="GC14" s="5">
        <v>0</v>
      </c>
      <c r="GD14" s="5">
        <v>0</v>
      </c>
      <c r="GE14" s="5">
        <v>45</v>
      </c>
      <c r="GF14" s="5">
        <v>64</v>
      </c>
      <c r="GG14" s="5">
        <v>0</v>
      </c>
      <c r="GH14" s="5">
        <v>0</v>
      </c>
      <c r="GI14" s="5">
        <v>0</v>
      </c>
      <c r="GJ14" s="5">
        <v>0</v>
      </c>
      <c r="GK14" s="5">
        <v>72</v>
      </c>
      <c r="GL14" s="5">
        <v>72</v>
      </c>
      <c r="GM14" s="5">
        <v>0</v>
      </c>
      <c r="GN14" s="5">
        <v>0</v>
      </c>
      <c r="GO14" s="5">
        <v>30</v>
      </c>
      <c r="GP14" s="5">
        <v>0</v>
      </c>
      <c r="GQ14" s="5">
        <v>0</v>
      </c>
      <c r="GR14" s="5">
        <v>0</v>
      </c>
      <c r="GS14" s="5"/>
      <c r="GT14" s="5"/>
      <c r="GU14" s="5"/>
      <c r="GV14" s="5"/>
    </row>
    <row r="15" spans="1:204" ht="15.6">
      <c r="A15" s="26">
        <f t="shared" si="2"/>
        <v>46035</v>
      </c>
      <c r="B15" s="27" t="str">
        <f t="shared" si="0"/>
        <v>Tue</v>
      </c>
      <c r="C15" s="28">
        <f t="shared" si="1"/>
        <v>2308</v>
      </c>
      <c r="D15" s="5">
        <v>0</v>
      </c>
      <c r="E15" s="5">
        <v>6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19</v>
      </c>
      <c r="O15" s="5">
        <v>64</v>
      </c>
      <c r="P15" s="5">
        <v>0</v>
      </c>
      <c r="Q15" s="5">
        <v>0</v>
      </c>
      <c r="R15" s="5">
        <v>0</v>
      </c>
      <c r="S15" s="5">
        <v>57</v>
      </c>
      <c r="T15" s="5">
        <v>118</v>
      </c>
      <c r="U15" s="5">
        <v>10</v>
      </c>
      <c r="V15" s="5">
        <v>0</v>
      </c>
      <c r="W15" s="5">
        <v>0</v>
      </c>
      <c r="X15" s="5">
        <v>0</v>
      </c>
      <c r="Y15" s="5">
        <v>0</v>
      </c>
      <c r="Z15" s="5">
        <v>72</v>
      </c>
      <c r="AA15" s="5">
        <v>0</v>
      </c>
      <c r="AB15" s="5">
        <v>0</v>
      </c>
      <c r="AC15" s="5">
        <v>0</v>
      </c>
      <c r="AD15" s="5">
        <v>78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2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33</v>
      </c>
      <c r="AX15" s="5">
        <v>56</v>
      </c>
      <c r="AY15" s="5">
        <v>0</v>
      </c>
      <c r="AZ15" s="5">
        <v>0</v>
      </c>
      <c r="BA15" s="5">
        <v>75</v>
      </c>
      <c r="BB15" s="5">
        <v>0</v>
      </c>
      <c r="BC15" s="5">
        <v>0</v>
      </c>
      <c r="BD15" s="5">
        <v>78</v>
      </c>
      <c r="BE15" s="5">
        <v>33</v>
      </c>
      <c r="BF15" s="5">
        <v>0</v>
      </c>
      <c r="BG15" s="5">
        <v>0</v>
      </c>
      <c r="BH15" s="5">
        <v>15</v>
      </c>
      <c r="BI15" s="5">
        <v>47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33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36</v>
      </c>
      <c r="CE15" s="5">
        <v>0</v>
      </c>
      <c r="CF15" s="5">
        <v>2</v>
      </c>
      <c r="CG15" s="5">
        <v>0</v>
      </c>
      <c r="CH15" s="5">
        <v>53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16</v>
      </c>
      <c r="CO15" s="5">
        <v>0</v>
      </c>
      <c r="CP15" s="5">
        <v>0</v>
      </c>
      <c r="CQ15" s="5">
        <v>0</v>
      </c>
      <c r="CR15" s="5">
        <v>0</v>
      </c>
      <c r="CS15" s="5">
        <v>9</v>
      </c>
      <c r="CT15" s="5">
        <v>24</v>
      </c>
      <c r="CU15" s="5">
        <v>0</v>
      </c>
      <c r="CV15" s="5">
        <v>0</v>
      </c>
      <c r="CW15" s="5">
        <v>0</v>
      </c>
      <c r="CX15" s="5">
        <v>0</v>
      </c>
      <c r="CY15" s="5">
        <v>10</v>
      </c>
      <c r="CZ15" s="5">
        <v>32</v>
      </c>
      <c r="DA15" s="5">
        <v>25</v>
      </c>
      <c r="DB15" s="5">
        <v>0</v>
      </c>
      <c r="DC15" s="5">
        <v>0</v>
      </c>
      <c r="DD15" s="5">
        <v>35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11</v>
      </c>
      <c r="DM15" s="5">
        <v>0</v>
      </c>
      <c r="DN15" s="5">
        <v>52</v>
      </c>
      <c r="DO15" s="5">
        <v>21</v>
      </c>
      <c r="DP15" s="5">
        <v>0</v>
      </c>
      <c r="DQ15" s="5">
        <v>0</v>
      </c>
      <c r="DR15" s="5">
        <v>0</v>
      </c>
      <c r="DS15" s="5">
        <v>32</v>
      </c>
      <c r="DT15" s="5">
        <v>0</v>
      </c>
      <c r="DU15" s="5">
        <v>10</v>
      </c>
      <c r="DV15" s="5">
        <v>0</v>
      </c>
      <c r="DW15" s="5">
        <v>0</v>
      </c>
      <c r="DX15" s="5">
        <v>20</v>
      </c>
      <c r="DY15" s="5">
        <v>46</v>
      </c>
      <c r="DZ15" s="5">
        <v>48</v>
      </c>
      <c r="EA15" s="5">
        <v>0</v>
      </c>
      <c r="EB15" s="5">
        <v>30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24</v>
      </c>
      <c r="EK15" s="5">
        <v>60</v>
      </c>
      <c r="EL15" s="5">
        <v>0</v>
      </c>
      <c r="EM15" s="5">
        <v>0</v>
      </c>
      <c r="EN15" s="5">
        <v>0</v>
      </c>
      <c r="EO15" s="5">
        <v>40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36</v>
      </c>
      <c r="EV15" s="5">
        <v>92</v>
      </c>
      <c r="EW15" s="5">
        <v>26</v>
      </c>
      <c r="EX15" s="5">
        <v>29</v>
      </c>
      <c r="EY15" s="5">
        <v>41</v>
      </c>
      <c r="EZ15" s="5">
        <v>21</v>
      </c>
      <c r="FA15" s="5">
        <v>0</v>
      </c>
      <c r="FB15" s="5">
        <v>0</v>
      </c>
      <c r="FC15" s="5">
        <v>0</v>
      </c>
      <c r="FD15" s="5">
        <v>9</v>
      </c>
      <c r="FE15" s="5">
        <v>0</v>
      </c>
      <c r="FF15" s="5">
        <v>0</v>
      </c>
      <c r="FG15" s="5">
        <v>0</v>
      </c>
      <c r="FH15" s="5">
        <v>80</v>
      </c>
      <c r="FI15" s="5">
        <v>0</v>
      </c>
      <c r="FJ15" s="5">
        <v>0</v>
      </c>
      <c r="FK15" s="5">
        <v>0</v>
      </c>
      <c r="FL15" s="5">
        <v>0</v>
      </c>
      <c r="FM15" s="5">
        <v>0</v>
      </c>
      <c r="FN15" s="5">
        <v>0</v>
      </c>
      <c r="FO15" s="5">
        <v>49</v>
      </c>
      <c r="FP15" s="5">
        <v>0</v>
      </c>
      <c r="FQ15" s="5">
        <v>39</v>
      </c>
      <c r="FR15" s="5">
        <v>0</v>
      </c>
      <c r="FS15" s="5">
        <v>57</v>
      </c>
      <c r="FT15" s="5">
        <v>30</v>
      </c>
      <c r="FU15" s="5">
        <v>0</v>
      </c>
      <c r="FV15" s="5">
        <v>0</v>
      </c>
      <c r="FW15" s="5">
        <v>0</v>
      </c>
      <c r="FX15" s="5">
        <v>0</v>
      </c>
      <c r="FY15" s="5">
        <v>26</v>
      </c>
      <c r="FZ15" s="5">
        <v>29</v>
      </c>
      <c r="GA15" s="5">
        <v>0</v>
      </c>
      <c r="GB15" s="5">
        <v>0</v>
      </c>
      <c r="GC15" s="5">
        <v>0</v>
      </c>
      <c r="GD15" s="5">
        <v>0</v>
      </c>
      <c r="GE15" s="5">
        <v>78</v>
      </c>
      <c r="GF15" s="5">
        <v>36</v>
      </c>
      <c r="GG15" s="5">
        <v>0</v>
      </c>
      <c r="GH15" s="5">
        <v>0</v>
      </c>
      <c r="GI15" s="5">
        <v>0</v>
      </c>
      <c r="GJ15" s="5">
        <v>0</v>
      </c>
      <c r="GK15" s="5">
        <v>84</v>
      </c>
      <c r="GL15" s="5">
        <v>60</v>
      </c>
      <c r="GM15" s="5">
        <v>0</v>
      </c>
      <c r="GN15" s="5">
        <v>0</v>
      </c>
      <c r="GO15" s="5">
        <v>54</v>
      </c>
      <c r="GP15" s="5">
        <v>0</v>
      </c>
      <c r="GQ15" s="5">
        <v>0</v>
      </c>
      <c r="GR15" s="5">
        <v>0</v>
      </c>
      <c r="GS15" s="5"/>
      <c r="GT15" s="5"/>
      <c r="GU15" s="5"/>
      <c r="GV15" s="5"/>
    </row>
    <row r="16" spans="1:204" ht="15.6">
      <c r="A16" s="26">
        <f t="shared" si="2"/>
        <v>46036</v>
      </c>
      <c r="B16" s="27" t="str">
        <f t="shared" si="0"/>
        <v>Wed</v>
      </c>
      <c r="C16" s="28">
        <f t="shared" si="1"/>
        <v>2422</v>
      </c>
      <c r="D16" s="5">
        <v>0</v>
      </c>
      <c r="E16" s="5">
        <v>3</v>
      </c>
      <c r="F16" s="5">
        <v>0</v>
      </c>
      <c r="G16" s="5">
        <v>5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73</v>
      </c>
      <c r="O16" s="5">
        <v>58</v>
      </c>
      <c r="P16" s="5">
        <v>0</v>
      </c>
      <c r="Q16" s="5">
        <v>0</v>
      </c>
      <c r="R16" s="5">
        <v>0</v>
      </c>
      <c r="S16" s="5">
        <v>61</v>
      </c>
      <c r="T16" s="5">
        <v>181</v>
      </c>
      <c r="U16" s="5">
        <v>16</v>
      </c>
      <c r="V16" s="5">
        <v>0</v>
      </c>
      <c r="W16" s="5">
        <v>0</v>
      </c>
      <c r="X16" s="5">
        <v>0</v>
      </c>
      <c r="Y16" s="5">
        <v>0</v>
      </c>
      <c r="Z16" s="5">
        <v>70</v>
      </c>
      <c r="AA16" s="5">
        <v>0</v>
      </c>
      <c r="AB16" s="5">
        <v>0</v>
      </c>
      <c r="AC16" s="5">
        <v>0</v>
      </c>
      <c r="AD16" s="5">
        <v>41</v>
      </c>
      <c r="AE16" s="5">
        <v>0</v>
      </c>
      <c r="AF16" s="5">
        <v>0</v>
      </c>
      <c r="AG16" s="5">
        <v>0</v>
      </c>
      <c r="AH16" s="5">
        <v>47</v>
      </c>
      <c r="AI16" s="5">
        <v>0</v>
      </c>
      <c r="AJ16" s="5">
        <v>0</v>
      </c>
      <c r="AK16" s="5">
        <v>15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51</v>
      </c>
      <c r="AX16" s="5">
        <v>74</v>
      </c>
      <c r="AY16" s="5">
        <v>0</v>
      </c>
      <c r="AZ16" s="5">
        <v>0</v>
      </c>
      <c r="BA16" s="5">
        <v>62</v>
      </c>
      <c r="BB16" s="5">
        <v>0</v>
      </c>
      <c r="BC16" s="5">
        <v>36</v>
      </c>
      <c r="BD16" s="5">
        <v>58</v>
      </c>
      <c r="BE16" s="5">
        <v>34</v>
      </c>
      <c r="BF16" s="5">
        <v>0</v>
      </c>
      <c r="BG16" s="5">
        <v>0</v>
      </c>
      <c r="BH16" s="5">
        <v>10</v>
      </c>
      <c r="BI16" s="5">
        <v>7</v>
      </c>
      <c r="BJ16" s="5">
        <v>0</v>
      </c>
      <c r="BK16" s="5">
        <v>0</v>
      </c>
      <c r="BL16" s="5">
        <v>0</v>
      </c>
      <c r="BM16" s="5">
        <v>0</v>
      </c>
      <c r="BN16" s="5">
        <v>5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11</v>
      </c>
      <c r="CD16" s="5">
        <v>97</v>
      </c>
      <c r="CE16" s="5">
        <v>0</v>
      </c>
      <c r="CF16" s="5">
        <v>7</v>
      </c>
      <c r="CG16" s="5">
        <v>0</v>
      </c>
      <c r="CH16" s="5">
        <v>38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40</v>
      </c>
      <c r="CO16" s="5">
        <v>1</v>
      </c>
      <c r="CP16" s="5">
        <v>0</v>
      </c>
      <c r="CQ16" s="5">
        <v>0</v>
      </c>
      <c r="CR16" s="5">
        <v>0</v>
      </c>
      <c r="CS16" s="5">
        <v>0</v>
      </c>
      <c r="CT16" s="5">
        <v>38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23</v>
      </c>
      <c r="DB16" s="5">
        <v>0</v>
      </c>
      <c r="DC16" s="5">
        <v>0</v>
      </c>
      <c r="DD16" s="5">
        <v>39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12</v>
      </c>
      <c r="DM16" s="5">
        <v>0</v>
      </c>
      <c r="DN16" s="5">
        <v>24</v>
      </c>
      <c r="DO16" s="5">
        <v>6</v>
      </c>
      <c r="DP16" s="5">
        <v>0</v>
      </c>
      <c r="DQ16" s="5">
        <v>0</v>
      </c>
      <c r="DR16" s="5">
        <v>0</v>
      </c>
      <c r="DS16" s="5">
        <v>51</v>
      </c>
      <c r="DT16" s="5">
        <v>0</v>
      </c>
      <c r="DU16" s="5">
        <v>20</v>
      </c>
      <c r="DV16" s="5">
        <v>0</v>
      </c>
      <c r="DW16" s="5">
        <v>0</v>
      </c>
      <c r="DX16" s="5">
        <v>21</v>
      </c>
      <c r="DY16" s="5">
        <v>60</v>
      </c>
      <c r="DZ16" s="5">
        <v>52</v>
      </c>
      <c r="EA16" s="5">
        <v>0</v>
      </c>
      <c r="EB16" s="5">
        <v>52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0</v>
      </c>
      <c r="EJ16" s="5">
        <v>25</v>
      </c>
      <c r="EK16" s="5">
        <v>67</v>
      </c>
      <c r="EL16" s="5">
        <v>0</v>
      </c>
      <c r="EM16" s="5">
        <v>0</v>
      </c>
      <c r="EN16" s="5">
        <v>0</v>
      </c>
      <c r="EO16" s="5">
        <v>22</v>
      </c>
      <c r="EP16" s="5">
        <v>0</v>
      </c>
      <c r="EQ16" s="5">
        <v>0</v>
      </c>
      <c r="ER16" s="5">
        <v>29</v>
      </c>
      <c r="ES16" s="5">
        <v>0</v>
      </c>
      <c r="ET16" s="5">
        <v>0</v>
      </c>
      <c r="EU16" s="5">
        <v>35</v>
      </c>
      <c r="EV16" s="5">
        <v>57</v>
      </c>
      <c r="EW16" s="5">
        <v>40</v>
      </c>
      <c r="EX16" s="5">
        <v>5</v>
      </c>
      <c r="EY16" s="5">
        <v>45</v>
      </c>
      <c r="EZ16" s="5">
        <v>5</v>
      </c>
      <c r="FA16" s="5">
        <v>0</v>
      </c>
      <c r="FB16" s="5">
        <v>0</v>
      </c>
      <c r="FC16" s="5">
        <v>0</v>
      </c>
      <c r="FD16" s="5">
        <v>0</v>
      </c>
      <c r="FE16" s="5">
        <v>0</v>
      </c>
      <c r="FF16" s="5">
        <v>0</v>
      </c>
      <c r="FG16" s="5">
        <v>0</v>
      </c>
      <c r="FH16" s="5">
        <v>120</v>
      </c>
      <c r="FI16" s="5">
        <v>0</v>
      </c>
      <c r="FJ16" s="5">
        <v>0</v>
      </c>
      <c r="FK16" s="5">
        <v>0</v>
      </c>
      <c r="FL16" s="5">
        <v>0</v>
      </c>
      <c r="FM16" s="5">
        <v>0</v>
      </c>
      <c r="FN16" s="5">
        <v>0</v>
      </c>
      <c r="FO16" s="5">
        <v>31</v>
      </c>
      <c r="FP16" s="5">
        <v>0</v>
      </c>
      <c r="FQ16" s="5">
        <v>46</v>
      </c>
      <c r="FR16" s="5">
        <v>0</v>
      </c>
      <c r="FS16" s="5">
        <v>72</v>
      </c>
      <c r="FT16" s="5">
        <v>22</v>
      </c>
      <c r="FU16" s="5">
        <v>0</v>
      </c>
      <c r="FV16" s="5">
        <v>0</v>
      </c>
      <c r="FW16" s="5">
        <v>0</v>
      </c>
      <c r="FX16" s="5">
        <v>0</v>
      </c>
      <c r="FY16" s="5">
        <v>29</v>
      </c>
      <c r="FZ16" s="5">
        <v>39</v>
      </c>
      <c r="GA16" s="5">
        <v>0</v>
      </c>
      <c r="GB16" s="5">
        <v>0</v>
      </c>
      <c r="GC16" s="5">
        <v>0</v>
      </c>
      <c r="GD16" s="5">
        <v>0</v>
      </c>
      <c r="GE16" s="5">
        <v>83</v>
      </c>
      <c r="GF16" s="5">
        <v>0</v>
      </c>
      <c r="GG16" s="5">
        <v>0</v>
      </c>
      <c r="GH16" s="5">
        <v>0</v>
      </c>
      <c r="GI16" s="5">
        <v>0</v>
      </c>
      <c r="GJ16" s="5">
        <v>0</v>
      </c>
      <c r="GK16" s="5">
        <v>80</v>
      </c>
      <c r="GL16" s="5">
        <v>20</v>
      </c>
      <c r="GM16" s="5">
        <v>0</v>
      </c>
      <c r="GN16" s="5">
        <v>0</v>
      </c>
      <c r="GO16" s="5">
        <v>51</v>
      </c>
      <c r="GP16" s="5">
        <v>0</v>
      </c>
      <c r="GQ16" s="5">
        <v>0</v>
      </c>
      <c r="GR16" s="5">
        <v>0</v>
      </c>
      <c r="GS16" s="5"/>
      <c r="GT16" s="5"/>
      <c r="GU16" s="5"/>
      <c r="GV16" s="5"/>
    </row>
    <row r="17" spans="1:204" ht="15.6">
      <c r="A17" s="26">
        <f t="shared" si="2"/>
        <v>46037</v>
      </c>
      <c r="B17" s="27" t="str">
        <f t="shared" si="0"/>
        <v>Thu</v>
      </c>
      <c r="C17" s="28">
        <f t="shared" si="1"/>
        <v>2467</v>
      </c>
      <c r="D17" s="5">
        <v>0</v>
      </c>
      <c r="E17" s="5">
        <v>36</v>
      </c>
      <c r="F17" s="5">
        <v>0</v>
      </c>
      <c r="G17" s="5">
        <v>5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47</v>
      </c>
      <c r="O17" s="5">
        <v>62</v>
      </c>
      <c r="P17" s="5">
        <v>0</v>
      </c>
      <c r="Q17" s="5">
        <v>0</v>
      </c>
      <c r="R17" s="5">
        <v>0</v>
      </c>
      <c r="S17" s="5">
        <v>53</v>
      </c>
      <c r="T17" s="5">
        <v>173</v>
      </c>
      <c r="U17" s="5">
        <v>28</v>
      </c>
      <c r="V17" s="5">
        <v>0</v>
      </c>
      <c r="W17" s="5">
        <v>0</v>
      </c>
      <c r="X17" s="5">
        <v>0</v>
      </c>
      <c r="Y17" s="5">
        <v>0</v>
      </c>
      <c r="Z17" s="5">
        <v>50</v>
      </c>
      <c r="AA17" s="5">
        <v>0</v>
      </c>
      <c r="AB17" s="5">
        <v>0</v>
      </c>
      <c r="AC17" s="5">
        <v>0</v>
      </c>
      <c r="AD17" s="5">
        <v>57</v>
      </c>
      <c r="AE17" s="5">
        <v>3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46</v>
      </c>
      <c r="AX17" s="5">
        <v>71</v>
      </c>
      <c r="AY17" s="5">
        <v>0</v>
      </c>
      <c r="AZ17" s="5">
        <v>0</v>
      </c>
      <c r="BA17" s="5">
        <v>32</v>
      </c>
      <c r="BB17" s="5">
        <v>0</v>
      </c>
      <c r="BC17" s="5">
        <v>14</v>
      </c>
      <c r="BD17" s="5">
        <v>73</v>
      </c>
      <c r="BE17" s="5">
        <v>22</v>
      </c>
      <c r="BF17" s="5">
        <v>0</v>
      </c>
      <c r="BG17" s="5">
        <v>0</v>
      </c>
      <c r="BH17" s="5">
        <v>9</v>
      </c>
      <c r="BI17" s="5">
        <v>35</v>
      </c>
      <c r="BJ17" s="5">
        <v>0</v>
      </c>
      <c r="BK17" s="5">
        <v>0</v>
      </c>
      <c r="BL17" s="5">
        <v>0</v>
      </c>
      <c r="BM17" s="5">
        <v>0</v>
      </c>
      <c r="BN17" s="5">
        <v>35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46</v>
      </c>
      <c r="CD17" s="5">
        <v>58</v>
      </c>
      <c r="CE17" s="5">
        <v>0</v>
      </c>
      <c r="CF17" s="5">
        <v>6</v>
      </c>
      <c r="CG17" s="5">
        <v>0</v>
      </c>
      <c r="CH17" s="5">
        <v>37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49</v>
      </c>
      <c r="CO17" s="5">
        <v>4</v>
      </c>
      <c r="CP17" s="5">
        <v>0</v>
      </c>
      <c r="CQ17" s="5">
        <v>0</v>
      </c>
      <c r="CR17" s="5">
        <v>0</v>
      </c>
      <c r="CS17" s="5">
        <v>5</v>
      </c>
      <c r="CT17" s="5">
        <v>45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6</v>
      </c>
      <c r="DA17" s="5">
        <v>29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25</v>
      </c>
      <c r="DM17" s="5">
        <v>0</v>
      </c>
      <c r="DN17" s="5">
        <v>46</v>
      </c>
      <c r="DO17" s="5">
        <v>16</v>
      </c>
      <c r="DP17" s="5">
        <v>0</v>
      </c>
      <c r="DQ17" s="5">
        <v>0</v>
      </c>
      <c r="DR17" s="5">
        <v>0</v>
      </c>
      <c r="DS17" s="5">
        <v>27</v>
      </c>
      <c r="DT17" s="5">
        <v>0</v>
      </c>
      <c r="DU17" s="5">
        <v>12</v>
      </c>
      <c r="DV17" s="5">
        <v>0</v>
      </c>
      <c r="DW17" s="5">
        <v>0</v>
      </c>
      <c r="DX17" s="5">
        <v>35</v>
      </c>
      <c r="DY17" s="5">
        <v>47</v>
      </c>
      <c r="DZ17" s="5">
        <v>51</v>
      </c>
      <c r="EA17" s="5">
        <v>0</v>
      </c>
      <c r="EB17" s="5">
        <v>44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0</v>
      </c>
      <c r="EI17" s="5">
        <v>0</v>
      </c>
      <c r="EJ17" s="5">
        <v>41</v>
      </c>
      <c r="EK17" s="5">
        <v>35</v>
      </c>
      <c r="EL17" s="5">
        <v>0</v>
      </c>
      <c r="EM17" s="5">
        <v>0</v>
      </c>
      <c r="EN17" s="5">
        <v>0</v>
      </c>
      <c r="EO17" s="5">
        <v>33</v>
      </c>
      <c r="EP17" s="5">
        <v>0</v>
      </c>
      <c r="EQ17" s="5">
        <v>0</v>
      </c>
      <c r="ER17" s="5">
        <v>25</v>
      </c>
      <c r="ES17" s="5">
        <v>0</v>
      </c>
      <c r="ET17" s="5">
        <v>0</v>
      </c>
      <c r="EU17" s="5">
        <v>49</v>
      </c>
      <c r="EV17" s="5">
        <v>66</v>
      </c>
      <c r="EW17" s="5">
        <v>49</v>
      </c>
      <c r="EX17" s="5">
        <v>27</v>
      </c>
      <c r="EY17" s="5">
        <v>21</v>
      </c>
      <c r="EZ17" s="5">
        <v>0</v>
      </c>
      <c r="FA17" s="5">
        <v>0</v>
      </c>
      <c r="FB17" s="5">
        <v>0</v>
      </c>
      <c r="FC17" s="5">
        <v>0</v>
      </c>
      <c r="FD17" s="5">
        <v>0</v>
      </c>
      <c r="FE17" s="5">
        <v>0</v>
      </c>
      <c r="FF17" s="5">
        <v>0</v>
      </c>
      <c r="FG17" s="5">
        <v>0</v>
      </c>
      <c r="FH17" s="5">
        <v>120</v>
      </c>
      <c r="FI17" s="5">
        <v>0</v>
      </c>
      <c r="FJ17" s="5">
        <v>0</v>
      </c>
      <c r="FK17" s="5">
        <v>0</v>
      </c>
      <c r="FL17" s="5">
        <v>0</v>
      </c>
      <c r="FM17" s="5">
        <v>0</v>
      </c>
      <c r="FN17" s="5">
        <v>0</v>
      </c>
      <c r="FO17" s="5">
        <v>44</v>
      </c>
      <c r="FP17" s="5">
        <v>0</v>
      </c>
      <c r="FQ17" s="5">
        <v>68</v>
      </c>
      <c r="FR17" s="5">
        <v>0</v>
      </c>
      <c r="FS17" s="5">
        <v>29</v>
      </c>
      <c r="FT17" s="5">
        <v>38</v>
      </c>
      <c r="FU17" s="5">
        <v>0</v>
      </c>
      <c r="FV17" s="5">
        <v>0</v>
      </c>
      <c r="FW17" s="5">
        <v>0</v>
      </c>
      <c r="FX17" s="5">
        <v>0</v>
      </c>
      <c r="FY17" s="5">
        <v>30</v>
      </c>
      <c r="FZ17" s="5">
        <v>43</v>
      </c>
      <c r="GA17" s="5">
        <v>17</v>
      </c>
      <c r="GB17" s="5">
        <v>0</v>
      </c>
      <c r="GC17" s="5">
        <v>0</v>
      </c>
      <c r="GD17" s="5">
        <v>0</v>
      </c>
      <c r="GE17" s="5">
        <v>85</v>
      </c>
      <c r="GF17" s="5">
        <v>44</v>
      </c>
      <c r="GG17" s="5">
        <v>0</v>
      </c>
      <c r="GH17" s="5">
        <v>0</v>
      </c>
      <c r="GI17" s="5">
        <v>0</v>
      </c>
      <c r="GJ17" s="5">
        <v>0</v>
      </c>
      <c r="GK17" s="5">
        <v>72</v>
      </c>
      <c r="GL17" s="5">
        <v>45</v>
      </c>
      <c r="GM17" s="5">
        <v>0</v>
      </c>
      <c r="GN17" s="5">
        <v>0</v>
      </c>
      <c r="GO17" s="5">
        <v>47</v>
      </c>
      <c r="GP17" s="5">
        <v>0</v>
      </c>
      <c r="GQ17" s="5">
        <v>0</v>
      </c>
      <c r="GR17" s="5">
        <v>0</v>
      </c>
      <c r="GS17" s="5"/>
      <c r="GT17" s="5"/>
      <c r="GU17" s="5"/>
      <c r="GV17" s="5"/>
    </row>
    <row r="18" spans="1:204" ht="15.6">
      <c r="A18" s="26">
        <f t="shared" si="2"/>
        <v>46038</v>
      </c>
      <c r="B18" s="27" t="str">
        <f t="shared" si="0"/>
        <v>Fri</v>
      </c>
      <c r="C18" s="28">
        <f t="shared" si="1"/>
        <v>2298</v>
      </c>
      <c r="D18" s="5">
        <v>0</v>
      </c>
      <c r="E18" s="5">
        <v>5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52</v>
      </c>
      <c r="O18" s="5">
        <v>75</v>
      </c>
      <c r="P18" s="5">
        <v>0</v>
      </c>
      <c r="Q18" s="5">
        <v>0</v>
      </c>
      <c r="R18" s="5">
        <v>0</v>
      </c>
      <c r="S18" s="5">
        <v>56</v>
      </c>
      <c r="T18" s="5">
        <v>106</v>
      </c>
      <c r="U18" s="5">
        <v>14</v>
      </c>
      <c r="V18" s="5">
        <v>0</v>
      </c>
      <c r="W18" s="5">
        <v>0</v>
      </c>
      <c r="X18" s="5">
        <v>0</v>
      </c>
      <c r="Y18" s="5">
        <v>0</v>
      </c>
      <c r="Z18" s="5">
        <v>53</v>
      </c>
      <c r="AA18" s="5">
        <v>0</v>
      </c>
      <c r="AB18" s="5">
        <v>0</v>
      </c>
      <c r="AC18" s="5">
        <v>0</v>
      </c>
      <c r="AD18" s="5">
        <v>49</v>
      </c>
      <c r="AE18" s="5">
        <v>26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50</v>
      </c>
      <c r="AX18" s="5">
        <v>77</v>
      </c>
      <c r="AY18" s="5">
        <v>0</v>
      </c>
      <c r="AZ18" s="5">
        <v>0</v>
      </c>
      <c r="BA18" s="5">
        <v>74</v>
      </c>
      <c r="BB18" s="5">
        <v>0</v>
      </c>
      <c r="BC18" s="5">
        <v>0</v>
      </c>
      <c r="BD18" s="5">
        <v>105</v>
      </c>
      <c r="BE18" s="5">
        <v>46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33</v>
      </c>
      <c r="BO18" s="5">
        <v>0</v>
      </c>
      <c r="BP18" s="5">
        <v>0</v>
      </c>
      <c r="BQ18" s="5">
        <v>0</v>
      </c>
      <c r="BR18" s="5">
        <v>0</v>
      </c>
      <c r="BS18" s="5">
        <v>26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1</v>
      </c>
      <c r="CD18" s="5">
        <v>150</v>
      </c>
      <c r="CE18" s="5">
        <v>0</v>
      </c>
      <c r="CF18" s="5">
        <v>1</v>
      </c>
      <c r="CG18" s="5">
        <v>0</v>
      </c>
      <c r="CH18" s="5">
        <v>42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41</v>
      </c>
      <c r="CO18" s="5">
        <v>9</v>
      </c>
      <c r="CP18" s="5">
        <v>0</v>
      </c>
      <c r="CQ18" s="5">
        <v>0</v>
      </c>
      <c r="CR18" s="5">
        <v>39</v>
      </c>
      <c r="CS18" s="5">
        <v>8</v>
      </c>
      <c r="CT18" s="5">
        <v>31</v>
      </c>
      <c r="CU18" s="5">
        <v>0</v>
      </c>
      <c r="CV18" s="5">
        <v>11</v>
      </c>
      <c r="CW18" s="5">
        <v>0</v>
      </c>
      <c r="CX18" s="5">
        <v>0</v>
      </c>
      <c r="CY18" s="5">
        <v>0</v>
      </c>
      <c r="CZ18" s="5">
        <v>0</v>
      </c>
      <c r="DA18" s="5">
        <v>32</v>
      </c>
      <c r="DB18" s="5">
        <v>0</v>
      </c>
      <c r="DC18" s="5">
        <v>0</v>
      </c>
      <c r="DD18" s="5">
        <v>55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5">
        <v>10</v>
      </c>
      <c r="DM18" s="5">
        <v>0</v>
      </c>
      <c r="DN18" s="5">
        <v>45</v>
      </c>
      <c r="DO18" s="5">
        <v>17</v>
      </c>
      <c r="DP18" s="5">
        <v>0</v>
      </c>
      <c r="DQ18" s="5">
        <v>0</v>
      </c>
      <c r="DR18" s="5">
        <v>0</v>
      </c>
      <c r="DS18" s="5">
        <v>31</v>
      </c>
      <c r="DT18" s="5">
        <v>0</v>
      </c>
      <c r="DU18" s="5">
        <v>28</v>
      </c>
      <c r="DV18" s="5">
        <v>0</v>
      </c>
      <c r="DW18" s="5">
        <v>0</v>
      </c>
      <c r="DX18" s="5">
        <v>12</v>
      </c>
      <c r="DY18" s="5">
        <v>0</v>
      </c>
      <c r="DZ18" s="5">
        <v>49</v>
      </c>
      <c r="EA18" s="5">
        <v>0</v>
      </c>
      <c r="EB18" s="5">
        <v>51</v>
      </c>
      <c r="EC18" s="5">
        <v>0</v>
      </c>
      <c r="ED18" s="5">
        <v>0</v>
      </c>
      <c r="EE18" s="5">
        <v>0</v>
      </c>
      <c r="EF18" s="5">
        <v>0</v>
      </c>
      <c r="EG18" s="5">
        <v>0</v>
      </c>
      <c r="EH18" s="5">
        <v>9</v>
      </c>
      <c r="EI18" s="5">
        <v>0</v>
      </c>
      <c r="EJ18" s="5">
        <v>24</v>
      </c>
      <c r="EK18" s="5">
        <v>0</v>
      </c>
      <c r="EL18" s="5">
        <v>0</v>
      </c>
      <c r="EM18" s="5">
        <v>0</v>
      </c>
      <c r="EN18" s="5">
        <v>0</v>
      </c>
      <c r="EO18" s="5">
        <v>34</v>
      </c>
      <c r="EP18" s="5">
        <v>0</v>
      </c>
      <c r="EQ18" s="5">
        <v>0</v>
      </c>
      <c r="ER18" s="5">
        <v>13</v>
      </c>
      <c r="ES18" s="5">
        <v>0</v>
      </c>
      <c r="ET18" s="5">
        <v>0</v>
      </c>
      <c r="EU18" s="5">
        <v>54</v>
      </c>
      <c r="EV18" s="5">
        <v>66</v>
      </c>
      <c r="EW18" s="5">
        <v>44</v>
      </c>
      <c r="EX18" s="5">
        <v>16</v>
      </c>
      <c r="EY18" s="5">
        <v>26</v>
      </c>
      <c r="EZ18" s="5">
        <v>9</v>
      </c>
      <c r="FA18" s="5">
        <v>0</v>
      </c>
      <c r="FB18" s="5">
        <v>0</v>
      </c>
      <c r="FC18" s="5">
        <v>0</v>
      </c>
      <c r="FD18" s="5">
        <v>0</v>
      </c>
      <c r="FE18" s="5">
        <v>0</v>
      </c>
      <c r="FF18" s="5">
        <v>0</v>
      </c>
      <c r="FG18" s="5">
        <v>0</v>
      </c>
      <c r="FH18" s="5">
        <v>100</v>
      </c>
      <c r="FI18" s="5">
        <v>0</v>
      </c>
      <c r="FJ18" s="5">
        <v>0</v>
      </c>
      <c r="FK18" s="5">
        <v>0</v>
      </c>
      <c r="FL18" s="5">
        <v>0</v>
      </c>
      <c r="FM18" s="5">
        <v>0</v>
      </c>
      <c r="FN18" s="5">
        <v>0</v>
      </c>
      <c r="FO18" s="5">
        <v>11</v>
      </c>
      <c r="FP18" s="5">
        <v>0</v>
      </c>
      <c r="FQ18" s="5">
        <v>84</v>
      </c>
      <c r="FR18" s="5">
        <v>0</v>
      </c>
      <c r="FS18" s="5">
        <v>56</v>
      </c>
      <c r="FT18" s="5">
        <v>29</v>
      </c>
      <c r="FU18" s="5">
        <v>0</v>
      </c>
      <c r="FV18" s="5">
        <v>0</v>
      </c>
      <c r="FW18" s="5">
        <v>0</v>
      </c>
      <c r="FX18" s="5">
        <v>0</v>
      </c>
      <c r="FY18" s="5">
        <v>31</v>
      </c>
      <c r="FZ18" s="5">
        <v>0</v>
      </c>
      <c r="GA18" s="5">
        <v>0</v>
      </c>
      <c r="GB18" s="5">
        <v>0</v>
      </c>
      <c r="GC18" s="5">
        <v>0</v>
      </c>
      <c r="GD18" s="5">
        <v>0</v>
      </c>
      <c r="GE18" s="5">
        <v>46</v>
      </c>
      <c r="GF18" s="5">
        <v>36</v>
      </c>
      <c r="GG18" s="5">
        <v>0</v>
      </c>
      <c r="GH18" s="5">
        <v>0</v>
      </c>
      <c r="GI18" s="5">
        <v>0</v>
      </c>
      <c r="GJ18" s="5">
        <v>0</v>
      </c>
      <c r="GK18" s="5">
        <v>58</v>
      </c>
      <c r="GL18" s="5">
        <v>9</v>
      </c>
      <c r="GM18" s="5">
        <v>0</v>
      </c>
      <c r="GN18" s="5">
        <v>0</v>
      </c>
      <c r="GO18" s="5">
        <v>33</v>
      </c>
      <c r="GP18" s="5">
        <v>0</v>
      </c>
      <c r="GQ18" s="5">
        <v>0</v>
      </c>
      <c r="GR18" s="5">
        <v>0</v>
      </c>
      <c r="GS18" s="5"/>
      <c r="GT18" s="5"/>
      <c r="GU18" s="5"/>
      <c r="GV18" s="5"/>
    </row>
    <row r="19" spans="1:204" ht="15.6">
      <c r="A19" s="26">
        <f t="shared" si="2"/>
        <v>46039</v>
      </c>
      <c r="B19" s="27" t="str">
        <f t="shared" si="0"/>
        <v>Sat</v>
      </c>
      <c r="C19" s="28">
        <f t="shared" si="1"/>
        <v>171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52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17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8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0</v>
      </c>
      <c r="CO19" s="5">
        <v>2</v>
      </c>
      <c r="CP19" s="5">
        <v>0</v>
      </c>
      <c r="CQ19" s="5">
        <v>0</v>
      </c>
      <c r="CR19" s="5">
        <v>20</v>
      </c>
      <c r="CS19" s="5">
        <v>0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s="5">
        <v>0</v>
      </c>
      <c r="EF19" s="5">
        <v>0</v>
      </c>
      <c r="EG19" s="5">
        <v>0</v>
      </c>
      <c r="EH19" s="5">
        <v>0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  <c r="EN19" s="5">
        <v>0</v>
      </c>
      <c r="EO19" s="5">
        <v>0</v>
      </c>
      <c r="EP19" s="5">
        <v>0</v>
      </c>
      <c r="EQ19" s="5">
        <v>0</v>
      </c>
      <c r="ER19" s="5">
        <v>0</v>
      </c>
      <c r="ES19" s="5">
        <v>0</v>
      </c>
      <c r="ET19" s="5">
        <v>0</v>
      </c>
      <c r="EU19" s="5">
        <v>0</v>
      </c>
      <c r="EV19" s="5">
        <v>0</v>
      </c>
      <c r="EW19" s="5">
        <v>0</v>
      </c>
      <c r="EX19" s="5">
        <v>0</v>
      </c>
      <c r="EY19" s="5">
        <v>0</v>
      </c>
      <c r="EZ19" s="5">
        <v>0</v>
      </c>
      <c r="FA19" s="5">
        <v>0</v>
      </c>
      <c r="FB19" s="5">
        <v>0</v>
      </c>
      <c r="FC19" s="5">
        <v>0</v>
      </c>
      <c r="FD19" s="5">
        <v>0</v>
      </c>
      <c r="FE19" s="5">
        <v>0</v>
      </c>
      <c r="FF19" s="5">
        <v>0</v>
      </c>
      <c r="FG19" s="5">
        <v>0</v>
      </c>
      <c r="FH19" s="5">
        <v>17</v>
      </c>
      <c r="FI19" s="5">
        <v>0</v>
      </c>
      <c r="FJ19" s="5">
        <v>0</v>
      </c>
      <c r="FK19" s="5">
        <v>0</v>
      </c>
      <c r="FL19" s="5">
        <v>0</v>
      </c>
      <c r="FM19" s="5">
        <v>0</v>
      </c>
      <c r="FN19" s="5">
        <v>0</v>
      </c>
      <c r="FO19" s="5">
        <v>0</v>
      </c>
      <c r="FP19" s="5">
        <v>0</v>
      </c>
      <c r="FQ19" s="5">
        <v>0</v>
      </c>
      <c r="FR19" s="5">
        <v>0</v>
      </c>
      <c r="FS19" s="5">
        <v>0</v>
      </c>
      <c r="FT19" s="5">
        <v>0</v>
      </c>
      <c r="FU19" s="5">
        <v>0</v>
      </c>
      <c r="FV19" s="5">
        <v>0</v>
      </c>
      <c r="FW19" s="5">
        <v>0</v>
      </c>
      <c r="FX19" s="5">
        <v>0</v>
      </c>
      <c r="FY19" s="5">
        <v>0</v>
      </c>
      <c r="FZ19" s="5">
        <v>0</v>
      </c>
      <c r="GA19" s="5">
        <v>0</v>
      </c>
      <c r="GB19" s="5">
        <v>0</v>
      </c>
      <c r="GC19" s="5">
        <v>0</v>
      </c>
      <c r="GD19" s="5">
        <v>0</v>
      </c>
      <c r="GE19" s="5">
        <v>55</v>
      </c>
      <c r="GF19" s="5">
        <v>0</v>
      </c>
      <c r="GG19" s="5">
        <v>0</v>
      </c>
      <c r="GH19" s="5">
        <v>0</v>
      </c>
      <c r="GI19" s="5">
        <v>0</v>
      </c>
      <c r="GJ19" s="5">
        <v>0</v>
      </c>
      <c r="GK19" s="5">
        <v>0</v>
      </c>
      <c r="GL19" s="5">
        <v>0</v>
      </c>
      <c r="GM19" s="5">
        <v>0</v>
      </c>
      <c r="GN19" s="5">
        <v>0</v>
      </c>
      <c r="GO19" s="5">
        <v>0</v>
      </c>
      <c r="GP19" s="5">
        <v>0</v>
      </c>
      <c r="GQ19" s="5">
        <v>0</v>
      </c>
      <c r="GR19" s="5">
        <v>0</v>
      </c>
      <c r="GS19" s="5"/>
      <c r="GT19" s="5"/>
      <c r="GU19" s="5"/>
      <c r="GV19" s="5"/>
    </row>
    <row r="20" spans="1:204" ht="15.6">
      <c r="A20" s="26">
        <f t="shared" si="2"/>
        <v>46040</v>
      </c>
      <c r="B20" s="27" t="str">
        <f t="shared" si="0"/>
        <v>Sun</v>
      </c>
      <c r="C20" s="28">
        <f t="shared" si="1"/>
        <v>135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16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17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17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15</v>
      </c>
      <c r="CS20" s="5">
        <v>0</v>
      </c>
      <c r="CT20" s="5">
        <v>5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0</v>
      </c>
      <c r="EK20" s="5">
        <v>0</v>
      </c>
      <c r="EL20" s="5">
        <v>0</v>
      </c>
      <c r="EM20" s="5">
        <v>0</v>
      </c>
      <c r="EN20" s="5">
        <v>0</v>
      </c>
      <c r="EO20" s="5">
        <v>0</v>
      </c>
      <c r="EP20" s="5">
        <v>0</v>
      </c>
      <c r="EQ20" s="5">
        <v>0</v>
      </c>
      <c r="ER20" s="5">
        <v>0</v>
      </c>
      <c r="ES20" s="5">
        <v>0</v>
      </c>
      <c r="ET20" s="5">
        <v>0</v>
      </c>
      <c r="EU20" s="5">
        <v>0</v>
      </c>
      <c r="EV20" s="5">
        <v>0</v>
      </c>
      <c r="EW20" s="5">
        <v>0</v>
      </c>
      <c r="EX20" s="5">
        <v>0</v>
      </c>
      <c r="EY20" s="5">
        <v>0</v>
      </c>
      <c r="EZ20" s="5">
        <v>0</v>
      </c>
      <c r="FA20" s="5">
        <v>0</v>
      </c>
      <c r="FB20" s="5">
        <v>0</v>
      </c>
      <c r="FC20" s="5">
        <v>0</v>
      </c>
      <c r="FD20" s="5">
        <v>0</v>
      </c>
      <c r="FE20" s="5">
        <v>0</v>
      </c>
      <c r="FF20" s="5">
        <v>0</v>
      </c>
      <c r="FG20" s="5">
        <v>0</v>
      </c>
      <c r="FH20" s="5">
        <v>0</v>
      </c>
      <c r="FI20" s="5">
        <v>0</v>
      </c>
      <c r="FJ20" s="5">
        <v>0</v>
      </c>
      <c r="FK20" s="5">
        <v>0</v>
      </c>
      <c r="FL20" s="5">
        <v>0</v>
      </c>
      <c r="FM20" s="5">
        <v>0</v>
      </c>
      <c r="FN20" s="5">
        <v>0</v>
      </c>
      <c r="FO20" s="5">
        <v>0</v>
      </c>
      <c r="FP20" s="5">
        <v>0</v>
      </c>
      <c r="FQ20" s="5">
        <v>0</v>
      </c>
      <c r="FR20" s="5">
        <v>0</v>
      </c>
      <c r="FS20" s="5">
        <v>0</v>
      </c>
      <c r="FT20" s="5">
        <v>0</v>
      </c>
      <c r="FU20" s="5">
        <v>0</v>
      </c>
      <c r="FV20" s="5">
        <v>0</v>
      </c>
      <c r="FW20" s="5">
        <v>0</v>
      </c>
      <c r="FX20" s="5">
        <v>0</v>
      </c>
      <c r="FY20" s="5">
        <v>10</v>
      </c>
      <c r="FZ20" s="5">
        <v>0</v>
      </c>
      <c r="GA20" s="5">
        <v>0</v>
      </c>
      <c r="GB20" s="5">
        <v>0</v>
      </c>
      <c r="GC20" s="5">
        <v>0</v>
      </c>
      <c r="GD20" s="5">
        <v>0</v>
      </c>
      <c r="GE20" s="5">
        <v>55</v>
      </c>
      <c r="GF20" s="5">
        <v>0</v>
      </c>
      <c r="GG20" s="5">
        <v>0</v>
      </c>
      <c r="GH20" s="5">
        <v>0</v>
      </c>
      <c r="GI20" s="5">
        <v>0</v>
      </c>
      <c r="GJ20" s="5">
        <v>0</v>
      </c>
      <c r="GK20" s="5">
        <v>0</v>
      </c>
      <c r="GL20" s="5">
        <v>0</v>
      </c>
      <c r="GM20" s="5">
        <v>0</v>
      </c>
      <c r="GN20" s="5">
        <v>0</v>
      </c>
      <c r="GO20" s="5">
        <v>0</v>
      </c>
      <c r="GP20" s="5">
        <v>0</v>
      </c>
      <c r="GQ20" s="5">
        <v>0</v>
      </c>
      <c r="GR20" s="5">
        <v>0</v>
      </c>
      <c r="GS20" s="5"/>
      <c r="GT20" s="5"/>
      <c r="GU20" s="5"/>
      <c r="GV20" s="5"/>
    </row>
    <row r="21" spans="1:204" ht="15.6">
      <c r="A21" s="26">
        <f t="shared" si="2"/>
        <v>46041</v>
      </c>
      <c r="B21" s="27" t="str">
        <f t="shared" si="0"/>
        <v>Mon</v>
      </c>
      <c r="C21" s="28">
        <f t="shared" si="1"/>
        <v>2966</v>
      </c>
      <c r="D21" s="5">
        <v>0</v>
      </c>
      <c r="E21" s="5">
        <v>48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68</v>
      </c>
      <c r="O21" s="5">
        <v>0</v>
      </c>
      <c r="P21" s="5">
        <v>0</v>
      </c>
      <c r="Q21" s="5">
        <v>0</v>
      </c>
      <c r="R21" s="5">
        <v>0</v>
      </c>
      <c r="S21" s="5">
        <v>53</v>
      </c>
      <c r="T21" s="5">
        <v>189</v>
      </c>
      <c r="U21" s="5">
        <v>20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30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41</v>
      </c>
      <c r="AX21" s="5">
        <v>93</v>
      </c>
      <c r="AY21" s="5">
        <v>0</v>
      </c>
      <c r="AZ21" s="5">
        <v>0</v>
      </c>
      <c r="BA21" s="5">
        <v>108</v>
      </c>
      <c r="BB21" s="5">
        <v>0</v>
      </c>
      <c r="BC21" s="5">
        <v>34</v>
      </c>
      <c r="BD21" s="5">
        <v>0</v>
      </c>
      <c r="BE21" s="5">
        <v>45</v>
      </c>
      <c r="BF21" s="5">
        <v>0</v>
      </c>
      <c r="BG21" s="5">
        <v>0</v>
      </c>
      <c r="BH21" s="5">
        <v>0</v>
      </c>
      <c r="BI21" s="5">
        <v>46</v>
      </c>
      <c r="BJ21" s="5">
        <v>0</v>
      </c>
      <c r="BK21" s="5">
        <v>0</v>
      </c>
      <c r="BL21" s="5">
        <v>0</v>
      </c>
      <c r="BM21" s="5">
        <v>0</v>
      </c>
      <c r="BN21" s="5">
        <v>35</v>
      </c>
      <c r="BO21" s="5">
        <v>0</v>
      </c>
      <c r="BP21" s="5">
        <v>0</v>
      </c>
      <c r="BQ21" s="5">
        <v>0</v>
      </c>
      <c r="BR21" s="5">
        <v>0</v>
      </c>
      <c r="BS21" s="5">
        <v>23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250</v>
      </c>
      <c r="CE21" s="5">
        <v>0</v>
      </c>
      <c r="CF21" s="5">
        <v>9</v>
      </c>
      <c r="CG21" s="5">
        <v>0</v>
      </c>
      <c r="CH21" s="5">
        <v>53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82</v>
      </c>
      <c r="CO21" s="5">
        <v>0</v>
      </c>
      <c r="CP21" s="5">
        <v>0</v>
      </c>
      <c r="CQ21" s="5">
        <v>0</v>
      </c>
      <c r="CR21" s="5">
        <v>26</v>
      </c>
      <c r="CS21" s="5">
        <v>0</v>
      </c>
      <c r="CT21" s="5">
        <v>52</v>
      </c>
      <c r="CU21" s="5">
        <v>0</v>
      </c>
      <c r="CV21" s="5">
        <v>10</v>
      </c>
      <c r="CW21" s="5">
        <v>0</v>
      </c>
      <c r="CX21" s="5">
        <v>0</v>
      </c>
      <c r="CY21" s="5">
        <v>38</v>
      </c>
      <c r="CZ21" s="5">
        <v>28</v>
      </c>
      <c r="DA21" s="5">
        <v>65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25</v>
      </c>
      <c r="DM21" s="5">
        <v>0</v>
      </c>
      <c r="DN21" s="5">
        <v>112</v>
      </c>
      <c r="DO21" s="5">
        <v>0</v>
      </c>
      <c r="DP21" s="5">
        <v>13</v>
      </c>
      <c r="DQ21" s="5">
        <v>0</v>
      </c>
      <c r="DR21" s="5">
        <v>0</v>
      </c>
      <c r="DS21" s="5">
        <v>31</v>
      </c>
      <c r="DT21" s="5">
        <v>0</v>
      </c>
      <c r="DU21" s="5">
        <v>32</v>
      </c>
      <c r="DV21" s="5">
        <v>0</v>
      </c>
      <c r="DW21" s="5">
        <v>0</v>
      </c>
      <c r="DX21" s="5">
        <v>16</v>
      </c>
      <c r="DY21" s="5">
        <v>85</v>
      </c>
      <c r="DZ21" s="5">
        <v>55</v>
      </c>
      <c r="EA21" s="5">
        <v>0</v>
      </c>
      <c r="EB21" s="5">
        <v>44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66</v>
      </c>
      <c r="EL21" s="5">
        <v>0</v>
      </c>
      <c r="EM21" s="5">
        <v>0</v>
      </c>
      <c r="EN21" s="5">
        <v>0</v>
      </c>
      <c r="EO21" s="5">
        <v>40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83</v>
      </c>
      <c r="EV21" s="5">
        <v>122</v>
      </c>
      <c r="EW21" s="5">
        <v>0</v>
      </c>
      <c r="EX21" s="5">
        <v>35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201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76</v>
      </c>
      <c r="FP21" s="5">
        <v>0</v>
      </c>
      <c r="FQ21" s="5">
        <v>63</v>
      </c>
      <c r="FR21" s="5">
        <v>0</v>
      </c>
      <c r="FS21" s="5">
        <v>64</v>
      </c>
      <c r="FT21" s="5">
        <v>62</v>
      </c>
      <c r="FU21" s="5">
        <v>0</v>
      </c>
      <c r="FV21" s="5">
        <v>0</v>
      </c>
      <c r="FW21" s="5">
        <v>0</v>
      </c>
      <c r="FX21" s="5">
        <v>0</v>
      </c>
      <c r="FY21" s="5">
        <v>30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71</v>
      </c>
      <c r="GF21" s="5">
        <v>54</v>
      </c>
      <c r="GG21" s="5">
        <v>0</v>
      </c>
      <c r="GH21" s="5">
        <v>0</v>
      </c>
      <c r="GI21" s="5">
        <v>0</v>
      </c>
      <c r="GJ21" s="5">
        <v>0</v>
      </c>
      <c r="GK21" s="5">
        <v>49</v>
      </c>
      <c r="GL21" s="5">
        <v>40</v>
      </c>
      <c r="GM21" s="5">
        <v>0</v>
      </c>
      <c r="GN21" s="5">
        <v>0</v>
      </c>
      <c r="GO21" s="5">
        <v>51</v>
      </c>
      <c r="GP21" s="5">
        <v>0</v>
      </c>
      <c r="GQ21" s="5">
        <v>0</v>
      </c>
      <c r="GR21" s="5">
        <v>0</v>
      </c>
      <c r="GS21" s="5"/>
      <c r="GT21" s="5"/>
      <c r="GU21" s="5"/>
      <c r="GV21" s="5"/>
    </row>
    <row r="22" spans="1:204" ht="15.6">
      <c r="A22" s="26">
        <f t="shared" si="2"/>
        <v>46042</v>
      </c>
      <c r="B22" s="27" t="str">
        <f t="shared" si="0"/>
        <v>Tue</v>
      </c>
      <c r="C22" s="28">
        <f t="shared" si="1"/>
        <v>2753</v>
      </c>
      <c r="D22" s="5">
        <v>0</v>
      </c>
      <c r="E22" s="5">
        <v>20</v>
      </c>
      <c r="F22" s="5">
        <v>0</v>
      </c>
      <c r="G22" s="5">
        <v>5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46</v>
      </c>
      <c r="O22" s="5">
        <v>0</v>
      </c>
      <c r="P22" s="5">
        <v>0</v>
      </c>
      <c r="Q22" s="5">
        <v>0</v>
      </c>
      <c r="R22" s="5">
        <v>0</v>
      </c>
      <c r="S22" s="5">
        <v>51</v>
      </c>
      <c r="T22" s="5">
        <v>118</v>
      </c>
      <c r="U22" s="5">
        <v>14</v>
      </c>
      <c r="V22" s="5">
        <v>0</v>
      </c>
      <c r="W22" s="5">
        <v>0</v>
      </c>
      <c r="X22" s="5">
        <v>0</v>
      </c>
      <c r="Y22" s="5">
        <v>0</v>
      </c>
      <c r="Z22" s="5">
        <v>43</v>
      </c>
      <c r="AA22" s="5">
        <v>0</v>
      </c>
      <c r="AB22" s="5">
        <v>0</v>
      </c>
      <c r="AC22" s="5">
        <v>0</v>
      </c>
      <c r="AD22" s="5">
        <v>64</v>
      </c>
      <c r="AE22" s="5">
        <v>18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47</v>
      </c>
      <c r="AX22" s="5">
        <v>68</v>
      </c>
      <c r="AY22" s="5">
        <v>0</v>
      </c>
      <c r="AZ22" s="5">
        <v>0</v>
      </c>
      <c r="BA22" s="5">
        <v>52</v>
      </c>
      <c r="BB22" s="5">
        <v>0</v>
      </c>
      <c r="BC22" s="5">
        <v>25</v>
      </c>
      <c r="BD22" s="5">
        <v>84</v>
      </c>
      <c r="BE22" s="5">
        <v>36</v>
      </c>
      <c r="BF22" s="5">
        <v>0</v>
      </c>
      <c r="BG22" s="5">
        <v>0</v>
      </c>
      <c r="BH22" s="5">
        <v>0</v>
      </c>
      <c r="BI22" s="5">
        <v>60</v>
      </c>
      <c r="BJ22" s="5">
        <v>0</v>
      </c>
      <c r="BK22" s="5">
        <v>0</v>
      </c>
      <c r="BL22" s="5">
        <v>0</v>
      </c>
      <c r="BM22" s="5">
        <v>0</v>
      </c>
      <c r="BN22" s="5">
        <v>31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30</v>
      </c>
      <c r="CD22" s="5">
        <v>81</v>
      </c>
      <c r="CE22" s="5">
        <v>0</v>
      </c>
      <c r="CF22" s="5">
        <v>6</v>
      </c>
      <c r="CG22" s="5">
        <v>0</v>
      </c>
      <c r="CH22" s="5">
        <v>59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53</v>
      </c>
      <c r="CO22" s="5">
        <v>0</v>
      </c>
      <c r="CP22" s="5">
        <v>0</v>
      </c>
      <c r="CQ22" s="5">
        <v>0</v>
      </c>
      <c r="CR22" s="5">
        <v>30</v>
      </c>
      <c r="CS22" s="5">
        <v>0</v>
      </c>
      <c r="CT22" s="5">
        <v>22</v>
      </c>
      <c r="CU22" s="5">
        <v>0</v>
      </c>
      <c r="CV22" s="5">
        <v>16</v>
      </c>
      <c r="CW22" s="5">
        <v>0</v>
      </c>
      <c r="CX22" s="5">
        <v>0</v>
      </c>
      <c r="CY22" s="5">
        <v>31</v>
      </c>
      <c r="CZ22" s="5">
        <v>47</v>
      </c>
      <c r="DA22" s="5">
        <v>33</v>
      </c>
      <c r="DB22" s="5">
        <v>0</v>
      </c>
      <c r="DC22" s="5">
        <v>0</v>
      </c>
      <c r="DD22" s="5">
        <v>35</v>
      </c>
      <c r="DE22" s="5">
        <v>13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91</v>
      </c>
      <c r="DO22" s="5">
        <v>24</v>
      </c>
      <c r="DP22" s="5">
        <v>31</v>
      </c>
      <c r="DQ22" s="5">
        <v>0</v>
      </c>
      <c r="DR22" s="5">
        <v>0</v>
      </c>
      <c r="DS22" s="5">
        <v>37</v>
      </c>
      <c r="DT22" s="5">
        <v>0</v>
      </c>
      <c r="DU22" s="5">
        <v>13</v>
      </c>
      <c r="DV22" s="5">
        <v>0</v>
      </c>
      <c r="DW22" s="5">
        <v>0</v>
      </c>
      <c r="DX22" s="5">
        <v>56</v>
      </c>
      <c r="DY22" s="5">
        <v>49</v>
      </c>
      <c r="DZ22" s="5">
        <v>0</v>
      </c>
      <c r="EA22" s="5">
        <v>0</v>
      </c>
      <c r="EB22" s="5">
        <v>40</v>
      </c>
      <c r="EC22" s="5">
        <v>0</v>
      </c>
      <c r="ED22" s="5">
        <v>0</v>
      </c>
      <c r="EE22" s="5">
        <v>0</v>
      </c>
      <c r="EF22" s="5">
        <v>0</v>
      </c>
      <c r="EG22" s="5">
        <v>0</v>
      </c>
      <c r="EH22" s="5">
        <v>13</v>
      </c>
      <c r="EI22" s="5">
        <v>0</v>
      </c>
      <c r="EJ22" s="5">
        <v>44</v>
      </c>
      <c r="EK22" s="5">
        <v>42</v>
      </c>
      <c r="EL22" s="5">
        <v>0</v>
      </c>
      <c r="EM22" s="5">
        <v>0</v>
      </c>
      <c r="EN22" s="5">
        <v>0</v>
      </c>
      <c r="EO22" s="5">
        <v>54</v>
      </c>
      <c r="EP22" s="5">
        <v>0</v>
      </c>
      <c r="EQ22" s="5">
        <v>0</v>
      </c>
      <c r="ER22" s="5">
        <v>15</v>
      </c>
      <c r="ES22" s="5">
        <v>0</v>
      </c>
      <c r="ET22" s="5">
        <v>0</v>
      </c>
      <c r="EU22" s="5">
        <v>51</v>
      </c>
      <c r="EV22" s="5">
        <v>95</v>
      </c>
      <c r="EW22" s="5">
        <v>18</v>
      </c>
      <c r="EX22" s="5">
        <v>37</v>
      </c>
      <c r="EY22" s="5">
        <v>34</v>
      </c>
      <c r="EZ22" s="5">
        <v>33</v>
      </c>
      <c r="FA22" s="5">
        <v>0</v>
      </c>
      <c r="FB22" s="5">
        <v>28</v>
      </c>
      <c r="FC22" s="5">
        <v>0</v>
      </c>
      <c r="FD22" s="5">
        <v>0</v>
      </c>
      <c r="FE22" s="5">
        <v>0</v>
      </c>
      <c r="FF22" s="5">
        <v>12</v>
      </c>
      <c r="FG22" s="5">
        <v>0</v>
      </c>
      <c r="FH22" s="5">
        <v>143</v>
      </c>
      <c r="FI22" s="5">
        <v>0</v>
      </c>
      <c r="FJ22" s="5">
        <v>0</v>
      </c>
      <c r="FK22" s="5">
        <v>0</v>
      </c>
      <c r="FL22" s="5">
        <v>0</v>
      </c>
      <c r="FM22" s="5">
        <v>0</v>
      </c>
      <c r="FN22" s="5">
        <v>0</v>
      </c>
      <c r="FO22" s="5">
        <v>60</v>
      </c>
      <c r="FP22" s="5">
        <v>0</v>
      </c>
      <c r="FQ22" s="5">
        <v>82</v>
      </c>
      <c r="FR22" s="5">
        <v>0</v>
      </c>
      <c r="FS22" s="5">
        <v>76</v>
      </c>
      <c r="FT22" s="5">
        <v>57</v>
      </c>
      <c r="FU22" s="5">
        <v>0</v>
      </c>
      <c r="FV22" s="5">
        <v>0</v>
      </c>
      <c r="FW22" s="5">
        <v>0</v>
      </c>
      <c r="FX22" s="5">
        <v>0</v>
      </c>
      <c r="FY22" s="5">
        <v>32</v>
      </c>
      <c r="FZ22" s="5">
        <v>56</v>
      </c>
      <c r="GA22" s="5">
        <v>0</v>
      </c>
      <c r="GB22" s="5">
        <v>0</v>
      </c>
      <c r="GC22" s="5">
        <v>0</v>
      </c>
      <c r="GD22" s="5">
        <v>0</v>
      </c>
      <c r="GE22" s="5">
        <v>20</v>
      </c>
      <c r="GF22" s="5">
        <v>47</v>
      </c>
      <c r="GG22" s="5">
        <v>0</v>
      </c>
      <c r="GH22" s="5">
        <v>0</v>
      </c>
      <c r="GI22" s="5">
        <v>0</v>
      </c>
      <c r="GJ22" s="5">
        <v>0</v>
      </c>
      <c r="GK22" s="5">
        <v>60</v>
      </c>
      <c r="GL22" s="5">
        <v>10</v>
      </c>
      <c r="GM22" s="5">
        <v>0</v>
      </c>
      <c r="GN22" s="5">
        <v>0</v>
      </c>
      <c r="GO22" s="5">
        <v>55</v>
      </c>
      <c r="GP22" s="5">
        <v>0</v>
      </c>
      <c r="GQ22" s="5">
        <v>0</v>
      </c>
      <c r="GR22" s="5">
        <v>0</v>
      </c>
      <c r="GS22" s="5"/>
      <c r="GT22" s="5"/>
      <c r="GU22" s="5"/>
      <c r="GV22" s="5"/>
    </row>
    <row r="23" spans="1:204" ht="15.6">
      <c r="A23" s="26">
        <f t="shared" si="2"/>
        <v>46043</v>
      </c>
      <c r="B23" s="27" t="str">
        <f t="shared" si="0"/>
        <v>Wed</v>
      </c>
      <c r="C23" s="28">
        <f t="shared" si="1"/>
        <v>2154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52</v>
      </c>
      <c r="O23" s="5">
        <v>0</v>
      </c>
      <c r="P23" s="5">
        <v>0</v>
      </c>
      <c r="Q23" s="5">
        <v>0</v>
      </c>
      <c r="R23" s="5">
        <v>0</v>
      </c>
      <c r="S23" s="5">
        <v>44</v>
      </c>
      <c r="T23" s="5">
        <v>160</v>
      </c>
      <c r="U23" s="5">
        <v>29</v>
      </c>
      <c r="V23" s="5">
        <v>0</v>
      </c>
      <c r="W23" s="5">
        <v>0</v>
      </c>
      <c r="X23" s="5">
        <v>0</v>
      </c>
      <c r="Y23" s="5">
        <v>0</v>
      </c>
      <c r="Z23" s="5">
        <v>47</v>
      </c>
      <c r="AA23" s="5">
        <v>0</v>
      </c>
      <c r="AB23" s="5">
        <v>0</v>
      </c>
      <c r="AC23" s="5">
        <v>0</v>
      </c>
      <c r="AD23" s="5">
        <v>31</v>
      </c>
      <c r="AE23" s="5">
        <v>4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46</v>
      </c>
      <c r="AX23" s="5">
        <v>28</v>
      </c>
      <c r="AY23" s="5">
        <v>0</v>
      </c>
      <c r="AZ23" s="5">
        <v>0</v>
      </c>
      <c r="BA23" s="5">
        <v>61</v>
      </c>
      <c r="BB23" s="5">
        <v>0</v>
      </c>
      <c r="BC23" s="5">
        <v>15</v>
      </c>
      <c r="BD23" s="5">
        <v>69</v>
      </c>
      <c r="BE23" s="5">
        <v>17</v>
      </c>
      <c r="BF23" s="5">
        <v>0</v>
      </c>
      <c r="BG23" s="5">
        <v>0</v>
      </c>
      <c r="BH23" s="5">
        <v>0</v>
      </c>
      <c r="BI23" s="5">
        <v>25</v>
      </c>
      <c r="BJ23" s="5">
        <v>0</v>
      </c>
      <c r="BK23" s="5">
        <v>0</v>
      </c>
      <c r="BL23" s="5">
        <v>0</v>
      </c>
      <c r="BM23" s="5">
        <v>0</v>
      </c>
      <c r="BN23" s="5">
        <v>39</v>
      </c>
      <c r="BO23" s="5">
        <v>0</v>
      </c>
      <c r="BP23" s="5">
        <v>0</v>
      </c>
      <c r="BQ23" s="5">
        <v>0</v>
      </c>
      <c r="BR23" s="5">
        <v>0</v>
      </c>
      <c r="BS23" s="5">
        <v>22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40</v>
      </c>
      <c r="CD23" s="5">
        <v>77</v>
      </c>
      <c r="CE23" s="5">
        <v>0</v>
      </c>
      <c r="CF23" s="5">
        <v>7</v>
      </c>
      <c r="CG23" s="5">
        <v>0</v>
      </c>
      <c r="CH23" s="5">
        <v>82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20</v>
      </c>
      <c r="CO23" s="5">
        <v>0</v>
      </c>
      <c r="CP23" s="5">
        <v>0</v>
      </c>
      <c r="CQ23" s="5">
        <v>0</v>
      </c>
      <c r="CR23" s="5">
        <v>34</v>
      </c>
      <c r="CS23" s="5">
        <v>0</v>
      </c>
      <c r="CT23" s="5">
        <v>34</v>
      </c>
      <c r="CU23" s="5">
        <v>0</v>
      </c>
      <c r="CV23" s="5">
        <v>24</v>
      </c>
      <c r="CW23" s="5">
        <v>0</v>
      </c>
      <c r="CX23" s="5">
        <v>0</v>
      </c>
      <c r="CY23" s="5">
        <v>0</v>
      </c>
      <c r="CZ23" s="5">
        <v>31</v>
      </c>
      <c r="DA23" s="5">
        <v>29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50</v>
      </c>
      <c r="DO23" s="5">
        <v>0</v>
      </c>
      <c r="DP23" s="5">
        <v>4</v>
      </c>
      <c r="DQ23" s="5">
        <v>0</v>
      </c>
      <c r="DR23" s="5">
        <v>0</v>
      </c>
      <c r="DS23" s="5">
        <v>35</v>
      </c>
      <c r="DT23" s="5">
        <v>0</v>
      </c>
      <c r="DU23" s="5">
        <v>0</v>
      </c>
      <c r="DV23" s="5">
        <v>0</v>
      </c>
      <c r="DW23" s="5">
        <v>0</v>
      </c>
      <c r="DX23" s="5">
        <v>19</v>
      </c>
      <c r="DY23" s="5">
        <v>0</v>
      </c>
      <c r="DZ23" s="5">
        <v>0</v>
      </c>
      <c r="EA23" s="5">
        <v>0</v>
      </c>
      <c r="EB23" s="5">
        <v>46</v>
      </c>
      <c r="EC23" s="5">
        <v>0</v>
      </c>
      <c r="ED23" s="5">
        <v>0</v>
      </c>
      <c r="EE23" s="5">
        <v>0</v>
      </c>
      <c r="EF23" s="5">
        <v>0</v>
      </c>
      <c r="EG23" s="5">
        <v>0</v>
      </c>
      <c r="EH23" s="5">
        <v>20</v>
      </c>
      <c r="EI23" s="5">
        <v>0</v>
      </c>
      <c r="EJ23" s="5">
        <v>18</v>
      </c>
      <c r="EK23" s="5">
        <v>37</v>
      </c>
      <c r="EL23" s="5">
        <v>0</v>
      </c>
      <c r="EM23" s="5">
        <v>0</v>
      </c>
      <c r="EN23" s="5">
        <v>0</v>
      </c>
      <c r="EO23" s="5">
        <v>18</v>
      </c>
      <c r="EP23" s="5">
        <v>0</v>
      </c>
      <c r="EQ23" s="5">
        <v>0</v>
      </c>
      <c r="ER23" s="5">
        <v>33</v>
      </c>
      <c r="ES23" s="5">
        <v>0</v>
      </c>
      <c r="ET23" s="5">
        <v>0</v>
      </c>
      <c r="EU23" s="5">
        <v>41</v>
      </c>
      <c r="EV23" s="5">
        <v>45</v>
      </c>
      <c r="EW23" s="5">
        <v>3</v>
      </c>
      <c r="EX23" s="5">
        <v>26</v>
      </c>
      <c r="EY23" s="5">
        <v>25</v>
      </c>
      <c r="EZ23" s="5">
        <v>12</v>
      </c>
      <c r="FA23" s="5">
        <v>0</v>
      </c>
      <c r="FB23" s="5">
        <v>30</v>
      </c>
      <c r="FC23" s="5">
        <v>0</v>
      </c>
      <c r="FD23" s="5">
        <v>0</v>
      </c>
      <c r="FE23" s="5">
        <v>0</v>
      </c>
      <c r="FF23" s="5">
        <v>22</v>
      </c>
      <c r="FG23" s="5">
        <v>0</v>
      </c>
      <c r="FH23" s="5">
        <v>182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31</v>
      </c>
      <c r="FP23" s="5">
        <v>0</v>
      </c>
      <c r="FQ23" s="5">
        <v>70</v>
      </c>
      <c r="FR23" s="5">
        <v>0</v>
      </c>
      <c r="FS23" s="5">
        <v>61</v>
      </c>
      <c r="FT23" s="5">
        <v>18</v>
      </c>
      <c r="FU23" s="5">
        <v>0</v>
      </c>
      <c r="FV23" s="5">
        <v>0</v>
      </c>
      <c r="FW23" s="5">
        <v>0</v>
      </c>
      <c r="FX23" s="5">
        <v>0</v>
      </c>
      <c r="FY23" s="5">
        <v>31</v>
      </c>
      <c r="FZ23" s="5">
        <v>31</v>
      </c>
      <c r="GA23" s="5">
        <v>10</v>
      </c>
      <c r="GB23" s="5">
        <v>0</v>
      </c>
      <c r="GC23" s="5">
        <v>0</v>
      </c>
      <c r="GD23" s="5">
        <v>0</v>
      </c>
      <c r="GE23" s="5">
        <v>66</v>
      </c>
      <c r="GF23" s="5">
        <v>25</v>
      </c>
      <c r="GG23" s="5">
        <v>0</v>
      </c>
      <c r="GH23" s="5">
        <v>0</v>
      </c>
      <c r="GI23" s="5">
        <v>0</v>
      </c>
      <c r="GJ23" s="5">
        <v>0</v>
      </c>
      <c r="GK23" s="5">
        <v>30</v>
      </c>
      <c r="GL23" s="5">
        <v>25</v>
      </c>
      <c r="GM23" s="5">
        <v>0</v>
      </c>
      <c r="GN23" s="5">
        <v>0</v>
      </c>
      <c r="GO23" s="5">
        <v>23</v>
      </c>
      <c r="GP23" s="5">
        <v>0</v>
      </c>
      <c r="GQ23" s="5">
        <v>0</v>
      </c>
      <c r="GR23" s="5">
        <v>0</v>
      </c>
      <c r="GS23" s="5"/>
      <c r="GT23" s="5"/>
      <c r="GU23" s="5"/>
      <c r="GV23" s="5"/>
    </row>
    <row r="24" spans="1:204" ht="15.6">
      <c r="A24" s="26">
        <f t="shared" si="2"/>
        <v>46044</v>
      </c>
      <c r="B24" s="27" t="str">
        <f t="shared" si="0"/>
        <v>Thu</v>
      </c>
      <c r="C24" s="28">
        <f t="shared" si="1"/>
        <v>1873</v>
      </c>
      <c r="D24" s="5">
        <v>0</v>
      </c>
      <c r="E24" s="5">
        <v>60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26</v>
      </c>
      <c r="O24" s="5">
        <v>0</v>
      </c>
      <c r="P24" s="5">
        <v>0</v>
      </c>
      <c r="Q24" s="5">
        <v>0</v>
      </c>
      <c r="R24" s="5">
        <v>0</v>
      </c>
      <c r="S24" s="5">
        <v>25</v>
      </c>
      <c r="T24" s="5">
        <v>137</v>
      </c>
      <c r="U24" s="5">
        <v>22</v>
      </c>
      <c r="V24" s="5">
        <v>0</v>
      </c>
      <c r="W24" s="5">
        <v>0</v>
      </c>
      <c r="X24" s="5">
        <v>0</v>
      </c>
      <c r="Y24" s="5">
        <v>0</v>
      </c>
      <c r="Z24" s="5">
        <v>15</v>
      </c>
      <c r="AA24" s="5">
        <v>0</v>
      </c>
      <c r="AB24" s="5">
        <v>0</v>
      </c>
      <c r="AC24" s="5">
        <v>0</v>
      </c>
      <c r="AD24" s="5">
        <v>62</v>
      </c>
      <c r="AE24" s="5">
        <v>9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19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18</v>
      </c>
      <c r="AX24" s="5">
        <v>0</v>
      </c>
      <c r="AY24" s="5">
        <v>0</v>
      </c>
      <c r="AZ24" s="5">
        <v>0</v>
      </c>
      <c r="BA24" s="5">
        <v>51</v>
      </c>
      <c r="BB24" s="5">
        <v>0</v>
      </c>
      <c r="BC24" s="5">
        <v>26</v>
      </c>
      <c r="BD24" s="5">
        <v>40</v>
      </c>
      <c r="BE24" s="5">
        <v>15</v>
      </c>
      <c r="BF24" s="5">
        <v>0</v>
      </c>
      <c r="BG24" s="5">
        <v>0</v>
      </c>
      <c r="BH24" s="5">
        <v>0</v>
      </c>
      <c r="BI24" s="5">
        <v>36</v>
      </c>
      <c r="BJ24" s="5">
        <v>0</v>
      </c>
      <c r="BK24" s="5">
        <v>0</v>
      </c>
      <c r="BL24" s="5">
        <v>0</v>
      </c>
      <c r="BM24" s="5">
        <v>0</v>
      </c>
      <c r="BN24" s="5">
        <v>21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21</v>
      </c>
      <c r="CD24" s="5">
        <v>63</v>
      </c>
      <c r="CE24" s="5">
        <v>0</v>
      </c>
      <c r="CF24" s="5">
        <v>7</v>
      </c>
      <c r="CG24" s="5">
        <v>0</v>
      </c>
      <c r="CH24" s="5">
        <v>35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15</v>
      </c>
      <c r="CO24" s="5">
        <v>0</v>
      </c>
      <c r="CP24" s="5">
        <v>0</v>
      </c>
      <c r="CQ24" s="5">
        <v>0</v>
      </c>
      <c r="CR24" s="5">
        <v>36</v>
      </c>
      <c r="CS24" s="5">
        <v>0</v>
      </c>
      <c r="CT24" s="5">
        <v>12</v>
      </c>
      <c r="CU24" s="5">
        <v>0</v>
      </c>
      <c r="CV24" s="5">
        <v>43</v>
      </c>
      <c r="CW24" s="5">
        <v>0</v>
      </c>
      <c r="CX24" s="5">
        <v>0</v>
      </c>
      <c r="CY24" s="5">
        <v>0</v>
      </c>
      <c r="CZ24" s="5">
        <v>36</v>
      </c>
      <c r="DA24" s="5">
        <v>13</v>
      </c>
      <c r="DB24" s="5">
        <v>0</v>
      </c>
      <c r="DC24" s="5">
        <v>0</v>
      </c>
      <c r="DD24" s="5">
        <v>4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66</v>
      </c>
      <c r="DO24" s="5">
        <v>3</v>
      </c>
      <c r="DP24" s="5">
        <v>0</v>
      </c>
      <c r="DQ24" s="5">
        <v>0</v>
      </c>
      <c r="DR24" s="5">
        <v>0</v>
      </c>
      <c r="DS24" s="5">
        <v>13</v>
      </c>
      <c r="DT24" s="5">
        <v>0</v>
      </c>
      <c r="DU24" s="5">
        <v>22</v>
      </c>
      <c r="DV24" s="5">
        <v>0</v>
      </c>
      <c r="DW24" s="5">
        <v>0</v>
      </c>
      <c r="DX24" s="5">
        <v>47</v>
      </c>
      <c r="DY24" s="5">
        <v>28</v>
      </c>
      <c r="DZ24" s="5">
        <v>0</v>
      </c>
      <c r="EA24" s="5">
        <v>0</v>
      </c>
      <c r="EB24" s="5">
        <v>27</v>
      </c>
      <c r="EC24" s="5">
        <v>0</v>
      </c>
      <c r="ED24" s="5">
        <v>0</v>
      </c>
      <c r="EE24" s="5">
        <v>0</v>
      </c>
      <c r="EF24" s="5">
        <v>0</v>
      </c>
      <c r="EG24" s="5">
        <v>0</v>
      </c>
      <c r="EH24" s="5">
        <v>3</v>
      </c>
      <c r="EI24" s="5">
        <v>0</v>
      </c>
      <c r="EJ24" s="5">
        <v>17</v>
      </c>
      <c r="EK24" s="5">
        <v>63</v>
      </c>
      <c r="EL24" s="5">
        <v>0</v>
      </c>
      <c r="EM24" s="5">
        <v>0</v>
      </c>
      <c r="EN24" s="5">
        <v>0</v>
      </c>
      <c r="EO24" s="5">
        <v>24</v>
      </c>
      <c r="EP24" s="5">
        <v>0</v>
      </c>
      <c r="EQ24" s="5">
        <v>0</v>
      </c>
      <c r="ER24" s="5">
        <v>0</v>
      </c>
      <c r="ES24" s="5">
        <v>0</v>
      </c>
      <c r="ET24" s="5">
        <v>0</v>
      </c>
      <c r="EU24" s="5">
        <v>44</v>
      </c>
      <c r="EV24" s="5">
        <v>48</v>
      </c>
      <c r="EW24" s="5">
        <v>0</v>
      </c>
      <c r="EX24" s="5">
        <v>17</v>
      </c>
      <c r="EY24" s="5">
        <v>6</v>
      </c>
      <c r="EZ24" s="5">
        <v>12</v>
      </c>
      <c r="FA24" s="5">
        <v>0</v>
      </c>
      <c r="FB24" s="5">
        <v>18</v>
      </c>
      <c r="FC24" s="5">
        <v>0</v>
      </c>
      <c r="FD24" s="5">
        <v>0</v>
      </c>
      <c r="FE24" s="5">
        <v>0</v>
      </c>
      <c r="FF24" s="5">
        <v>13</v>
      </c>
      <c r="FG24" s="5">
        <v>0</v>
      </c>
      <c r="FH24" s="5">
        <v>207</v>
      </c>
      <c r="FI24" s="5">
        <v>0</v>
      </c>
      <c r="FJ24" s="5">
        <v>0</v>
      </c>
      <c r="FK24" s="5">
        <v>0</v>
      </c>
      <c r="FL24" s="5">
        <v>0</v>
      </c>
      <c r="FM24" s="5">
        <v>0</v>
      </c>
      <c r="FN24" s="5">
        <v>0</v>
      </c>
      <c r="FO24" s="5">
        <v>23</v>
      </c>
      <c r="FP24" s="5">
        <v>0</v>
      </c>
      <c r="FQ24" s="5">
        <v>90</v>
      </c>
      <c r="FR24" s="5">
        <v>0</v>
      </c>
      <c r="FS24" s="5">
        <v>57</v>
      </c>
      <c r="FT24" s="5">
        <v>19</v>
      </c>
      <c r="FU24" s="5">
        <v>0</v>
      </c>
      <c r="FV24" s="5">
        <v>0</v>
      </c>
      <c r="FW24" s="5">
        <v>0</v>
      </c>
      <c r="FX24" s="5">
        <v>0</v>
      </c>
      <c r="FY24" s="5">
        <v>24</v>
      </c>
      <c r="FZ24" s="5">
        <v>5</v>
      </c>
      <c r="GA24" s="5">
        <v>0</v>
      </c>
      <c r="GB24" s="5">
        <v>0</v>
      </c>
      <c r="GC24" s="5">
        <v>0</v>
      </c>
      <c r="GD24" s="5">
        <v>0</v>
      </c>
      <c r="GE24" s="5">
        <v>53</v>
      </c>
      <c r="GF24" s="5">
        <v>16</v>
      </c>
      <c r="GG24" s="5">
        <v>0</v>
      </c>
      <c r="GH24" s="5">
        <v>0</v>
      </c>
      <c r="GI24" s="5">
        <v>0</v>
      </c>
      <c r="GJ24" s="5">
        <v>0</v>
      </c>
      <c r="GK24" s="5">
        <v>5</v>
      </c>
      <c r="GL24" s="5">
        <v>20</v>
      </c>
      <c r="GM24" s="5">
        <v>0</v>
      </c>
      <c r="GN24" s="5">
        <v>0</v>
      </c>
      <c r="GO24" s="5">
        <v>16</v>
      </c>
      <c r="GP24" s="5">
        <v>0</v>
      </c>
      <c r="GQ24" s="5">
        <v>0</v>
      </c>
      <c r="GR24" s="5">
        <v>0</v>
      </c>
      <c r="GS24" s="5"/>
      <c r="GT24" s="5"/>
      <c r="GU24" s="5"/>
      <c r="GV24" s="5"/>
    </row>
    <row r="25" spans="1:204" ht="15.6">
      <c r="A25" s="26">
        <f t="shared" si="2"/>
        <v>46045</v>
      </c>
      <c r="B25" s="27" t="str">
        <f t="shared" si="0"/>
        <v>Fri</v>
      </c>
      <c r="C25" s="28">
        <f t="shared" si="1"/>
        <v>2271</v>
      </c>
      <c r="D25" s="5">
        <v>0</v>
      </c>
      <c r="E25" s="5">
        <v>29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28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153</v>
      </c>
      <c r="U25" s="5">
        <v>13</v>
      </c>
      <c r="V25" s="5">
        <v>0</v>
      </c>
      <c r="W25" s="5">
        <v>0</v>
      </c>
      <c r="X25" s="5">
        <v>0</v>
      </c>
      <c r="Y25" s="5">
        <v>0</v>
      </c>
      <c r="Z25" s="5">
        <v>75</v>
      </c>
      <c r="AA25" s="5">
        <v>0</v>
      </c>
      <c r="AB25" s="5">
        <v>0</v>
      </c>
      <c r="AC25" s="5">
        <v>0</v>
      </c>
      <c r="AD25" s="5">
        <v>31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40</v>
      </c>
      <c r="AX25" s="5">
        <v>30</v>
      </c>
      <c r="AY25" s="5">
        <v>0</v>
      </c>
      <c r="AZ25" s="5">
        <v>0</v>
      </c>
      <c r="BA25" s="5">
        <v>99</v>
      </c>
      <c r="BB25" s="5">
        <v>0</v>
      </c>
      <c r="BC25" s="5">
        <v>0</v>
      </c>
      <c r="BD25" s="5">
        <v>41</v>
      </c>
      <c r="BE25" s="5">
        <v>22</v>
      </c>
      <c r="BF25" s="5">
        <v>0</v>
      </c>
      <c r="BG25" s="5">
        <v>0</v>
      </c>
      <c r="BH25" s="5">
        <v>0</v>
      </c>
      <c r="BI25" s="5">
        <v>20</v>
      </c>
      <c r="BJ25" s="5">
        <v>0</v>
      </c>
      <c r="BK25" s="5">
        <v>0</v>
      </c>
      <c r="BL25" s="5">
        <v>0</v>
      </c>
      <c r="BM25" s="5">
        <v>0</v>
      </c>
      <c r="BN25" s="5">
        <v>48</v>
      </c>
      <c r="BO25" s="5">
        <v>0</v>
      </c>
      <c r="BP25" s="5">
        <v>0</v>
      </c>
      <c r="BQ25" s="5">
        <v>0</v>
      </c>
      <c r="BR25" s="5">
        <v>0</v>
      </c>
      <c r="BS25" s="5">
        <v>5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10</v>
      </c>
      <c r="CD25" s="5">
        <v>75</v>
      </c>
      <c r="CE25" s="5">
        <v>0</v>
      </c>
      <c r="CF25" s="5">
        <v>5</v>
      </c>
      <c r="CG25" s="5">
        <v>0</v>
      </c>
      <c r="CH25" s="5">
        <v>48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27</v>
      </c>
      <c r="CO25" s="5">
        <v>0</v>
      </c>
      <c r="CP25" s="5">
        <v>0</v>
      </c>
      <c r="CQ25" s="5">
        <v>0</v>
      </c>
      <c r="CR25" s="5">
        <v>28</v>
      </c>
      <c r="CS25" s="5">
        <v>10</v>
      </c>
      <c r="CT25" s="5">
        <v>40</v>
      </c>
      <c r="CU25" s="5">
        <v>0</v>
      </c>
      <c r="CV25" s="5">
        <v>10</v>
      </c>
      <c r="CW25" s="5">
        <v>0</v>
      </c>
      <c r="CX25" s="5">
        <v>0</v>
      </c>
      <c r="CY25" s="5">
        <v>0</v>
      </c>
      <c r="CZ25" s="5">
        <v>51</v>
      </c>
      <c r="DA25" s="5">
        <v>39</v>
      </c>
      <c r="DB25" s="5">
        <v>0</v>
      </c>
      <c r="DC25" s="5">
        <v>0</v>
      </c>
      <c r="DD25" s="5">
        <v>15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15</v>
      </c>
      <c r="DM25" s="5">
        <v>0</v>
      </c>
      <c r="DN25" s="5">
        <v>15</v>
      </c>
      <c r="DO25" s="5">
        <v>0</v>
      </c>
      <c r="DP25" s="5">
        <v>23</v>
      </c>
      <c r="DQ25" s="5">
        <v>0</v>
      </c>
      <c r="DR25" s="5">
        <v>0</v>
      </c>
      <c r="DS25" s="5">
        <v>28</v>
      </c>
      <c r="DT25" s="5">
        <v>0</v>
      </c>
      <c r="DU25" s="5">
        <v>24</v>
      </c>
      <c r="DV25" s="5">
        <v>0</v>
      </c>
      <c r="DW25" s="5">
        <v>0</v>
      </c>
      <c r="DX25" s="5">
        <v>43</v>
      </c>
      <c r="DY25" s="5">
        <v>0</v>
      </c>
      <c r="DZ25" s="5">
        <v>0</v>
      </c>
      <c r="EA25" s="5">
        <v>0</v>
      </c>
      <c r="EB25" s="5">
        <v>59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14</v>
      </c>
      <c r="EI25" s="5">
        <v>0</v>
      </c>
      <c r="EJ25" s="5">
        <v>27</v>
      </c>
      <c r="EK25" s="5">
        <v>26</v>
      </c>
      <c r="EL25" s="5">
        <v>0</v>
      </c>
      <c r="EM25" s="5">
        <v>0</v>
      </c>
      <c r="EN25" s="5">
        <v>0</v>
      </c>
      <c r="EO25" s="5">
        <v>25</v>
      </c>
      <c r="EP25" s="5">
        <v>0</v>
      </c>
      <c r="EQ25" s="5">
        <v>0</v>
      </c>
      <c r="ER25" s="5">
        <v>17</v>
      </c>
      <c r="ES25" s="5">
        <v>0</v>
      </c>
      <c r="ET25" s="5">
        <v>0</v>
      </c>
      <c r="EU25" s="5">
        <v>89</v>
      </c>
      <c r="EV25" s="5">
        <v>36</v>
      </c>
      <c r="EW25" s="5">
        <v>0</v>
      </c>
      <c r="EX25" s="5">
        <v>28</v>
      </c>
      <c r="EY25" s="5">
        <v>26</v>
      </c>
      <c r="EZ25" s="5">
        <v>18</v>
      </c>
      <c r="FA25" s="5">
        <v>0</v>
      </c>
      <c r="FB25" s="5">
        <v>9</v>
      </c>
      <c r="FC25" s="5">
        <v>0</v>
      </c>
      <c r="FD25" s="5">
        <v>0</v>
      </c>
      <c r="FE25" s="5">
        <v>0</v>
      </c>
      <c r="FF25" s="5">
        <v>37</v>
      </c>
      <c r="FG25" s="5">
        <v>0</v>
      </c>
      <c r="FH25" s="5">
        <v>259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40</v>
      </c>
      <c r="FP25" s="5">
        <v>0</v>
      </c>
      <c r="FQ25" s="5">
        <v>72</v>
      </c>
      <c r="FR25" s="5">
        <v>0</v>
      </c>
      <c r="FS25" s="5">
        <v>46</v>
      </c>
      <c r="FT25" s="5">
        <v>28</v>
      </c>
      <c r="FU25" s="5">
        <v>0</v>
      </c>
      <c r="FV25" s="5">
        <v>0</v>
      </c>
      <c r="FW25" s="5">
        <v>0</v>
      </c>
      <c r="FX25" s="5">
        <v>0</v>
      </c>
      <c r="FY25" s="5">
        <v>31</v>
      </c>
      <c r="FZ25" s="5">
        <v>58</v>
      </c>
      <c r="GA25" s="5">
        <v>0</v>
      </c>
      <c r="GB25" s="5">
        <v>0</v>
      </c>
      <c r="GC25" s="5">
        <v>0</v>
      </c>
      <c r="GD25" s="5">
        <v>0</v>
      </c>
      <c r="GE25" s="5">
        <v>46</v>
      </c>
      <c r="GF25" s="5">
        <v>46</v>
      </c>
      <c r="GG25" s="5">
        <v>0</v>
      </c>
      <c r="GH25" s="5">
        <v>0</v>
      </c>
      <c r="GI25" s="5">
        <v>22</v>
      </c>
      <c r="GJ25" s="5">
        <v>0</v>
      </c>
      <c r="GK25" s="5">
        <v>31</v>
      </c>
      <c r="GL25" s="5">
        <v>13</v>
      </c>
      <c r="GM25" s="5">
        <v>0</v>
      </c>
      <c r="GN25" s="5">
        <v>0</v>
      </c>
      <c r="GO25" s="5">
        <v>28</v>
      </c>
      <c r="GP25" s="5">
        <v>0</v>
      </c>
      <c r="GQ25" s="5">
        <v>0</v>
      </c>
      <c r="GR25" s="5">
        <v>0</v>
      </c>
      <c r="GS25" s="5"/>
      <c r="GT25" s="5"/>
      <c r="GU25" s="5"/>
      <c r="GV25" s="5"/>
    </row>
    <row r="26" spans="1:204" ht="15.6">
      <c r="A26" s="26">
        <f t="shared" si="2"/>
        <v>46046</v>
      </c>
      <c r="B26" s="27" t="str">
        <f t="shared" si="0"/>
        <v>Sat</v>
      </c>
      <c r="C26" s="28">
        <f t="shared" si="1"/>
        <v>111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47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21</v>
      </c>
      <c r="CS26" s="5">
        <v>0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0</v>
      </c>
      <c r="EM26" s="5">
        <v>0</v>
      </c>
      <c r="EN26" s="5">
        <v>0</v>
      </c>
      <c r="EO26" s="5">
        <v>0</v>
      </c>
      <c r="EP26" s="5">
        <v>0</v>
      </c>
      <c r="EQ26" s="5">
        <v>0</v>
      </c>
      <c r="ER26" s="5">
        <v>0</v>
      </c>
      <c r="ES26" s="5">
        <v>0</v>
      </c>
      <c r="ET26" s="5">
        <v>0</v>
      </c>
      <c r="EU26" s="5">
        <v>0</v>
      </c>
      <c r="EV26" s="5">
        <v>0</v>
      </c>
      <c r="EW26" s="5">
        <v>0</v>
      </c>
      <c r="EX26" s="5">
        <v>0</v>
      </c>
      <c r="EY26" s="5">
        <v>0</v>
      </c>
      <c r="EZ26" s="5">
        <v>0</v>
      </c>
      <c r="FA26" s="5">
        <v>0</v>
      </c>
      <c r="FB26" s="5">
        <v>0</v>
      </c>
      <c r="FC26" s="5">
        <v>0</v>
      </c>
      <c r="FD26" s="5">
        <v>0</v>
      </c>
      <c r="FE26" s="5">
        <v>0</v>
      </c>
      <c r="FF26" s="5">
        <v>0</v>
      </c>
      <c r="FG26" s="5">
        <v>0</v>
      </c>
      <c r="FH26" s="5">
        <v>0</v>
      </c>
      <c r="FI26" s="5">
        <v>0</v>
      </c>
      <c r="FJ26" s="5">
        <v>0</v>
      </c>
      <c r="FK26" s="5">
        <v>0</v>
      </c>
      <c r="FL26" s="5">
        <v>0</v>
      </c>
      <c r="FM26" s="5">
        <v>0</v>
      </c>
      <c r="FN26" s="5">
        <v>0</v>
      </c>
      <c r="FO26" s="5">
        <v>0</v>
      </c>
      <c r="FP26" s="5">
        <v>0</v>
      </c>
      <c r="FQ26" s="5">
        <v>7</v>
      </c>
      <c r="FR26" s="5">
        <v>0</v>
      </c>
      <c r="FS26" s="5">
        <v>0</v>
      </c>
      <c r="FT26" s="5">
        <v>0</v>
      </c>
      <c r="FU26" s="5">
        <v>0</v>
      </c>
      <c r="FV26" s="5">
        <v>0</v>
      </c>
      <c r="FW26" s="5">
        <v>0</v>
      </c>
      <c r="FX26" s="5">
        <v>0</v>
      </c>
      <c r="FY26" s="5">
        <v>36</v>
      </c>
      <c r="FZ26" s="5">
        <v>0</v>
      </c>
      <c r="GA26" s="5">
        <v>0</v>
      </c>
      <c r="GB26" s="5">
        <v>0</v>
      </c>
      <c r="GC26" s="5">
        <v>0</v>
      </c>
      <c r="GD26" s="5">
        <v>0</v>
      </c>
      <c r="GE26" s="5">
        <v>0</v>
      </c>
      <c r="GF26" s="5">
        <v>0</v>
      </c>
      <c r="GG26" s="5">
        <v>0</v>
      </c>
      <c r="GH26" s="5">
        <v>0</v>
      </c>
      <c r="GI26" s="5">
        <v>0</v>
      </c>
      <c r="GJ26" s="5">
        <v>0</v>
      </c>
      <c r="GK26" s="5">
        <v>0</v>
      </c>
      <c r="GL26" s="5">
        <v>0</v>
      </c>
      <c r="GM26" s="5">
        <v>0</v>
      </c>
      <c r="GN26" s="5">
        <v>0</v>
      </c>
      <c r="GO26" s="5">
        <v>0</v>
      </c>
      <c r="GP26" s="5">
        <v>0</v>
      </c>
      <c r="GQ26" s="5">
        <v>0</v>
      </c>
      <c r="GR26" s="5">
        <v>0</v>
      </c>
      <c r="GS26" s="5"/>
      <c r="GT26" s="5"/>
      <c r="GU26" s="5"/>
      <c r="GV26" s="5"/>
    </row>
    <row r="27" spans="1:204" ht="15.6">
      <c r="A27" s="26">
        <f t="shared" si="2"/>
        <v>46047</v>
      </c>
      <c r="B27" s="27" t="str">
        <f t="shared" si="0"/>
        <v>Sun</v>
      </c>
      <c r="C27" s="28">
        <f t="shared" si="1"/>
        <v>274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4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25</v>
      </c>
      <c r="CS27" s="5">
        <v>0</v>
      </c>
      <c r="CT27" s="5">
        <v>5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25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6</v>
      </c>
      <c r="EV27" s="5">
        <v>0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199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10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/>
      <c r="GT27" s="5"/>
      <c r="GU27" s="5"/>
      <c r="GV27" s="5"/>
    </row>
    <row r="28" spans="1:204" ht="15.6">
      <c r="A28" s="26">
        <f t="shared" si="2"/>
        <v>46048</v>
      </c>
      <c r="B28" s="27" t="str">
        <f t="shared" si="0"/>
        <v>Mon</v>
      </c>
      <c r="C28" s="28">
        <f t="shared" si="1"/>
        <v>3204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65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133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75</v>
      </c>
      <c r="AE28" s="5">
        <v>20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2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56</v>
      </c>
      <c r="AX28" s="5">
        <v>50</v>
      </c>
      <c r="AY28" s="5">
        <v>0</v>
      </c>
      <c r="AZ28" s="5">
        <v>0</v>
      </c>
      <c r="BA28" s="5">
        <v>92</v>
      </c>
      <c r="BB28" s="5">
        <v>0</v>
      </c>
      <c r="BC28" s="5">
        <v>90</v>
      </c>
      <c r="BD28" s="5">
        <v>67</v>
      </c>
      <c r="BE28" s="5">
        <v>51</v>
      </c>
      <c r="BF28" s="5">
        <v>0</v>
      </c>
      <c r="BG28" s="5">
        <v>0</v>
      </c>
      <c r="BH28" s="5">
        <v>0</v>
      </c>
      <c r="BI28" s="5">
        <v>73</v>
      </c>
      <c r="BJ28" s="5">
        <v>0</v>
      </c>
      <c r="BK28" s="5">
        <v>0</v>
      </c>
      <c r="BL28" s="5">
        <v>0</v>
      </c>
      <c r="BM28" s="5">
        <v>0</v>
      </c>
      <c r="BN28" s="5">
        <v>50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46</v>
      </c>
      <c r="CD28" s="5">
        <v>164</v>
      </c>
      <c r="CE28" s="5">
        <v>0</v>
      </c>
      <c r="CF28" s="5">
        <v>0</v>
      </c>
      <c r="CG28" s="5">
        <v>0</v>
      </c>
      <c r="CH28" s="5">
        <v>40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62</v>
      </c>
      <c r="CO28" s="5">
        <v>0</v>
      </c>
      <c r="CP28" s="5">
        <v>0</v>
      </c>
      <c r="CQ28" s="5">
        <v>0</v>
      </c>
      <c r="CR28" s="5">
        <v>26</v>
      </c>
      <c r="CS28" s="5">
        <v>0</v>
      </c>
      <c r="CT28" s="5">
        <v>58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29</v>
      </c>
      <c r="DA28" s="5">
        <v>48</v>
      </c>
      <c r="DB28" s="5">
        <v>0</v>
      </c>
      <c r="DC28" s="5">
        <v>0</v>
      </c>
      <c r="DD28" s="5">
        <v>52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15</v>
      </c>
      <c r="DM28" s="5">
        <v>0</v>
      </c>
      <c r="DN28" s="5">
        <v>120</v>
      </c>
      <c r="DO28" s="5">
        <v>0</v>
      </c>
      <c r="DP28" s="5">
        <v>0</v>
      </c>
      <c r="DQ28" s="5">
        <v>0</v>
      </c>
      <c r="DR28" s="5">
        <v>0</v>
      </c>
      <c r="DS28" s="5">
        <v>114</v>
      </c>
      <c r="DT28" s="5">
        <v>0</v>
      </c>
      <c r="DU28" s="5">
        <v>29</v>
      </c>
      <c r="DV28" s="5">
        <v>0</v>
      </c>
      <c r="DW28" s="5">
        <v>0</v>
      </c>
      <c r="DX28" s="5">
        <v>32</v>
      </c>
      <c r="DY28" s="5">
        <v>33</v>
      </c>
      <c r="DZ28" s="5">
        <v>0</v>
      </c>
      <c r="EA28" s="5">
        <v>0</v>
      </c>
      <c r="EB28" s="5">
        <v>35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5">
        <v>19</v>
      </c>
      <c r="EI28" s="5">
        <v>0</v>
      </c>
      <c r="EJ28" s="5">
        <v>51</v>
      </c>
      <c r="EK28" s="5">
        <v>59</v>
      </c>
      <c r="EL28" s="5">
        <v>0</v>
      </c>
      <c r="EM28" s="5">
        <v>0</v>
      </c>
      <c r="EN28" s="5">
        <v>0</v>
      </c>
      <c r="EO28" s="5">
        <v>39</v>
      </c>
      <c r="EP28" s="5">
        <v>0</v>
      </c>
      <c r="EQ28" s="5">
        <v>0</v>
      </c>
      <c r="ER28" s="5">
        <v>0</v>
      </c>
      <c r="ES28" s="5">
        <v>0</v>
      </c>
      <c r="ET28" s="5">
        <v>0</v>
      </c>
      <c r="EU28" s="5">
        <v>154</v>
      </c>
      <c r="EV28" s="5">
        <v>138</v>
      </c>
      <c r="EW28" s="5">
        <v>27</v>
      </c>
      <c r="EX28" s="5">
        <v>39</v>
      </c>
      <c r="EY28" s="5">
        <v>48</v>
      </c>
      <c r="EZ28" s="5">
        <v>5</v>
      </c>
      <c r="FA28" s="5">
        <v>0</v>
      </c>
      <c r="FB28" s="5">
        <v>69</v>
      </c>
      <c r="FC28" s="5">
        <v>0</v>
      </c>
      <c r="FD28" s="5">
        <v>0</v>
      </c>
      <c r="FE28" s="5">
        <v>0</v>
      </c>
      <c r="FF28" s="5">
        <v>10</v>
      </c>
      <c r="FG28" s="5">
        <v>0</v>
      </c>
      <c r="FH28" s="5">
        <v>93</v>
      </c>
      <c r="FI28" s="5">
        <v>0</v>
      </c>
      <c r="FJ28" s="5">
        <v>0</v>
      </c>
      <c r="FK28" s="5">
        <v>0</v>
      </c>
      <c r="FL28" s="5">
        <v>0</v>
      </c>
      <c r="FM28" s="5">
        <v>0</v>
      </c>
      <c r="FN28" s="5">
        <v>0</v>
      </c>
      <c r="FO28" s="5">
        <v>51</v>
      </c>
      <c r="FP28" s="5">
        <v>0</v>
      </c>
      <c r="FQ28" s="5">
        <v>125</v>
      </c>
      <c r="FR28" s="5">
        <v>0</v>
      </c>
      <c r="FS28" s="5">
        <v>125</v>
      </c>
      <c r="FT28" s="5">
        <v>59</v>
      </c>
      <c r="FU28" s="5">
        <v>0</v>
      </c>
      <c r="FV28" s="5">
        <v>0</v>
      </c>
      <c r="FW28" s="5">
        <v>0</v>
      </c>
      <c r="FX28" s="5">
        <v>0</v>
      </c>
      <c r="FY28" s="5">
        <v>64</v>
      </c>
      <c r="FZ28" s="5">
        <v>83</v>
      </c>
      <c r="GA28" s="5">
        <v>5</v>
      </c>
      <c r="GB28" s="5">
        <v>0</v>
      </c>
      <c r="GC28" s="5">
        <v>0</v>
      </c>
      <c r="GD28" s="5">
        <v>0</v>
      </c>
      <c r="GE28" s="5">
        <v>0</v>
      </c>
      <c r="GF28" s="5">
        <v>65</v>
      </c>
      <c r="GG28" s="5">
        <v>0</v>
      </c>
      <c r="GH28" s="5">
        <v>0</v>
      </c>
      <c r="GI28" s="5">
        <v>0</v>
      </c>
      <c r="GJ28" s="5">
        <v>0</v>
      </c>
      <c r="GK28" s="5">
        <v>64</v>
      </c>
      <c r="GL28" s="5">
        <v>31</v>
      </c>
      <c r="GM28" s="5">
        <v>0</v>
      </c>
      <c r="GN28" s="5">
        <v>0</v>
      </c>
      <c r="GO28" s="5">
        <v>54</v>
      </c>
      <c r="GP28" s="5">
        <v>0</v>
      </c>
      <c r="GQ28" s="5">
        <v>0</v>
      </c>
      <c r="GR28" s="5">
        <v>0</v>
      </c>
      <c r="GS28" s="5"/>
      <c r="GT28" s="5"/>
      <c r="GU28" s="5"/>
      <c r="GV28" s="5"/>
    </row>
    <row r="29" spans="1:204" ht="15.6">
      <c r="A29" s="26">
        <f t="shared" si="2"/>
        <v>46049</v>
      </c>
      <c r="B29" s="27" t="str">
        <f t="shared" si="0"/>
        <v>Tue</v>
      </c>
      <c r="C29" s="28">
        <f t="shared" si="1"/>
        <v>2229</v>
      </c>
      <c r="D29" s="5">
        <v>0</v>
      </c>
      <c r="E29" s="5">
        <v>17</v>
      </c>
      <c r="F29" s="5">
        <v>0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21</v>
      </c>
      <c r="O29" s="5">
        <v>0</v>
      </c>
      <c r="P29" s="5">
        <v>0</v>
      </c>
      <c r="Q29" s="5">
        <v>0</v>
      </c>
      <c r="R29" s="5">
        <v>0</v>
      </c>
      <c r="S29" s="5">
        <v>42</v>
      </c>
      <c r="T29" s="5">
        <v>98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70</v>
      </c>
      <c r="AE29" s="5">
        <v>0</v>
      </c>
      <c r="AF29" s="5">
        <v>0</v>
      </c>
      <c r="AG29" s="5">
        <v>0</v>
      </c>
      <c r="AH29" s="5">
        <v>25</v>
      </c>
      <c r="AI29" s="5">
        <v>0</v>
      </c>
      <c r="AJ29" s="5">
        <v>0</v>
      </c>
      <c r="AK29" s="5">
        <v>20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24</v>
      </c>
      <c r="AX29" s="5">
        <v>63</v>
      </c>
      <c r="AY29" s="5">
        <v>0</v>
      </c>
      <c r="AZ29" s="5">
        <v>0</v>
      </c>
      <c r="BA29" s="5">
        <v>84</v>
      </c>
      <c r="BB29" s="5">
        <v>0</v>
      </c>
      <c r="BC29" s="5">
        <v>23</v>
      </c>
      <c r="BD29" s="5">
        <v>45</v>
      </c>
      <c r="BE29" s="5">
        <v>7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28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23</v>
      </c>
      <c r="CD29" s="5">
        <v>288</v>
      </c>
      <c r="CE29" s="5">
        <v>0</v>
      </c>
      <c r="CF29" s="5">
        <v>9</v>
      </c>
      <c r="CG29" s="5">
        <v>0</v>
      </c>
      <c r="CH29" s="5">
        <v>25</v>
      </c>
      <c r="CI29" s="5">
        <v>0</v>
      </c>
      <c r="CJ29" s="5">
        <v>0</v>
      </c>
      <c r="CK29" s="5">
        <v>0</v>
      </c>
      <c r="CL29" s="5">
        <v>0</v>
      </c>
      <c r="CM29" s="5">
        <v>0</v>
      </c>
      <c r="CN29" s="5">
        <v>19</v>
      </c>
      <c r="CO29" s="5">
        <v>0</v>
      </c>
      <c r="CP29" s="5">
        <v>0</v>
      </c>
      <c r="CQ29" s="5">
        <v>0</v>
      </c>
      <c r="CR29" s="5">
        <v>15</v>
      </c>
      <c r="CS29" s="5">
        <v>0</v>
      </c>
      <c r="CT29" s="5">
        <v>46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10</v>
      </c>
      <c r="DB29" s="5">
        <v>0</v>
      </c>
      <c r="DC29" s="5">
        <v>0</v>
      </c>
      <c r="DD29" s="5">
        <v>27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5">
        <v>9</v>
      </c>
      <c r="DM29" s="5">
        <v>0</v>
      </c>
      <c r="DN29" s="5">
        <v>96</v>
      </c>
      <c r="DO29" s="5">
        <v>0</v>
      </c>
      <c r="DP29" s="5">
        <v>0</v>
      </c>
      <c r="DQ29" s="5">
        <v>0</v>
      </c>
      <c r="DR29" s="5">
        <v>0</v>
      </c>
      <c r="DS29" s="5">
        <v>76</v>
      </c>
      <c r="DT29" s="5">
        <v>0</v>
      </c>
      <c r="DU29" s="5">
        <v>0</v>
      </c>
      <c r="DV29" s="5">
        <v>0</v>
      </c>
      <c r="DW29" s="5">
        <v>0</v>
      </c>
      <c r="DX29" s="5">
        <v>21</v>
      </c>
      <c r="DY29" s="5">
        <v>30</v>
      </c>
      <c r="DZ29" s="5">
        <v>0</v>
      </c>
      <c r="EA29" s="5">
        <v>0</v>
      </c>
      <c r="EB29" s="5">
        <v>15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15</v>
      </c>
      <c r="EI29" s="5">
        <v>0</v>
      </c>
      <c r="EJ29" s="5">
        <v>18</v>
      </c>
      <c r="EK29" s="5">
        <v>21</v>
      </c>
      <c r="EL29" s="5">
        <v>0</v>
      </c>
      <c r="EM29" s="5">
        <v>0</v>
      </c>
      <c r="EN29" s="5">
        <v>0</v>
      </c>
      <c r="EO29" s="5">
        <v>23</v>
      </c>
      <c r="EP29" s="5">
        <v>0</v>
      </c>
      <c r="EQ29" s="5">
        <v>0</v>
      </c>
      <c r="ER29" s="5">
        <v>17</v>
      </c>
      <c r="ES29" s="5">
        <v>0</v>
      </c>
      <c r="ET29" s="5">
        <v>0</v>
      </c>
      <c r="EU29" s="5">
        <v>59</v>
      </c>
      <c r="EV29" s="5">
        <v>45</v>
      </c>
      <c r="EW29" s="5">
        <v>22</v>
      </c>
      <c r="EX29" s="5">
        <v>23</v>
      </c>
      <c r="EY29" s="5">
        <v>46</v>
      </c>
      <c r="EZ29" s="5">
        <v>0</v>
      </c>
      <c r="FA29" s="5">
        <v>0</v>
      </c>
      <c r="FB29" s="5">
        <v>64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238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51</v>
      </c>
      <c r="FP29" s="5">
        <v>0</v>
      </c>
      <c r="FQ29" s="5">
        <v>86</v>
      </c>
      <c r="FR29" s="5">
        <v>0</v>
      </c>
      <c r="FS29" s="5">
        <v>68</v>
      </c>
      <c r="FT29" s="5">
        <v>15</v>
      </c>
      <c r="FU29" s="5">
        <v>0</v>
      </c>
      <c r="FV29" s="5">
        <v>0</v>
      </c>
      <c r="FW29" s="5">
        <v>0</v>
      </c>
      <c r="FX29" s="5">
        <v>0</v>
      </c>
      <c r="FY29" s="5">
        <v>35</v>
      </c>
      <c r="FZ29" s="5">
        <v>10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21</v>
      </c>
      <c r="GG29" s="5">
        <v>0</v>
      </c>
      <c r="GH29" s="5">
        <v>0</v>
      </c>
      <c r="GI29" s="5">
        <v>0</v>
      </c>
      <c r="GJ29" s="5">
        <v>0</v>
      </c>
      <c r="GK29" s="5">
        <v>17</v>
      </c>
      <c r="GL29" s="5">
        <v>26</v>
      </c>
      <c r="GM29" s="5">
        <v>0</v>
      </c>
      <c r="GN29" s="5">
        <v>0</v>
      </c>
      <c r="GO29" s="5">
        <v>32</v>
      </c>
      <c r="GP29" s="5">
        <v>0</v>
      </c>
      <c r="GQ29" s="5">
        <v>0</v>
      </c>
      <c r="GR29" s="5">
        <v>0</v>
      </c>
      <c r="GS29" s="5"/>
      <c r="GT29" s="5"/>
      <c r="GU29" s="5"/>
      <c r="GV29" s="5"/>
    </row>
    <row r="30" spans="1:204" ht="15.6">
      <c r="A30" s="26">
        <f t="shared" si="2"/>
        <v>46050</v>
      </c>
      <c r="B30" s="27" t="str">
        <f t="shared" si="0"/>
        <v>Wed</v>
      </c>
      <c r="C30" s="28">
        <f t="shared" si="1"/>
        <v>2300</v>
      </c>
      <c r="D30" s="5">
        <v>0</v>
      </c>
      <c r="E30" s="5">
        <v>7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33</v>
      </c>
      <c r="O30" s="5">
        <v>0</v>
      </c>
      <c r="P30" s="5">
        <v>0</v>
      </c>
      <c r="Q30" s="5">
        <v>0</v>
      </c>
      <c r="R30" s="5">
        <v>0</v>
      </c>
      <c r="S30" s="5">
        <v>52</v>
      </c>
      <c r="T30" s="5">
        <v>122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70</v>
      </c>
      <c r="AE30" s="5">
        <v>4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29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22</v>
      </c>
      <c r="AX30" s="5">
        <v>37</v>
      </c>
      <c r="AY30" s="5">
        <v>0</v>
      </c>
      <c r="AZ30" s="5">
        <v>0</v>
      </c>
      <c r="BA30" s="5">
        <v>6</v>
      </c>
      <c r="BB30" s="5">
        <v>0</v>
      </c>
      <c r="BC30" s="5">
        <v>26</v>
      </c>
      <c r="BD30" s="5">
        <v>52</v>
      </c>
      <c r="BE30" s="5">
        <v>26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65</v>
      </c>
      <c r="BO30" s="5">
        <v>0</v>
      </c>
      <c r="BP30" s="5">
        <v>0</v>
      </c>
      <c r="BQ30" s="5">
        <v>0</v>
      </c>
      <c r="BR30" s="5">
        <v>0</v>
      </c>
      <c r="BS30" s="5">
        <v>21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4</v>
      </c>
      <c r="CA30" s="5">
        <v>0</v>
      </c>
      <c r="CB30" s="5">
        <v>0</v>
      </c>
      <c r="CC30" s="5">
        <v>23</v>
      </c>
      <c r="CD30" s="5">
        <v>160</v>
      </c>
      <c r="CE30" s="5">
        <v>0</v>
      </c>
      <c r="CF30" s="5">
        <v>1</v>
      </c>
      <c r="CG30" s="5">
        <v>0</v>
      </c>
      <c r="CH30" s="5">
        <v>41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21</v>
      </c>
      <c r="CO30" s="5">
        <v>0</v>
      </c>
      <c r="CP30" s="5">
        <v>0</v>
      </c>
      <c r="CQ30" s="5">
        <v>0</v>
      </c>
      <c r="CR30" s="5">
        <v>17</v>
      </c>
      <c r="CS30" s="5">
        <v>10</v>
      </c>
      <c r="CT30" s="5">
        <v>26</v>
      </c>
      <c r="CU30" s="5">
        <v>0</v>
      </c>
      <c r="CV30" s="5">
        <v>0</v>
      </c>
      <c r="CW30" s="5">
        <v>0</v>
      </c>
      <c r="CX30" s="5">
        <v>0</v>
      </c>
      <c r="CY30" s="5">
        <v>15</v>
      </c>
      <c r="CZ30" s="5">
        <v>31</v>
      </c>
      <c r="DA30" s="5">
        <v>22</v>
      </c>
      <c r="DB30" s="5">
        <v>0</v>
      </c>
      <c r="DC30" s="5">
        <v>0</v>
      </c>
      <c r="DD30" s="5">
        <v>0</v>
      </c>
      <c r="DE30" s="5">
        <v>21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20</v>
      </c>
      <c r="DM30" s="5">
        <v>0</v>
      </c>
      <c r="DN30" s="5">
        <v>76</v>
      </c>
      <c r="DO30" s="5">
        <v>8</v>
      </c>
      <c r="DP30" s="5">
        <v>26</v>
      </c>
      <c r="DQ30" s="5">
        <v>0</v>
      </c>
      <c r="DR30" s="5">
        <v>0</v>
      </c>
      <c r="DS30" s="5">
        <v>62</v>
      </c>
      <c r="DT30" s="5">
        <v>0</v>
      </c>
      <c r="DU30" s="5">
        <v>15</v>
      </c>
      <c r="DV30" s="5">
        <v>0</v>
      </c>
      <c r="DW30" s="5">
        <v>0</v>
      </c>
      <c r="DX30" s="5">
        <v>25</v>
      </c>
      <c r="DY30" s="5">
        <v>8</v>
      </c>
      <c r="DZ30" s="5">
        <v>0</v>
      </c>
      <c r="EA30" s="5">
        <v>0</v>
      </c>
      <c r="EB30" s="5">
        <v>49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28</v>
      </c>
      <c r="EI30" s="5">
        <v>0</v>
      </c>
      <c r="EJ30" s="5">
        <v>42</v>
      </c>
      <c r="EK30" s="5">
        <v>26</v>
      </c>
      <c r="EL30" s="5">
        <v>0</v>
      </c>
      <c r="EM30" s="5">
        <v>0</v>
      </c>
      <c r="EN30" s="5">
        <v>0</v>
      </c>
      <c r="EO30" s="5">
        <v>15</v>
      </c>
      <c r="EP30" s="5">
        <v>0</v>
      </c>
      <c r="EQ30" s="5">
        <v>0</v>
      </c>
      <c r="ER30" s="5">
        <v>31</v>
      </c>
      <c r="ES30" s="5">
        <v>0</v>
      </c>
      <c r="ET30" s="5">
        <v>0</v>
      </c>
      <c r="EU30" s="5">
        <v>170</v>
      </c>
      <c r="EV30" s="5">
        <v>50</v>
      </c>
      <c r="EW30" s="5">
        <v>0</v>
      </c>
      <c r="EX30" s="5">
        <v>11</v>
      </c>
      <c r="EY30" s="5">
        <v>32</v>
      </c>
      <c r="EZ30" s="5">
        <v>0</v>
      </c>
      <c r="FA30" s="5">
        <v>0</v>
      </c>
      <c r="FB30" s="5">
        <v>35</v>
      </c>
      <c r="FC30" s="5">
        <v>0</v>
      </c>
      <c r="FD30" s="5">
        <v>0</v>
      </c>
      <c r="FE30" s="5">
        <v>0</v>
      </c>
      <c r="FF30" s="5">
        <v>15</v>
      </c>
      <c r="FG30" s="5">
        <v>0</v>
      </c>
      <c r="FH30" s="5">
        <v>192</v>
      </c>
      <c r="FI30" s="5">
        <v>0</v>
      </c>
      <c r="FJ30" s="5">
        <v>0</v>
      </c>
      <c r="FK30" s="5">
        <v>0</v>
      </c>
      <c r="FL30" s="5">
        <v>0</v>
      </c>
      <c r="FM30" s="5">
        <v>0</v>
      </c>
      <c r="FN30" s="5">
        <v>0</v>
      </c>
      <c r="FO30" s="5">
        <v>50</v>
      </c>
      <c r="FP30" s="5">
        <v>0</v>
      </c>
      <c r="FQ30" s="5">
        <v>75</v>
      </c>
      <c r="FR30" s="5">
        <v>0</v>
      </c>
      <c r="FS30" s="5">
        <v>71</v>
      </c>
      <c r="FT30" s="5">
        <v>31</v>
      </c>
      <c r="FU30" s="5">
        <v>0</v>
      </c>
      <c r="FV30" s="5">
        <v>0</v>
      </c>
      <c r="FW30" s="5">
        <v>0</v>
      </c>
      <c r="FX30" s="5">
        <v>0</v>
      </c>
      <c r="FY30" s="5">
        <v>41</v>
      </c>
      <c r="FZ30" s="5">
        <v>38</v>
      </c>
      <c r="GA30" s="5">
        <v>0</v>
      </c>
      <c r="GB30" s="5">
        <v>0</v>
      </c>
      <c r="GC30" s="5">
        <v>0</v>
      </c>
      <c r="GD30" s="5">
        <v>0</v>
      </c>
      <c r="GE30" s="5">
        <v>0</v>
      </c>
      <c r="GF30" s="5">
        <v>59</v>
      </c>
      <c r="GG30" s="5">
        <v>0</v>
      </c>
      <c r="GH30" s="5">
        <v>0</v>
      </c>
      <c r="GI30" s="5">
        <v>0</v>
      </c>
      <c r="GJ30" s="5">
        <v>0</v>
      </c>
      <c r="GK30" s="5">
        <v>14</v>
      </c>
      <c r="GL30" s="5">
        <v>0</v>
      </c>
      <c r="GM30" s="5">
        <v>0</v>
      </c>
      <c r="GN30" s="5">
        <v>0</v>
      </c>
      <c r="GO30" s="5">
        <v>21</v>
      </c>
      <c r="GP30" s="5">
        <v>0</v>
      </c>
      <c r="GQ30" s="5">
        <v>0</v>
      </c>
      <c r="GR30" s="5">
        <v>0</v>
      </c>
      <c r="GS30" s="5"/>
      <c r="GT30" s="5"/>
      <c r="GU30" s="5"/>
      <c r="GV30" s="5"/>
    </row>
    <row r="31" spans="1:204" ht="15.6">
      <c r="A31" s="26">
        <f>A30+1</f>
        <v>46051</v>
      </c>
      <c r="B31" s="27" t="str">
        <f t="shared" si="0"/>
        <v>Thu</v>
      </c>
      <c r="C31" s="28">
        <f t="shared" si="1"/>
        <v>2575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20</v>
      </c>
      <c r="O31" s="5">
        <v>0</v>
      </c>
      <c r="P31" s="5">
        <v>0</v>
      </c>
      <c r="Q31" s="5">
        <v>0</v>
      </c>
      <c r="R31" s="5">
        <v>0</v>
      </c>
      <c r="S31" s="5">
        <v>55</v>
      </c>
      <c r="T31" s="5">
        <v>195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41</v>
      </c>
      <c r="AE31" s="5">
        <v>9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46</v>
      </c>
      <c r="AX31" s="5">
        <v>25</v>
      </c>
      <c r="AY31" s="5">
        <v>0</v>
      </c>
      <c r="AZ31" s="5">
        <v>0</v>
      </c>
      <c r="BA31" s="5">
        <v>18</v>
      </c>
      <c r="BB31" s="5">
        <v>0</v>
      </c>
      <c r="BC31" s="5">
        <v>25</v>
      </c>
      <c r="BD31" s="5">
        <v>40</v>
      </c>
      <c r="BE31" s="5">
        <v>11</v>
      </c>
      <c r="BF31" s="5">
        <v>0</v>
      </c>
      <c r="BG31" s="5">
        <v>0</v>
      </c>
      <c r="BH31" s="5">
        <v>0</v>
      </c>
      <c r="BI31" s="5">
        <v>90</v>
      </c>
      <c r="BJ31" s="5">
        <v>0</v>
      </c>
      <c r="BK31" s="5">
        <v>0</v>
      </c>
      <c r="BL31" s="5">
        <v>0</v>
      </c>
      <c r="BM31" s="5">
        <v>0</v>
      </c>
      <c r="BN31" s="5">
        <v>53</v>
      </c>
      <c r="BO31" s="5">
        <v>0</v>
      </c>
      <c r="BP31" s="5">
        <v>0</v>
      </c>
      <c r="BQ31" s="5">
        <v>0</v>
      </c>
      <c r="BR31" s="5">
        <v>0</v>
      </c>
      <c r="BS31" s="5">
        <v>29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84</v>
      </c>
      <c r="CA31" s="5">
        <v>0</v>
      </c>
      <c r="CB31" s="5">
        <v>0</v>
      </c>
      <c r="CC31" s="5">
        <v>6</v>
      </c>
      <c r="CD31" s="5">
        <v>157</v>
      </c>
      <c r="CE31" s="5">
        <v>0</v>
      </c>
      <c r="CF31" s="5">
        <v>9</v>
      </c>
      <c r="CG31" s="5">
        <v>0</v>
      </c>
      <c r="CH31" s="5">
        <v>19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100</v>
      </c>
      <c r="CO31" s="5">
        <v>2</v>
      </c>
      <c r="CP31" s="5">
        <v>0</v>
      </c>
      <c r="CQ31" s="5">
        <v>0</v>
      </c>
      <c r="CR31" s="5">
        <v>17</v>
      </c>
      <c r="CS31" s="5">
        <v>0</v>
      </c>
      <c r="CT31" s="5">
        <v>20</v>
      </c>
      <c r="CU31" s="5">
        <v>0</v>
      </c>
      <c r="CV31" s="5">
        <v>0</v>
      </c>
      <c r="CW31" s="5">
        <v>0</v>
      </c>
      <c r="CX31" s="5">
        <v>0</v>
      </c>
      <c r="CY31" s="5">
        <v>15</v>
      </c>
      <c r="CZ31" s="5">
        <v>57</v>
      </c>
      <c r="DA31" s="5">
        <v>22</v>
      </c>
      <c r="DB31" s="5">
        <v>0</v>
      </c>
      <c r="DC31" s="5">
        <v>0</v>
      </c>
      <c r="DD31" s="5">
        <v>34</v>
      </c>
      <c r="DE31" s="5">
        <v>27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5</v>
      </c>
      <c r="DM31" s="5">
        <v>0</v>
      </c>
      <c r="DN31" s="5">
        <v>66</v>
      </c>
      <c r="DO31" s="5">
        <v>6</v>
      </c>
      <c r="DP31" s="5">
        <v>21</v>
      </c>
      <c r="DQ31" s="5">
        <v>0</v>
      </c>
      <c r="DR31" s="5">
        <v>0</v>
      </c>
      <c r="DS31" s="5">
        <v>65</v>
      </c>
      <c r="DT31" s="5">
        <v>0</v>
      </c>
      <c r="DU31" s="5">
        <v>22</v>
      </c>
      <c r="DV31" s="5">
        <v>0</v>
      </c>
      <c r="DW31" s="5">
        <v>0</v>
      </c>
      <c r="DX31" s="5">
        <v>26</v>
      </c>
      <c r="DY31" s="5">
        <v>41</v>
      </c>
      <c r="DZ31" s="5">
        <v>0</v>
      </c>
      <c r="EA31" s="5">
        <v>0</v>
      </c>
      <c r="EB31" s="5">
        <v>48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9</v>
      </c>
      <c r="EI31" s="5">
        <v>0</v>
      </c>
      <c r="EJ31" s="5">
        <v>5</v>
      </c>
      <c r="EK31" s="5">
        <v>52</v>
      </c>
      <c r="EL31" s="5">
        <v>0</v>
      </c>
      <c r="EM31" s="5">
        <v>0</v>
      </c>
      <c r="EN31" s="5">
        <v>0</v>
      </c>
      <c r="EO31" s="5">
        <v>21</v>
      </c>
      <c r="EP31" s="5">
        <v>0</v>
      </c>
      <c r="EQ31" s="5">
        <v>0</v>
      </c>
      <c r="ER31" s="5">
        <v>100</v>
      </c>
      <c r="ES31" s="5">
        <v>0</v>
      </c>
      <c r="ET31" s="5">
        <v>0</v>
      </c>
      <c r="EU31" s="5">
        <v>103</v>
      </c>
      <c r="EV31" s="5">
        <v>106</v>
      </c>
      <c r="EW31" s="5">
        <v>30</v>
      </c>
      <c r="EX31" s="5">
        <v>13</v>
      </c>
      <c r="EY31" s="5">
        <v>21</v>
      </c>
      <c r="EZ31" s="5">
        <v>18</v>
      </c>
      <c r="FA31" s="5">
        <v>0</v>
      </c>
      <c r="FB31" s="5">
        <v>24</v>
      </c>
      <c r="FC31" s="5">
        <v>0</v>
      </c>
      <c r="FD31" s="5">
        <v>0</v>
      </c>
      <c r="FE31" s="5">
        <v>0</v>
      </c>
      <c r="FF31" s="5">
        <v>31</v>
      </c>
      <c r="FG31" s="5">
        <v>0</v>
      </c>
      <c r="FH31" s="5">
        <v>103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23</v>
      </c>
      <c r="FP31" s="5">
        <v>0</v>
      </c>
      <c r="FQ31" s="5">
        <v>40</v>
      </c>
      <c r="FR31" s="5">
        <v>0</v>
      </c>
      <c r="FS31" s="5">
        <v>48</v>
      </c>
      <c r="FT31" s="5">
        <v>31</v>
      </c>
      <c r="FU31" s="5">
        <v>0</v>
      </c>
      <c r="FV31" s="5">
        <v>0</v>
      </c>
      <c r="FW31" s="5">
        <v>0</v>
      </c>
      <c r="FX31" s="5">
        <v>0</v>
      </c>
      <c r="FY31" s="5">
        <v>30</v>
      </c>
      <c r="FZ31" s="5">
        <v>18</v>
      </c>
      <c r="GA31" s="5">
        <v>0</v>
      </c>
      <c r="GB31" s="5">
        <v>5</v>
      </c>
      <c r="GC31" s="5">
        <v>0</v>
      </c>
      <c r="GD31" s="5">
        <v>0</v>
      </c>
      <c r="GE31" s="5">
        <v>0</v>
      </c>
      <c r="GF31" s="5">
        <v>68</v>
      </c>
      <c r="GG31" s="5">
        <v>0</v>
      </c>
      <c r="GH31" s="5">
        <v>0</v>
      </c>
      <c r="GI31" s="5">
        <v>0</v>
      </c>
      <c r="GJ31" s="5">
        <v>0</v>
      </c>
      <c r="GK31" s="5">
        <v>29</v>
      </c>
      <c r="GL31" s="5">
        <v>18</v>
      </c>
      <c r="GM31" s="5">
        <v>0</v>
      </c>
      <c r="GN31" s="5">
        <v>0</v>
      </c>
      <c r="GO31" s="5">
        <v>103</v>
      </c>
      <c r="GP31" s="5">
        <v>0</v>
      </c>
      <c r="GQ31" s="5">
        <v>0</v>
      </c>
      <c r="GR31" s="5">
        <v>0</v>
      </c>
      <c r="GS31" s="5"/>
      <c r="GT31" s="5"/>
      <c r="GU31" s="5"/>
      <c r="GV31" s="5"/>
    </row>
    <row r="32" spans="1:204" ht="15.6">
      <c r="A32" s="26">
        <f t="shared" ref="A32:A33" si="3">A31+1</f>
        <v>46052</v>
      </c>
      <c r="B32" s="27" t="str">
        <f t="shared" si="0"/>
        <v>Fri</v>
      </c>
      <c r="C32" s="28">
        <f t="shared" si="1"/>
        <v>2659</v>
      </c>
      <c r="D32" s="5">
        <v>0</v>
      </c>
      <c r="E32" s="5">
        <v>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79</v>
      </c>
      <c r="O32" s="5">
        <v>0</v>
      </c>
      <c r="P32" s="5">
        <v>0</v>
      </c>
      <c r="Q32" s="5">
        <v>0</v>
      </c>
      <c r="R32" s="5">
        <v>0</v>
      </c>
      <c r="S32" s="5">
        <v>61</v>
      </c>
      <c r="T32" s="5">
        <v>145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12</v>
      </c>
      <c r="AA32" s="5">
        <v>0</v>
      </c>
      <c r="AB32" s="5">
        <v>0</v>
      </c>
      <c r="AC32" s="5">
        <v>0</v>
      </c>
      <c r="AD32" s="5">
        <v>70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27</v>
      </c>
      <c r="AX32" s="5">
        <v>62</v>
      </c>
      <c r="AY32" s="5">
        <v>0</v>
      </c>
      <c r="AZ32" s="5">
        <v>0</v>
      </c>
      <c r="BA32" s="5">
        <v>33</v>
      </c>
      <c r="BB32" s="5">
        <v>0</v>
      </c>
      <c r="BC32" s="5">
        <v>0</v>
      </c>
      <c r="BD32" s="5">
        <v>71</v>
      </c>
      <c r="BE32" s="5">
        <v>24</v>
      </c>
      <c r="BF32" s="5">
        <v>0</v>
      </c>
      <c r="BG32" s="5">
        <v>0</v>
      </c>
      <c r="BH32" s="5">
        <v>0</v>
      </c>
      <c r="BI32" s="5">
        <v>96</v>
      </c>
      <c r="BJ32" s="5">
        <v>0</v>
      </c>
      <c r="BK32" s="5">
        <v>0</v>
      </c>
      <c r="BL32" s="5">
        <v>0</v>
      </c>
      <c r="BM32" s="5">
        <v>0</v>
      </c>
      <c r="BN32" s="5">
        <v>39</v>
      </c>
      <c r="BO32" s="5">
        <v>0</v>
      </c>
      <c r="BP32" s="5">
        <v>0</v>
      </c>
      <c r="BQ32" s="5">
        <v>0</v>
      </c>
      <c r="BR32" s="5">
        <v>0</v>
      </c>
      <c r="BS32" s="5">
        <v>15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18</v>
      </c>
      <c r="CD32" s="5">
        <v>102</v>
      </c>
      <c r="CE32" s="5">
        <v>0</v>
      </c>
      <c r="CF32" s="5">
        <v>11</v>
      </c>
      <c r="CG32" s="5">
        <v>0</v>
      </c>
      <c r="CH32" s="5">
        <v>50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96</v>
      </c>
      <c r="CO32" s="5">
        <v>8</v>
      </c>
      <c r="CP32" s="5">
        <v>0</v>
      </c>
      <c r="CQ32" s="5">
        <v>0</v>
      </c>
      <c r="CR32" s="5">
        <v>14</v>
      </c>
      <c r="CS32" s="5">
        <v>1</v>
      </c>
      <c r="CT32" s="5">
        <v>26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27</v>
      </c>
      <c r="DA32" s="5">
        <v>52</v>
      </c>
      <c r="DB32" s="5">
        <v>0</v>
      </c>
      <c r="DC32" s="5">
        <v>0</v>
      </c>
      <c r="DD32" s="5">
        <v>3</v>
      </c>
      <c r="DE32" s="5">
        <v>21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0</v>
      </c>
      <c r="DL32" s="5">
        <v>5</v>
      </c>
      <c r="DM32" s="5">
        <v>0</v>
      </c>
      <c r="DN32" s="5">
        <v>113</v>
      </c>
      <c r="DO32" s="5">
        <v>0</v>
      </c>
      <c r="DP32" s="5">
        <v>42</v>
      </c>
      <c r="DQ32" s="5">
        <v>0</v>
      </c>
      <c r="DR32" s="5">
        <v>0</v>
      </c>
      <c r="DS32" s="5">
        <v>56</v>
      </c>
      <c r="DT32" s="5">
        <v>0</v>
      </c>
      <c r="DU32" s="5">
        <v>1</v>
      </c>
      <c r="DV32" s="5">
        <v>0</v>
      </c>
      <c r="DW32" s="5">
        <v>0</v>
      </c>
      <c r="DX32" s="5">
        <v>16</v>
      </c>
      <c r="DY32" s="5">
        <v>40</v>
      </c>
      <c r="DZ32" s="5">
        <v>0</v>
      </c>
      <c r="EA32" s="5">
        <v>0</v>
      </c>
      <c r="EB32" s="5">
        <v>37</v>
      </c>
      <c r="EC32" s="5">
        <v>0</v>
      </c>
      <c r="ED32" s="5">
        <v>0</v>
      </c>
      <c r="EE32" s="5">
        <v>0</v>
      </c>
      <c r="EF32" s="5">
        <v>0</v>
      </c>
      <c r="EG32" s="5">
        <v>0</v>
      </c>
      <c r="EH32" s="5">
        <v>1</v>
      </c>
      <c r="EI32" s="5">
        <v>0</v>
      </c>
      <c r="EJ32" s="5">
        <v>32</v>
      </c>
      <c r="EK32" s="5">
        <v>68</v>
      </c>
      <c r="EL32" s="5">
        <v>0</v>
      </c>
      <c r="EM32" s="5">
        <v>0</v>
      </c>
      <c r="EN32" s="5">
        <v>0</v>
      </c>
      <c r="EO32" s="5">
        <v>42</v>
      </c>
      <c r="EP32" s="5">
        <v>0</v>
      </c>
      <c r="EQ32" s="5">
        <v>0</v>
      </c>
      <c r="ER32" s="5">
        <v>99</v>
      </c>
      <c r="ES32" s="5">
        <v>0</v>
      </c>
      <c r="ET32" s="5">
        <v>0</v>
      </c>
      <c r="EU32" s="5">
        <v>98</v>
      </c>
      <c r="EV32" s="5">
        <v>96</v>
      </c>
      <c r="EW32" s="5">
        <v>17</v>
      </c>
      <c r="EX32" s="5">
        <v>0</v>
      </c>
      <c r="EY32" s="5">
        <v>47</v>
      </c>
      <c r="EZ32" s="5">
        <v>12</v>
      </c>
      <c r="FA32" s="5">
        <v>0</v>
      </c>
      <c r="FB32" s="5">
        <v>41</v>
      </c>
      <c r="FC32" s="5">
        <v>0</v>
      </c>
      <c r="FD32" s="5">
        <v>0</v>
      </c>
      <c r="FE32" s="5">
        <v>0</v>
      </c>
      <c r="FF32" s="5">
        <v>32</v>
      </c>
      <c r="FG32" s="5">
        <v>0</v>
      </c>
      <c r="FH32" s="5">
        <v>56</v>
      </c>
      <c r="FI32" s="5">
        <v>0</v>
      </c>
      <c r="FJ32" s="5">
        <v>0</v>
      </c>
      <c r="FK32" s="5">
        <v>0</v>
      </c>
      <c r="FL32" s="5">
        <v>0</v>
      </c>
      <c r="FM32" s="5">
        <v>0</v>
      </c>
      <c r="FN32" s="5">
        <v>0</v>
      </c>
      <c r="FO32" s="5">
        <v>61</v>
      </c>
      <c r="FP32" s="5">
        <v>0</v>
      </c>
      <c r="FQ32" s="5">
        <v>56</v>
      </c>
      <c r="FR32" s="5">
        <v>0</v>
      </c>
      <c r="FS32" s="5">
        <v>102</v>
      </c>
      <c r="FT32" s="5">
        <v>22</v>
      </c>
      <c r="FU32" s="5">
        <v>0</v>
      </c>
      <c r="FV32" s="5">
        <v>0</v>
      </c>
      <c r="FW32" s="5">
        <v>0</v>
      </c>
      <c r="FX32" s="5">
        <v>0</v>
      </c>
      <c r="FY32" s="5">
        <v>35</v>
      </c>
      <c r="FZ32" s="5">
        <v>41</v>
      </c>
      <c r="GA32" s="5">
        <v>0</v>
      </c>
      <c r="GB32" s="5">
        <v>0</v>
      </c>
      <c r="GC32" s="5">
        <v>0</v>
      </c>
      <c r="GD32" s="5">
        <v>0</v>
      </c>
      <c r="GE32" s="5">
        <v>41</v>
      </c>
      <c r="GF32" s="5">
        <v>41</v>
      </c>
      <c r="GG32" s="5">
        <v>0</v>
      </c>
      <c r="GH32" s="5">
        <v>0</v>
      </c>
      <c r="GI32" s="5">
        <v>0</v>
      </c>
      <c r="GJ32" s="5">
        <v>0</v>
      </c>
      <c r="GK32" s="5">
        <v>21</v>
      </c>
      <c r="GL32" s="5">
        <v>25</v>
      </c>
      <c r="GM32" s="5">
        <v>0</v>
      </c>
      <c r="GN32" s="5">
        <v>0</v>
      </c>
      <c r="GO32" s="5">
        <v>94</v>
      </c>
      <c r="GP32" s="5">
        <v>0</v>
      </c>
      <c r="GQ32" s="5">
        <v>0</v>
      </c>
      <c r="GR32" s="5">
        <v>0</v>
      </c>
      <c r="GS32" s="5"/>
      <c r="GT32" s="5"/>
      <c r="GU32" s="5"/>
      <c r="GV32" s="5"/>
    </row>
    <row r="33" spans="1:204" ht="15.6">
      <c r="A33" s="26">
        <f t="shared" si="3"/>
        <v>46053</v>
      </c>
      <c r="B33" s="27" t="str">
        <f t="shared" ref="B33" si="4">TEXT(A33,"DDD")</f>
        <v>Sat</v>
      </c>
      <c r="C33" s="28">
        <f>SUM(D33:GV33)</f>
        <v>3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5">
        <v>0</v>
      </c>
      <c r="DM33" s="5">
        <v>0</v>
      </c>
      <c r="DN33" s="5">
        <v>3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/>
      <c r="GT33" s="5"/>
      <c r="GU33" s="5"/>
      <c r="GV33" s="5"/>
    </row>
    <row r="34" spans="1:204">
      <c r="A34" s="216" t="s">
        <v>209</v>
      </c>
      <c r="B34" s="216"/>
      <c r="C34" s="20">
        <f>SUM(C3:C33)</f>
        <v>55158</v>
      </c>
      <c r="D34" s="30">
        <f>SUM(D3:D33)</f>
        <v>0</v>
      </c>
      <c r="E34" s="30">
        <f t="shared" ref="E34:BP34" si="5">SUM(E3:E33)</f>
        <v>309</v>
      </c>
      <c r="F34" s="30">
        <f t="shared" si="5"/>
        <v>0</v>
      </c>
      <c r="G34" s="30">
        <f t="shared" si="5"/>
        <v>16</v>
      </c>
      <c r="H34" s="30">
        <f t="shared" si="5"/>
        <v>0</v>
      </c>
      <c r="I34" s="30">
        <f t="shared" si="5"/>
        <v>0</v>
      </c>
      <c r="J34" s="30">
        <f t="shared" si="5"/>
        <v>0</v>
      </c>
      <c r="K34" s="30">
        <f t="shared" si="5"/>
        <v>0</v>
      </c>
      <c r="L34" s="30">
        <f t="shared" si="5"/>
        <v>0</v>
      </c>
      <c r="M34" s="30">
        <f t="shared" si="5"/>
        <v>0</v>
      </c>
      <c r="N34" s="30">
        <f t="shared" si="5"/>
        <v>894</v>
      </c>
      <c r="O34" s="30">
        <f t="shared" si="5"/>
        <v>672</v>
      </c>
      <c r="P34" s="30">
        <f t="shared" si="5"/>
        <v>0</v>
      </c>
      <c r="Q34" s="30">
        <f t="shared" si="5"/>
        <v>0</v>
      </c>
      <c r="R34" s="30">
        <f t="shared" si="5"/>
        <v>0</v>
      </c>
      <c r="S34" s="30">
        <f t="shared" si="5"/>
        <v>1001</v>
      </c>
      <c r="T34" s="30">
        <f t="shared" si="5"/>
        <v>3121</v>
      </c>
      <c r="U34" s="30">
        <f t="shared" si="5"/>
        <v>269</v>
      </c>
      <c r="V34" s="30">
        <f t="shared" si="5"/>
        <v>0</v>
      </c>
      <c r="W34" s="30">
        <f t="shared" si="5"/>
        <v>0</v>
      </c>
      <c r="X34" s="30">
        <f t="shared" si="5"/>
        <v>0</v>
      </c>
      <c r="Y34" s="30">
        <f t="shared" si="5"/>
        <v>0</v>
      </c>
      <c r="Z34" s="30">
        <f t="shared" si="5"/>
        <v>814</v>
      </c>
      <c r="AA34" s="30">
        <f t="shared" si="5"/>
        <v>0</v>
      </c>
      <c r="AB34" s="30">
        <f t="shared" si="5"/>
        <v>0</v>
      </c>
      <c r="AC34" s="30">
        <f t="shared" si="5"/>
        <v>0</v>
      </c>
      <c r="AD34" s="30">
        <f t="shared" si="5"/>
        <v>1156</v>
      </c>
      <c r="AE34" s="30">
        <f t="shared" si="5"/>
        <v>123</v>
      </c>
      <c r="AF34" s="30">
        <f t="shared" si="5"/>
        <v>0</v>
      </c>
      <c r="AG34" s="30">
        <f t="shared" si="5"/>
        <v>0</v>
      </c>
      <c r="AH34" s="30">
        <f t="shared" si="5"/>
        <v>252</v>
      </c>
      <c r="AI34" s="30">
        <f t="shared" si="5"/>
        <v>0</v>
      </c>
      <c r="AJ34" s="30">
        <f t="shared" si="5"/>
        <v>0</v>
      </c>
      <c r="AK34" s="30">
        <f t="shared" si="5"/>
        <v>146</v>
      </c>
      <c r="AL34" s="30">
        <f t="shared" si="5"/>
        <v>0</v>
      </c>
      <c r="AM34" s="30">
        <f t="shared" si="5"/>
        <v>0</v>
      </c>
      <c r="AN34" s="30">
        <f t="shared" si="5"/>
        <v>0</v>
      </c>
      <c r="AO34" s="30">
        <f t="shared" si="5"/>
        <v>33</v>
      </c>
      <c r="AP34" s="30">
        <f t="shared" si="5"/>
        <v>0</v>
      </c>
      <c r="AQ34" s="30">
        <f t="shared" si="5"/>
        <v>0</v>
      </c>
      <c r="AR34" s="30">
        <f t="shared" si="5"/>
        <v>0</v>
      </c>
      <c r="AS34" s="30">
        <f t="shared" si="5"/>
        <v>0</v>
      </c>
      <c r="AT34" s="30">
        <f t="shared" si="5"/>
        <v>0</v>
      </c>
      <c r="AU34" s="30">
        <f t="shared" si="5"/>
        <v>171</v>
      </c>
      <c r="AV34" s="30">
        <f t="shared" si="5"/>
        <v>72</v>
      </c>
      <c r="AW34" s="30">
        <f t="shared" si="5"/>
        <v>826</v>
      </c>
      <c r="AX34" s="30">
        <f t="shared" si="5"/>
        <v>1161</v>
      </c>
      <c r="AY34" s="30">
        <f t="shared" si="5"/>
        <v>58</v>
      </c>
      <c r="AZ34" s="30">
        <f t="shared" si="5"/>
        <v>0</v>
      </c>
      <c r="BA34" s="30">
        <f t="shared" si="5"/>
        <v>1374</v>
      </c>
      <c r="BB34" s="30">
        <f t="shared" si="5"/>
        <v>0</v>
      </c>
      <c r="BC34" s="30">
        <f t="shared" si="5"/>
        <v>314</v>
      </c>
      <c r="BD34" s="30">
        <f t="shared" si="5"/>
        <v>1736</v>
      </c>
      <c r="BE34" s="30">
        <f t="shared" si="5"/>
        <v>586</v>
      </c>
      <c r="BF34" s="30">
        <f t="shared" si="5"/>
        <v>0</v>
      </c>
      <c r="BG34" s="30">
        <f t="shared" si="5"/>
        <v>0</v>
      </c>
      <c r="BH34" s="30">
        <f t="shared" si="5"/>
        <v>103</v>
      </c>
      <c r="BI34" s="30">
        <f t="shared" si="5"/>
        <v>821</v>
      </c>
      <c r="BJ34" s="30">
        <f t="shared" si="5"/>
        <v>0</v>
      </c>
      <c r="BK34" s="30">
        <f t="shared" si="5"/>
        <v>0</v>
      </c>
      <c r="BL34" s="30">
        <f t="shared" si="5"/>
        <v>0</v>
      </c>
      <c r="BM34" s="30">
        <f t="shared" si="5"/>
        <v>0</v>
      </c>
      <c r="BN34" s="30">
        <f t="shared" si="5"/>
        <v>492</v>
      </c>
      <c r="BO34" s="30">
        <f t="shared" si="5"/>
        <v>0</v>
      </c>
      <c r="BP34" s="30">
        <f t="shared" si="5"/>
        <v>0</v>
      </c>
      <c r="BQ34" s="30">
        <f t="shared" ref="BQ34:EB34" si="6">SUM(BQ3:BQ33)</f>
        <v>0</v>
      </c>
      <c r="BR34" s="30">
        <f t="shared" si="6"/>
        <v>0</v>
      </c>
      <c r="BS34" s="30">
        <f t="shared" si="6"/>
        <v>340</v>
      </c>
      <c r="BT34" s="30">
        <f t="shared" si="6"/>
        <v>0</v>
      </c>
      <c r="BU34" s="30">
        <f t="shared" si="6"/>
        <v>0</v>
      </c>
      <c r="BV34" s="30">
        <f t="shared" si="6"/>
        <v>0</v>
      </c>
      <c r="BW34" s="30">
        <f t="shared" si="6"/>
        <v>0</v>
      </c>
      <c r="BX34" s="30">
        <f t="shared" si="6"/>
        <v>0</v>
      </c>
      <c r="BY34" s="30">
        <f t="shared" si="6"/>
        <v>0</v>
      </c>
      <c r="BZ34" s="30">
        <f t="shared" si="6"/>
        <v>101</v>
      </c>
      <c r="CA34" s="30">
        <f t="shared" si="6"/>
        <v>0</v>
      </c>
      <c r="CB34" s="30">
        <f t="shared" si="6"/>
        <v>0</v>
      </c>
      <c r="CC34" s="30">
        <f t="shared" si="6"/>
        <v>481</v>
      </c>
      <c r="CD34" s="30">
        <f t="shared" si="6"/>
        <v>3097</v>
      </c>
      <c r="CE34" s="30">
        <f t="shared" si="6"/>
        <v>0</v>
      </c>
      <c r="CF34" s="30">
        <f t="shared" si="6"/>
        <v>170</v>
      </c>
      <c r="CG34" s="30">
        <f t="shared" si="6"/>
        <v>0</v>
      </c>
      <c r="CH34" s="30">
        <f t="shared" si="6"/>
        <v>965</v>
      </c>
      <c r="CI34" s="30">
        <f t="shared" si="6"/>
        <v>0</v>
      </c>
      <c r="CJ34" s="30">
        <f t="shared" si="6"/>
        <v>0</v>
      </c>
      <c r="CK34" s="30">
        <f t="shared" si="6"/>
        <v>0</v>
      </c>
      <c r="CL34" s="30">
        <f t="shared" si="6"/>
        <v>0</v>
      </c>
      <c r="CM34" s="30">
        <f t="shared" si="6"/>
        <v>0</v>
      </c>
      <c r="CN34" s="30">
        <f t="shared" si="6"/>
        <v>947</v>
      </c>
      <c r="CO34" s="30">
        <f t="shared" si="6"/>
        <v>26</v>
      </c>
      <c r="CP34" s="30">
        <f t="shared" si="6"/>
        <v>0</v>
      </c>
      <c r="CQ34" s="30">
        <f t="shared" si="6"/>
        <v>0</v>
      </c>
      <c r="CR34" s="30">
        <f t="shared" si="6"/>
        <v>434</v>
      </c>
      <c r="CS34" s="30">
        <f t="shared" si="6"/>
        <v>107</v>
      </c>
      <c r="CT34" s="30">
        <f t="shared" si="6"/>
        <v>624</v>
      </c>
      <c r="CU34" s="30">
        <f t="shared" si="6"/>
        <v>0</v>
      </c>
      <c r="CV34" s="30">
        <f t="shared" si="6"/>
        <v>114</v>
      </c>
      <c r="CW34" s="30">
        <f t="shared" si="6"/>
        <v>0</v>
      </c>
      <c r="CX34" s="30">
        <f t="shared" si="6"/>
        <v>0</v>
      </c>
      <c r="CY34" s="30">
        <f t="shared" si="6"/>
        <v>109</v>
      </c>
      <c r="CZ34" s="30">
        <f t="shared" si="6"/>
        <v>567</v>
      </c>
      <c r="DA34" s="30">
        <f t="shared" si="6"/>
        <v>746</v>
      </c>
      <c r="DB34" s="30">
        <f t="shared" si="6"/>
        <v>0</v>
      </c>
      <c r="DC34" s="30">
        <f t="shared" si="6"/>
        <v>0</v>
      </c>
      <c r="DD34" s="30">
        <f t="shared" si="6"/>
        <v>496</v>
      </c>
      <c r="DE34" s="30">
        <f t="shared" si="6"/>
        <v>82</v>
      </c>
      <c r="DF34" s="30">
        <f t="shared" si="6"/>
        <v>0</v>
      </c>
      <c r="DG34" s="30">
        <f t="shared" si="6"/>
        <v>0</v>
      </c>
      <c r="DH34" s="30">
        <f t="shared" si="6"/>
        <v>0</v>
      </c>
      <c r="DI34" s="30">
        <f t="shared" si="6"/>
        <v>0</v>
      </c>
      <c r="DJ34" s="30">
        <f t="shared" si="6"/>
        <v>0</v>
      </c>
      <c r="DK34" s="30">
        <f t="shared" si="6"/>
        <v>124</v>
      </c>
      <c r="DL34" s="30">
        <f t="shared" si="6"/>
        <v>253</v>
      </c>
      <c r="DM34" s="30">
        <f t="shared" si="6"/>
        <v>0</v>
      </c>
      <c r="DN34" s="30">
        <f t="shared" si="6"/>
        <v>1480</v>
      </c>
      <c r="DO34" s="30">
        <f t="shared" si="6"/>
        <v>152</v>
      </c>
      <c r="DP34" s="30">
        <f t="shared" si="6"/>
        <v>175</v>
      </c>
      <c r="DQ34" s="30">
        <f t="shared" si="6"/>
        <v>0</v>
      </c>
      <c r="DR34" s="30">
        <f t="shared" si="6"/>
        <v>0</v>
      </c>
      <c r="DS34" s="30">
        <f t="shared" si="6"/>
        <v>978</v>
      </c>
      <c r="DT34" s="30">
        <f t="shared" si="6"/>
        <v>0</v>
      </c>
      <c r="DU34" s="30">
        <f t="shared" si="6"/>
        <v>385</v>
      </c>
      <c r="DV34" s="30">
        <f t="shared" si="6"/>
        <v>0</v>
      </c>
      <c r="DW34" s="30">
        <f t="shared" si="6"/>
        <v>0</v>
      </c>
      <c r="DX34" s="30">
        <f t="shared" si="6"/>
        <v>603</v>
      </c>
      <c r="DY34" s="30">
        <f t="shared" si="6"/>
        <v>799</v>
      </c>
      <c r="DZ34" s="30">
        <f t="shared" si="6"/>
        <v>594</v>
      </c>
      <c r="EA34" s="30">
        <f t="shared" si="6"/>
        <v>0</v>
      </c>
      <c r="EB34" s="30">
        <f t="shared" si="6"/>
        <v>811</v>
      </c>
      <c r="EC34" s="30">
        <f t="shared" ref="EC34:GN34" si="7">SUM(EC3:EC33)</f>
        <v>0</v>
      </c>
      <c r="ED34" s="30">
        <f t="shared" si="7"/>
        <v>0</v>
      </c>
      <c r="EE34" s="30">
        <f t="shared" si="7"/>
        <v>0</v>
      </c>
      <c r="EF34" s="30">
        <f t="shared" si="7"/>
        <v>0</v>
      </c>
      <c r="EG34" s="30">
        <f t="shared" si="7"/>
        <v>0</v>
      </c>
      <c r="EH34" s="30">
        <f t="shared" si="7"/>
        <v>157</v>
      </c>
      <c r="EI34" s="30">
        <f t="shared" si="7"/>
        <v>0</v>
      </c>
      <c r="EJ34" s="30">
        <f t="shared" si="7"/>
        <v>645</v>
      </c>
      <c r="EK34" s="30">
        <f t="shared" si="7"/>
        <v>728</v>
      </c>
      <c r="EL34" s="30">
        <f t="shared" si="7"/>
        <v>0</v>
      </c>
      <c r="EM34" s="30">
        <f t="shared" si="7"/>
        <v>0</v>
      </c>
      <c r="EN34" s="30">
        <f t="shared" si="7"/>
        <v>0</v>
      </c>
      <c r="EO34" s="30">
        <f t="shared" si="7"/>
        <v>729</v>
      </c>
      <c r="EP34" s="30">
        <f t="shared" si="7"/>
        <v>0</v>
      </c>
      <c r="EQ34" s="30">
        <f t="shared" si="7"/>
        <v>0</v>
      </c>
      <c r="ER34" s="30">
        <f t="shared" si="7"/>
        <v>389</v>
      </c>
      <c r="ES34" s="30">
        <f t="shared" si="7"/>
        <v>0</v>
      </c>
      <c r="ET34" s="30">
        <f t="shared" si="7"/>
        <v>0</v>
      </c>
      <c r="EU34" s="30">
        <f t="shared" si="7"/>
        <v>1362</v>
      </c>
      <c r="EV34" s="30">
        <f t="shared" si="7"/>
        <v>1387</v>
      </c>
      <c r="EW34" s="30">
        <f t="shared" si="7"/>
        <v>444</v>
      </c>
      <c r="EX34" s="30">
        <f t="shared" si="7"/>
        <v>530</v>
      </c>
      <c r="EY34" s="30">
        <f t="shared" si="7"/>
        <v>508</v>
      </c>
      <c r="EZ34" s="30">
        <f t="shared" si="7"/>
        <v>254</v>
      </c>
      <c r="FA34" s="30">
        <f t="shared" si="7"/>
        <v>0</v>
      </c>
      <c r="FB34" s="30">
        <f t="shared" si="7"/>
        <v>370</v>
      </c>
      <c r="FC34" s="30">
        <f t="shared" si="7"/>
        <v>0</v>
      </c>
      <c r="FD34" s="30">
        <f t="shared" si="7"/>
        <v>98</v>
      </c>
      <c r="FE34" s="30">
        <f t="shared" si="7"/>
        <v>0</v>
      </c>
      <c r="FF34" s="30">
        <f t="shared" si="7"/>
        <v>172</v>
      </c>
      <c r="FG34" s="30">
        <f t="shared" si="7"/>
        <v>0</v>
      </c>
      <c r="FH34" s="30">
        <f t="shared" si="7"/>
        <v>4160</v>
      </c>
      <c r="FI34" s="30">
        <f t="shared" si="7"/>
        <v>0</v>
      </c>
      <c r="FJ34" s="30">
        <f t="shared" si="7"/>
        <v>0</v>
      </c>
      <c r="FK34" s="30">
        <f t="shared" si="7"/>
        <v>0</v>
      </c>
      <c r="FL34" s="30">
        <f t="shared" si="7"/>
        <v>0</v>
      </c>
      <c r="FM34" s="30">
        <f t="shared" si="7"/>
        <v>0</v>
      </c>
      <c r="FN34" s="30">
        <f t="shared" si="7"/>
        <v>0</v>
      </c>
      <c r="FO34" s="30">
        <f t="shared" si="7"/>
        <v>846</v>
      </c>
      <c r="FP34" s="30">
        <f t="shared" si="7"/>
        <v>0</v>
      </c>
      <c r="FQ34" s="30">
        <f t="shared" si="7"/>
        <v>1636</v>
      </c>
      <c r="FR34" s="30">
        <f t="shared" si="7"/>
        <v>0</v>
      </c>
      <c r="FS34" s="30">
        <f t="shared" si="7"/>
        <v>1463</v>
      </c>
      <c r="FT34" s="30">
        <f t="shared" si="7"/>
        <v>785</v>
      </c>
      <c r="FU34" s="30">
        <f t="shared" si="7"/>
        <v>0</v>
      </c>
      <c r="FV34" s="30">
        <f t="shared" si="7"/>
        <v>0</v>
      </c>
      <c r="FW34" s="30">
        <f t="shared" si="7"/>
        <v>0</v>
      </c>
      <c r="FX34" s="30">
        <f t="shared" si="7"/>
        <v>0</v>
      </c>
      <c r="FY34" s="30">
        <f t="shared" si="7"/>
        <v>616</v>
      </c>
      <c r="FZ34" s="30">
        <f t="shared" si="7"/>
        <v>804</v>
      </c>
      <c r="GA34" s="30">
        <f t="shared" si="7"/>
        <v>32</v>
      </c>
      <c r="GB34" s="30">
        <f t="shared" si="7"/>
        <v>5</v>
      </c>
      <c r="GC34" s="30">
        <f t="shared" si="7"/>
        <v>0</v>
      </c>
      <c r="GD34" s="30">
        <f t="shared" si="7"/>
        <v>0</v>
      </c>
      <c r="GE34" s="30">
        <f t="shared" si="7"/>
        <v>1227</v>
      </c>
      <c r="GF34" s="30">
        <f t="shared" si="7"/>
        <v>647</v>
      </c>
      <c r="GG34" s="30">
        <f t="shared" si="7"/>
        <v>0</v>
      </c>
      <c r="GH34" s="30">
        <f t="shared" si="7"/>
        <v>0</v>
      </c>
      <c r="GI34" s="30">
        <f t="shared" si="7"/>
        <v>85</v>
      </c>
      <c r="GJ34" s="30">
        <f t="shared" si="7"/>
        <v>0</v>
      </c>
      <c r="GK34" s="30">
        <f t="shared" si="7"/>
        <v>1081</v>
      </c>
      <c r="GL34" s="30">
        <f t="shared" si="7"/>
        <v>723</v>
      </c>
      <c r="GM34" s="30">
        <f t="shared" si="7"/>
        <v>0</v>
      </c>
      <c r="GN34" s="30">
        <f t="shared" si="7"/>
        <v>0</v>
      </c>
      <c r="GO34" s="30">
        <f t="shared" ref="GO34:GV34" si="8">SUM(GO3:GO33)</f>
        <v>995</v>
      </c>
      <c r="GP34" s="30">
        <f t="shared" si="8"/>
        <v>0</v>
      </c>
      <c r="GQ34" s="30">
        <f t="shared" si="8"/>
        <v>0</v>
      </c>
      <c r="GR34" s="30">
        <f t="shared" si="8"/>
        <v>0</v>
      </c>
      <c r="GS34" s="30">
        <f t="shared" si="8"/>
        <v>0</v>
      </c>
      <c r="GT34" s="30">
        <f t="shared" si="8"/>
        <v>0</v>
      </c>
      <c r="GU34" s="30">
        <f t="shared" si="8"/>
        <v>0</v>
      </c>
      <c r="GV34" s="30">
        <f t="shared" si="8"/>
        <v>0</v>
      </c>
    </row>
    <row r="35" spans="1:204">
      <c r="A35" s="31"/>
      <c r="B35" s="31"/>
      <c r="C35" s="28">
        <f>C34+'Payroll MRO'!C34</f>
        <v>118326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/>
      <c r="FB35" s="187"/>
    </row>
  </sheetData>
  <mergeCells count="4">
    <mergeCell ref="A1:A2"/>
    <mergeCell ref="B1:B2"/>
    <mergeCell ref="C1:C2"/>
    <mergeCell ref="A34:B34"/>
  </mergeCells>
  <conditionalFormatting sqref="C35">
    <cfRule type="cellIs" dxfId="36" priority="25" operator="greaterThan">
      <formula>0</formula>
    </cfRule>
  </conditionalFormatting>
  <conditionalFormatting sqref="D3:GV33">
    <cfRule type="cellIs" dxfId="35" priority="2" operator="greaterThan">
      <formula>0</formula>
    </cfRule>
    <cfRule type="cellIs" dxfId="34" priority="3" operator="lessThan">
      <formula>1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9A752550-A6A6-4284-BBA5-54AB42172544}">
            <xm:f>NOT(ISERROR(SEARCH("-",D3)))</xm:f>
            <xm:f>"-"</xm:f>
            <x14:dxf>
              <fill>
                <patternFill>
                  <bgColor rgb="FFFFFF00"/>
                </patternFill>
              </fill>
            </x14:dxf>
          </x14:cfRule>
          <xm:sqref>D3:GV33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8477-EC84-477D-9767-FF1C618EBD06}">
  <dimension ref="A1:GV37"/>
  <sheetViews>
    <sheetView zoomScale="80" zoomScaleNormal="80" workbookViewId="0">
      <pane xSplit="4" ySplit="2" topLeftCell="E3" activePane="bottomRight" state="frozen"/>
      <selection pane="bottomRight" activeCell="B35" sqref="B35"/>
      <selection pane="bottomLeft" activeCell="A3" sqref="A3"/>
      <selection pane="topRight" activeCell="E1" sqref="E1"/>
    </sheetView>
  </sheetViews>
  <sheetFormatPr defaultColWidth="16" defaultRowHeight="14.45"/>
  <cols>
    <col min="1" max="1" width="9.140625" bestFit="1" customWidth="1"/>
    <col min="2" max="2" width="5.42578125" bestFit="1" customWidth="1"/>
    <col min="3" max="3" width="9.28515625" bestFit="1" customWidth="1"/>
    <col min="4" max="4" width="16.140625" bestFit="1" customWidth="1"/>
    <col min="5" max="5" width="14.140625" bestFit="1" customWidth="1"/>
    <col min="6" max="6" width="11.85546875" bestFit="1" customWidth="1"/>
    <col min="7" max="7" width="11.7109375" bestFit="1" customWidth="1"/>
    <col min="8" max="8" width="9.85546875" bestFit="1" customWidth="1"/>
    <col min="9" max="9" width="10.5703125" bestFit="1" customWidth="1"/>
    <col min="10" max="10" width="14.42578125" bestFit="1" customWidth="1"/>
    <col min="11" max="11" width="17.42578125" bestFit="1" customWidth="1"/>
    <col min="12" max="12" width="12.140625" bestFit="1" customWidth="1"/>
    <col min="13" max="13" width="11.5703125" bestFit="1" customWidth="1"/>
    <col min="14" max="14" width="12.28515625" bestFit="1" customWidth="1"/>
    <col min="15" max="15" width="11.85546875" bestFit="1" customWidth="1"/>
    <col min="16" max="16" width="16.28515625" bestFit="1" customWidth="1"/>
    <col min="17" max="17" width="11" bestFit="1" customWidth="1"/>
    <col min="18" max="18" width="12.7109375" bestFit="1" customWidth="1"/>
    <col min="19" max="19" width="13.28515625" bestFit="1" customWidth="1"/>
    <col min="20" max="20" width="18.85546875" bestFit="1" customWidth="1"/>
    <col min="21" max="21" width="14.28515625" bestFit="1" customWidth="1"/>
    <col min="22" max="22" width="24.5703125" bestFit="1" customWidth="1"/>
    <col min="23" max="24" width="14" bestFit="1" customWidth="1"/>
    <col min="25" max="25" width="21.28515625" bestFit="1" customWidth="1"/>
    <col min="26" max="26" width="13.7109375" bestFit="1" customWidth="1"/>
    <col min="27" max="27" width="14.5703125" bestFit="1" customWidth="1"/>
    <col min="28" max="28" width="14.85546875" bestFit="1" customWidth="1"/>
    <col min="29" max="29" width="20.140625" bestFit="1" customWidth="1"/>
    <col min="30" max="30" width="11.7109375" bestFit="1" customWidth="1"/>
    <col min="31" max="31" width="14.42578125" bestFit="1" customWidth="1"/>
    <col min="32" max="32" width="10.5703125" bestFit="1" customWidth="1"/>
    <col min="33" max="34" width="16.7109375" bestFit="1" customWidth="1"/>
    <col min="35" max="35" width="12.42578125" bestFit="1" customWidth="1"/>
    <col min="36" max="36" width="22.85546875" bestFit="1" customWidth="1"/>
    <col min="37" max="37" width="18.85546875" bestFit="1" customWidth="1"/>
    <col min="38" max="38" width="9.28515625" bestFit="1" customWidth="1"/>
    <col min="39" max="39" width="20.140625" bestFit="1" customWidth="1"/>
    <col min="40" max="40" width="9.7109375" bestFit="1" customWidth="1"/>
    <col min="41" max="41" width="13.42578125" bestFit="1" customWidth="1"/>
    <col min="42" max="42" width="15.140625" bestFit="1" customWidth="1"/>
    <col min="43" max="43" width="10.5703125" bestFit="1" customWidth="1"/>
    <col min="44" max="44" width="13.42578125" bestFit="1" customWidth="1"/>
    <col min="45" max="45" width="11.28515625" bestFit="1" customWidth="1"/>
    <col min="46" max="46" width="10" bestFit="1" customWidth="1"/>
    <col min="47" max="47" width="8.85546875" bestFit="1" customWidth="1"/>
    <col min="48" max="48" width="15.140625" bestFit="1" customWidth="1"/>
    <col min="49" max="49" width="15.7109375" bestFit="1" customWidth="1"/>
    <col min="50" max="50" width="28.85546875" bestFit="1" customWidth="1"/>
    <col min="51" max="51" width="14.5703125" bestFit="1" customWidth="1"/>
    <col min="52" max="52" width="15.42578125" bestFit="1" customWidth="1"/>
    <col min="53" max="53" width="13.42578125" bestFit="1" customWidth="1"/>
    <col min="54" max="54" width="11.85546875" bestFit="1" customWidth="1"/>
    <col min="55" max="55" width="8.85546875" bestFit="1" customWidth="1"/>
    <col min="56" max="56" width="11.28515625" bestFit="1" customWidth="1"/>
    <col min="57" max="57" width="21.7109375" bestFit="1" customWidth="1"/>
    <col min="58" max="58" width="9.140625" bestFit="1" customWidth="1"/>
    <col min="59" max="59" width="13.28515625" bestFit="1" customWidth="1"/>
    <col min="60" max="60" width="8.85546875" bestFit="1" customWidth="1"/>
    <col min="61" max="61" width="21" bestFit="1" customWidth="1"/>
    <col min="62" max="62" width="14.140625" bestFit="1" customWidth="1"/>
    <col min="63" max="63" width="14.42578125" bestFit="1" customWidth="1"/>
    <col min="64" max="64" width="12.7109375" bestFit="1" customWidth="1"/>
    <col min="65" max="65" width="18.28515625" bestFit="1" customWidth="1"/>
    <col min="66" max="66" width="9.7109375" bestFit="1" customWidth="1"/>
    <col min="67" max="68" width="20.42578125" bestFit="1" customWidth="1"/>
    <col min="69" max="69" width="14.7109375" bestFit="1" customWidth="1"/>
    <col min="70" max="70" width="16.28515625" bestFit="1" customWidth="1"/>
    <col min="71" max="71" width="11.28515625" bestFit="1" customWidth="1"/>
    <col min="72" max="72" width="14.5703125" bestFit="1" customWidth="1"/>
    <col min="73" max="73" width="20.42578125" bestFit="1" customWidth="1"/>
    <col min="74" max="74" width="10.140625" bestFit="1" customWidth="1"/>
    <col min="75" max="75" width="16" bestFit="1" customWidth="1"/>
    <col min="76" max="76" width="22.85546875" bestFit="1" customWidth="1"/>
    <col min="77" max="77" width="13.7109375" bestFit="1" customWidth="1"/>
    <col min="78" max="78" width="11.140625" bestFit="1" customWidth="1"/>
    <col min="79" max="79" width="12.42578125" bestFit="1" customWidth="1"/>
    <col min="80" max="80" width="11.28515625" bestFit="1" customWidth="1"/>
    <col min="81" max="81" width="13" bestFit="1" customWidth="1"/>
    <col min="82" max="82" width="18.42578125" bestFit="1" customWidth="1"/>
    <col min="83" max="83" width="11.7109375" bestFit="1" customWidth="1"/>
    <col min="84" max="84" width="11.28515625" bestFit="1" customWidth="1"/>
    <col min="85" max="85" width="11.85546875" bestFit="1" customWidth="1"/>
    <col min="86" max="86" width="19.5703125" bestFit="1" customWidth="1"/>
    <col min="87" max="87" width="10.28515625" bestFit="1" customWidth="1"/>
    <col min="88" max="88" width="13.5703125" bestFit="1" customWidth="1"/>
    <col min="89" max="89" width="14.85546875" bestFit="1" customWidth="1"/>
    <col min="90" max="90" width="10.7109375" bestFit="1" customWidth="1"/>
    <col min="91" max="91" width="9.7109375" bestFit="1" customWidth="1"/>
    <col min="92" max="92" width="21.5703125" bestFit="1" customWidth="1"/>
    <col min="93" max="93" width="24.140625" bestFit="1" customWidth="1"/>
    <col min="94" max="94" width="11.28515625" bestFit="1" customWidth="1"/>
    <col min="95" max="95" width="13.28515625" bestFit="1" customWidth="1"/>
    <col min="96" max="96" width="14.28515625" bestFit="1" customWidth="1"/>
    <col min="97" max="97" width="22.140625" bestFit="1" customWidth="1"/>
    <col min="98" max="98" width="23.7109375" bestFit="1" customWidth="1"/>
    <col min="99" max="99" width="12.85546875" bestFit="1" customWidth="1"/>
    <col min="100" max="100" width="11.85546875" bestFit="1" customWidth="1"/>
    <col min="101" max="101" width="23.28515625" bestFit="1" customWidth="1"/>
    <col min="102" max="102" width="21.7109375" bestFit="1" customWidth="1"/>
    <col min="103" max="103" width="10.28515625" bestFit="1" customWidth="1"/>
    <col min="104" max="104" width="11.28515625" bestFit="1" customWidth="1"/>
    <col min="105" max="105" width="17.7109375" bestFit="1" customWidth="1"/>
    <col min="106" max="106" width="14.42578125" bestFit="1" customWidth="1"/>
    <col min="107" max="107" width="10.7109375" bestFit="1" customWidth="1"/>
    <col min="108" max="108" width="17.7109375" bestFit="1" customWidth="1"/>
    <col min="109" max="109" width="21" bestFit="1" customWidth="1"/>
    <col min="110" max="110" width="15.5703125" bestFit="1" customWidth="1"/>
    <col min="111" max="111" width="13" bestFit="1" customWidth="1"/>
    <col min="112" max="112" width="24.140625" bestFit="1" customWidth="1"/>
    <col min="113" max="113" width="16.140625" bestFit="1" customWidth="1"/>
    <col min="114" max="114" width="23.28515625" bestFit="1" customWidth="1"/>
    <col min="115" max="115" width="9.5703125" bestFit="1" customWidth="1"/>
    <col min="116" max="116" width="14" bestFit="1" customWidth="1"/>
    <col min="117" max="117" width="18.85546875" bestFit="1" customWidth="1"/>
    <col min="118" max="118" width="15.7109375" bestFit="1" customWidth="1"/>
    <col min="119" max="119" width="12.28515625" bestFit="1" customWidth="1"/>
    <col min="120" max="120" width="17.85546875" bestFit="1" customWidth="1"/>
    <col min="121" max="121" width="28.5703125" bestFit="1" customWidth="1"/>
    <col min="122" max="122" width="18.85546875" bestFit="1" customWidth="1"/>
    <col min="123" max="123" width="20.42578125" bestFit="1" customWidth="1"/>
    <col min="124" max="124" width="16.28515625" bestFit="1" customWidth="1"/>
    <col min="125" max="125" width="21.28515625" bestFit="1" customWidth="1"/>
    <col min="126" max="126" width="10" bestFit="1" customWidth="1"/>
    <col min="127" max="127" width="11.28515625" bestFit="1" customWidth="1"/>
    <col min="128" max="128" width="14.7109375" bestFit="1" customWidth="1"/>
    <col min="129" max="129" width="14" bestFit="1" customWidth="1"/>
    <col min="130" max="130" width="10.42578125" bestFit="1" customWidth="1"/>
    <col min="131" max="131" width="13.28515625" bestFit="1" customWidth="1"/>
    <col min="132" max="132" width="18.7109375" bestFit="1" customWidth="1"/>
    <col min="133" max="133" width="12.85546875" bestFit="1" customWidth="1"/>
    <col min="134" max="134" width="24.85546875" bestFit="1" customWidth="1"/>
    <col min="135" max="135" width="13.85546875" bestFit="1" customWidth="1"/>
    <col min="136" max="136" width="11.7109375" bestFit="1" customWidth="1"/>
    <col min="137" max="137" width="9.42578125" bestFit="1" customWidth="1"/>
    <col min="138" max="138" width="11.28515625" bestFit="1" customWidth="1"/>
    <col min="139" max="139" width="10.7109375" bestFit="1" customWidth="1"/>
    <col min="140" max="140" width="10.42578125" bestFit="1" customWidth="1"/>
    <col min="141" max="141" width="18.28515625" bestFit="1" customWidth="1"/>
    <col min="142" max="142" width="16.7109375" bestFit="1" customWidth="1"/>
    <col min="143" max="143" width="12.85546875" bestFit="1" customWidth="1"/>
    <col min="144" max="144" width="13.42578125" bestFit="1" customWidth="1"/>
    <col min="145" max="145" width="14" bestFit="1" customWidth="1"/>
    <col min="146" max="146" width="16" bestFit="1" customWidth="1"/>
    <col min="147" max="147" width="11.85546875" bestFit="1" customWidth="1"/>
    <col min="148" max="148" width="13.7109375" bestFit="1" customWidth="1"/>
    <col min="149" max="149" width="19" bestFit="1" customWidth="1"/>
    <col min="150" max="150" width="13.85546875" bestFit="1" customWidth="1"/>
    <col min="151" max="151" width="16.140625" bestFit="1" customWidth="1"/>
    <col min="152" max="152" width="18.42578125" bestFit="1" customWidth="1"/>
    <col min="153" max="153" width="15.42578125" bestFit="1" customWidth="1"/>
    <col min="154" max="154" width="17.85546875" bestFit="1" customWidth="1"/>
    <col min="155" max="155" width="12.7109375" bestFit="1" customWidth="1"/>
    <col min="156" max="156" width="15.7109375" bestFit="1" customWidth="1"/>
    <col min="157" max="157" width="17.42578125" bestFit="1" customWidth="1"/>
    <col min="158" max="158" width="14.28515625" bestFit="1" customWidth="1"/>
    <col min="159" max="159" width="12.28515625" bestFit="1" customWidth="1"/>
    <col min="160" max="160" width="11.7109375" bestFit="1" customWidth="1"/>
    <col min="161" max="161" width="10.42578125" bestFit="1" customWidth="1"/>
    <col min="162" max="162" width="11.7109375" bestFit="1" customWidth="1"/>
    <col min="163" max="163" width="17.7109375" bestFit="1" customWidth="1"/>
    <col min="164" max="165" width="13.7109375" bestFit="1" customWidth="1"/>
    <col min="166" max="166" width="13" bestFit="1" customWidth="1"/>
    <col min="167" max="167" width="8.85546875" bestFit="1" customWidth="1"/>
    <col min="168" max="168" width="11" bestFit="1" customWidth="1"/>
    <col min="169" max="169" width="12.7109375" bestFit="1" customWidth="1"/>
    <col min="170" max="170" width="23.5703125" bestFit="1" customWidth="1"/>
    <col min="171" max="171" width="15.5703125" bestFit="1" customWidth="1"/>
    <col min="172" max="172" width="17.28515625" bestFit="1" customWidth="1"/>
    <col min="173" max="173" width="22.7109375" bestFit="1" customWidth="1"/>
    <col min="174" max="174" width="13.7109375" bestFit="1" customWidth="1"/>
    <col min="175" max="175" width="17.7109375" bestFit="1" customWidth="1"/>
    <col min="176" max="176" width="12.42578125" bestFit="1" customWidth="1"/>
    <col min="177" max="177" width="10.42578125" bestFit="1" customWidth="1"/>
    <col min="178" max="178" width="10.28515625" bestFit="1" customWidth="1"/>
    <col min="179" max="179" width="10.7109375" bestFit="1" customWidth="1"/>
    <col min="180" max="180" width="23.85546875" bestFit="1" customWidth="1"/>
    <col min="181" max="181" width="10.5703125" bestFit="1" customWidth="1"/>
    <col min="182" max="182" width="11.5703125" bestFit="1" customWidth="1"/>
    <col min="183" max="183" width="11.140625" bestFit="1" customWidth="1"/>
    <col min="184" max="184" width="9.7109375" bestFit="1" customWidth="1"/>
    <col min="185" max="185" width="13.42578125" bestFit="1" customWidth="1"/>
    <col min="186" max="186" width="7.28515625" bestFit="1" customWidth="1"/>
    <col min="187" max="187" width="22.28515625" bestFit="1" customWidth="1"/>
    <col min="188" max="188" width="17.7109375" bestFit="1" customWidth="1"/>
    <col min="189" max="189" width="25.7109375" bestFit="1" customWidth="1"/>
    <col min="190" max="190" width="20.5703125" bestFit="1" customWidth="1"/>
    <col min="191" max="191" width="18.85546875" bestFit="1" customWidth="1"/>
    <col min="192" max="192" width="13.28515625" bestFit="1" customWidth="1"/>
    <col min="193" max="193" width="10.7109375" bestFit="1" customWidth="1"/>
    <col min="194" max="195" width="11.28515625" bestFit="1" customWidth="1"/>
    <col min="196" max="196" width="12.42578125" bestFit="1" customWidth="1"/>
    <col min="197" max="197" width="19.140625" bestFit="1" customWidth="1"/>
    <col min="198" max="198" width="19.5703125" bestFit="1" customWidth="1"/>
    <col min="199" max="199" width="12.28515625" bestFit="1" customWidth="1"/>
    <col min="200" max="200" width="17.28515625" bestFit="1" customWidth="1"/>
    <col min="201" max="204" width="2.7109375" bestFit="1" customWidth="1"/>
  </cols>
  <sheetData>
    <row r="1" spans="1:204" ht="23.45">
      <c r="A1" s="217" t="s">
        <v>206</v>
      </c>
      <c r="B1" s="217" t="s">
        <v>207</v>
      </c>
      <c r="C1" s="217" t="s">
        <v>208</v>
      </c>
      <c r="D1" s="1" t="s">
        <v>210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</row>
    <row r="2" spans="1:204">
      <c r="A2" s="217"/>
      <c r="B2" s="217"/>
      <c r="C2" s="217"/>
      <c r="D2" s="145" t="s">
        <v>4</v>
      </c>
      <c r="E2" s="145" t="s">
        <v>5</v>
      </c>
      <c r="F2" s="145" t="s">
        <v>6</v>
      </c>
      <c r="G2" s="145" t="s">
        <v>7</v>
      </c>
      <c r="H2" s="145" t="s">
        <v>8</v>
      </c>
      <c r="I2" s="145" t="s">
        <v>9</v>
      </c>
      <c r="J2" s="145" t="s">
        <v>10</v>
      </c>
      <c r="K2" s="145" t="s">
        <v>11</v>
      </c>
      <c r="L2" s="145" t="s">
        <v>12</v>
      </c>
      <c r="M2" s="145" t="s">
        <v>13</v>
      </c>
      <c r="N2" s="145" t="s">
        <v>14</v>
      </c>
      <c r="O2" s="145" t="s">
        <v>15</v>
      </c>
      <c r="P2" s="145" t="s">
        <v>16</v>
      </c>
      <c r="Q2" s="145" t="s">
        <v>17</v>
      </c>
      <c r="R2" s="145" t="s">
        <v>18</v>
      </c>
      <c r="S2" s="145" t="s">
        <v>19</v>
      </c>
      <c r="T2" s="145" t="s">
        <v>20</v>
      </c>
      <c r="U2" s="145" t="s">
        <v>21</v>
      </c>
      <c r="V2" s="145" t="s">
        <v>22</v>
      </c>
      <c r="W2" s="145" t="s">
        <v>23</v>
      </c>
      <c r="X2" s="145" t="s">
        <v>24</v>
      </c>
      <c r="Y2" s="145" t="s">
        <v>25</v>
      </c>
      <c r="Z2" s="145" t="s">
        <v>26</v>
      </c>
      <c r="AA2" s="145" t="s">
        <v>27</v>
      </c>
      <c r="AB2" s="145" t="s">
        <v>28</v>
      </c>
      <c r="AC2" s="145" t="s">
        <v>29</v>
      </c>
      <c r="AD2" s="152" t="s">
        <v>30</v>
      </c>
      <c r="AE2" s="145" t="s">
        <v>31</v>
      </c>
      <c r="AF2" s="145" t="s">
        <v>32</v>
      </c>
      <c r="AG2" s="145" t="s">
        <v>33</v>
      </c>
      <c r="AH2" s="145" t="s">
        <v>34</v>
      </c>
      <c r="AI2" s="145" t="s">
        <v>35</v>
      </c>
      <c r="AJ2" s="145" t="s">
        <v>36</v>
      </c>
      <c r="AK2" s="145" t="s">
        <v>37</v>
      </c>
      <c r="AL2" s="145" t="s">
        <v>38</v>
      </c>
      <c r="AM2" s="145" t="s">
        <v>39</v>
      </c>
      <c r="AN2" s="145" t="s">
        <v>40</v>
      </c>
      <c r="AO2" s="145" t="s">
        <v>41</v>
      </c>
      <c r="AP2" s="145" t="s">
        <v>42</v>
      </c>
      <c r="AQ2" s="145" t="s">
        <v>43</v>
      </c>
      <c r="AR2" s="145" t="s">
        <v>44</v>
      </c>
      <c r="AS2" s="145" t="s">
        <v>45</v>
      </c>
      <c r="AT2" s="145" t="s">
        <v>46</v>
      </c>
      <c r="AU2" s="145" t="s">
        <v>47</v>
      </c>
      <c r="AV2" s="145" t="s">
        <v>48</v>
      </c>
      <c r="AW2" s="145" t="s">
        <v>49</v>
      </c>
      <c r="AX2" s="145" t="s">
        <v>50</v>
      </c>
      <c r="AY2" s="145" t="s">
        <v>51</v>
      </c>
      <c r="AZ2" s="145" t="s">
        <v>52</v>
      </c>
      <c r="BA2" s="145" t="s">
        <v>53</v>
      </c>
      <c r="BB2" s="145" t="s">
        <v>54</v>
      </c>
      <c r="BC2" s="145" t="s">
        <v>55</v>
      </c>
      <c r="BD2" s="145" t="s">
        <v>56</v>
      </c>
      <c r="BE2" s="145" t="s">
        <v>57</v>
      </c>
      <c r="BF2" s="145" t="s">
        <v>58</v>
      </c>
      <c r="BG2" s="145" t="s">
        <v>59</v>
      </c>
      <c r="BH2" s="145" t="s">
        <v>60</v>
      </c>
      <c r="BI2" s="145" t="s">
        <v>61</v>
      </c>
      <c r="BJ2" s="145" t="s">
        <v>62</v>
      </c>
      <c r="BK2" s="145" t="s">
        <v>63</v>
      </c>
      <c r="BL2" s="145" t="s">
        <v>64</v>
      </c>
      <c r="BM2" s="145" t="s">
        <v>65</v>
      </c>
      <c r="BN2" s="145" t="s">
        <v>66</v>
      </c>
      <c r="BO2" s="145" t="s">
        <v>67</v>
      </c>
      <c r="BP2" s="145" t="s">
        <v>68</v>
      </c>
      <c r="BQ2" s="145" t="s">
        <v>69</v>
      </c>
      <c r="BR2" s="145" t="s">
        <v>70</v>
      </c>
      <c r="BS2" s="145" t="s">
        <v>71</v>
      </c>
      <c r="BT2" s="145" t="s">
        <v>72</v>
      </c>
      <c r="BU2" s="145" t="s">
        <v>73</v>
      </c>
      <c r="BV2" s="145" t="s">
        <v>74</v>
      </c>
      <c r="BW2" s="145" t="s">
        <v>75</v>
      </c>
      <c r="BX2" s="145" t="s">
        <v>76</v>
      </c>
      <c r="BY2" s="145" t="s">
        <v>77</v>
      </c>
      <c r="BZ2" s="145" t="s">
        <v>78</v>
      </c>
      <c r="CA2" s="145" t="s">
        <v>79</v>
      </c>
      <c r="CB2" s="145" t="s">
        <v>80</v>
      </c>
      <c r="CC2" s="145" t="s">
        <v>81</v>
      </c>
      <c r="CD2" s="145" t="s">
        <v>82</v>
      </c>
      <c r="CE2" s="145" t="s">
        <v>83</v>
      </c>
      <c r="CF2" s="145" t="s">
        <v>84</v>
      </c>
      <c r="CG2" s="145" t="s">
        <v>85</v>
      </c>
      <c r="CH2" s="145" t="s">
        <v>86</v>
      </c>
      <c r="CI2" s="145" t="s">
        <v>87</v>
      </c>
      <c r="CJ2" s="145" t="s">
        <v>88</v>
      </c>
      <c r="CK2" s="145" t="s">
        <v>89</v>
      </c>
      <c r="CL2" s="145" t="s">
        <v>90</v>
      </c>
      <c r="CM2" s="145" t="s">
        <v>91</v>
      </c>
      <c r="CN2" s="145" t="s">
        <v>92</v>
      </c>
      <c r="CO2" s="145" t="s">
        <v>93</v>
      </c>
      <c r="CP2" s="145" t="s">
        <v>94</v>
      </c>
      <c r="CQ2" s="145" t="s">
        <v>95</v>
      </c>
      <c r="CR2" s="145" t="s">
        <v>96</v>
      </c>
      <c r="CS2" s="145" t="s">
        <v>97</v>
      </c>
      <c r="CT2" s="145" t="s">
        <v>98</v>
      </c>
      <c r="CU2" s="145" t="s">
        <v>99</v>
      </c>
      <c r="CV2" s="145" t="s">
        <v>100</v>
      </c>
      <c r="CW2" s="145" t="s">
        <v>101</v>
      </c>
      <c r="CX2" s="145" t="s">
        <v>102</v>
      </c>
      <c r="CY2" s="145" t="s">
        <v>103</v>
      </c>
      <c r="CZ2" s="145" t="s">
        <v>104</v>
      </c>
      <c r="DA2" s="145" t="s">
        <v>105</v>
      </c>
      <c r="DB2" s="145" t="s">
        <v>106</v>
      </c>
      <c r="DC2" s="145" t="s">
        <v>107</v>
      </c>
      <c r="DD2" s="145" t="s">
        <v>108</v>
      </c>
      <c r="DE2" s="145" t="s">
        <v>109</v>
      </c>
      <c r="DF2" s="145" t="s">
        <v>110</v>
      </c>
      <c r="DG2" s="145" t="s">
        <v>111</v>
      </c>
      <c r="DH2" s="145" t="s">
        <v>112</v>
      </c>
      <c r="DI2" s="145" t="s">
        <v>113</v>
      </c>
      <c r="DJ2" s="145" t="s">
        <v>114</v>
      </c>
      <c r="DK2" s="145" t="s">
        <v>115</v>
      </c>
      <c r="DL2" s="145" t="s">
        <v>116</v>
      </c>
      <c r="DM2" s="145" t="s">
        <v>117</v>
      </c>
      <c r="DN2" s="145" t="s">
        <v>118</v>
      </c>
      <c r="DO2" s="145" t="s">
        <v>119</v>
      </c>
      <c r="DP2" s="145" t="s">
        <v>120</v>
      </c>
      <c r="DQ2" s="145" t="s">
        <v>121</v>
      </c>
      <c r="DR2" s="145" t="s">
        <v>122</v>
      </c>
      <c r="DS2" s="145" t="s">
        <v>123</v>
      </c>
      <c r="DT2" s="145" t="s">
        <v>124</v>
      </c>
      <c r="DU2" s="145" t="s">
        <v>125</v>
      </c>
      <c r="DV2" s="145" t="s">
        <v>126</v>
      </c>
      <c r="DW2" s="145" t="s">
        <v>127</v>
      </c>
      <c r="DX2" s="145" t="s">
        <v>128</v>
      </c>
      <c r="DY2" s="145" t="s">
        <v>129</v>
      </c>
      <c r="DZ2" s="145" t="s">
        <v>130</v>
      </c>
      <c r="EA2" s="145" t="s">
        <v>131</v>
      </c>
      <c r="EB2" s="145" t="s">
        <v>132</v>
      </c>
      <c r="EC2" s="145" t="s">
        <v>133</v>
      </c>
      <c r="ED2" s="145" t="s">
        <v>134</v>
      </c>
      <c r="EE2" s="145" t="s">
        <v>135</v>
      </c>
      <c r="EF2" s="145" t="s">
        <v>136</v>
      </c>
      <c r="EG2" s="145" t="s">
        <v>137</v>
      </c>
      <c r="EH2" s="145" t="s">
        <v>138</v>
      </c>
      <c r="EI2" s="145" t="s">
        <v>139</v>
      </c>
      <c r="EJ2" s="145" t="s">
        <v>140</v>
      </c>
      <c r="EK2" s="145" t="s">
        <v>141</v>
      </c>
      <c r="EL2" s="145" t="s">
        <v>142</v>
      </c>
      <c r="EM2" s="145" t="s">
        <v>143</v>
      </c>
      <c r="EN2" s="145" t="s">
        <v>144</v>
      </c>
      <c r="EO2" s="145" t="s">
        <v>145</v>
      </c>
      <c r="EP2" s="145" t="s">
        <v>146</v>
      </c>
      <c r="EQ2" s="145" t="s">
        <v>147</v>
      </c>
      <c r="ER2" s="145" t="s">
        <v>148</v>
      </c>
      <c r="ES2" s="145" t="s">
        <v>149</v>
      </c>
      <c r="ET2" s="145" t="s">
        <v>150</v>
      </c>
      <c r="EU2" s="145" t="s">
        <v>151</v>
      </c>
      <c r="EV2" s="145" t="s">
        <v>152</v>
      </c>
      <c r="EW2" s="145" t="s">
        <v>153</v>
      </c>
      <c r="EX2" s="145" t="s">
        <v>154</v>
      </c>
      <c r="EY2" s="145" t="s">
        <v>155</v>
      </c>
      <c r="EZ2" s="145" t="s">
        <v>156</v>
      </c>
      <c r="FA2" s="145" t="s">
        <v>157</v>
      </c>
      <c r="FB2" s="145" t="s">
        <v>158</v>
      </c>
      <c r="FC2" s="145" t="s">
        <v>159</v>
      </c>
      <c r="FD2" s="145" t="s">
        <v>160</v>
      </c>
      <c r="FE2" s="145" t="s">
        <v>161</v>
      </c>
      <c r="FF2" s="145" t="s">
        <v>162</v>
      </c>
      <c r="FG2" s="145" t="s">
        <v>163</v>
      </c>
      <c r="FH2" s="145" t="s">
        <v>164</v>
      </c>
      <c r="FI2" s="145" t="s">
        <v>165</v>
      </c>
      <c r="FJ2" s="145" t="s">
        <v>166</v>
      </c>
      <c r="FK2" s="145" t="s">
        <v>167</v>
      </c>
      <c r="FL2" s="145" t="s">
        <v>168</v>
      </c>
      <c r="FM2" s="145" t="s">
        <v>169</v>
      </c>
      <c r="FN2" s="145" t="s">
        <v>170</v>
      </c>
      <c r="FO2" s="145" t="s">
        <v>171</v>
      </c>
      <c r="FP2" s="145" t="s">
        <v>172</v>
      </c>
      <c r="FQ2" s="145" t="s">
        <v>173</v>
      </c>
      <c r="FR2" s="145" t="s">
        <v>174</v>
      </c>
      <c r="FS2" s="145" t="s">
        <v>175</v>
      </c>
      <c r="FT2" s="145" t="s">
        <v>176</v>
      </c>
      <c r="FU2" s="145" t="s">
        <v>177</v>
      </c>
      <c r="FV2" s="145" t="s">
        <v>178</v>
      </c>
      <c r="FW2" s="145" t="s">
        <v>179</v>
      </c>
      <c r="FX2" s="145" t="s">
        <v>180</v>
      </c>
      <c r="FY2" s="145" t="s">
        <v>181</v>
      </c>
      <c r="FZ2" s="145" t="s">
        <v>182</v>
      </c>
      <c r="GA2" s="145" t="s">
        <v>183</v>
      </c>
      <c r="GB2" s="145" t="s">
        <v>184</v>
      </c>
      <c r="GC2" s="145" t="s">
        <v>185</v>
      </c>
      <c r="GD2" s="145" t="s">
        <v>186</v>
      </c>
      <c r="GE2" s="145" t="s">
        <v>187</v>
      </c>
      <c r="GF2" s="145" t="s">
        <v>188</v>
      </c>
      <c r="GG2" s="145" t="s">
        <v>189</v>
      </c>
      <c r="GH2" s="145" t="s">
        <v>190</v>
      </c>
      <c r="GI2" s="145" t="s">
        <v>191</v>
      </c>
      <c r="GJ2" s="145" t="s">
        <v>192</v>
      </c>
      <c r="GK2" s="145" t="s">
        <v>193</v>
      </c>
      <c r="GL2" s="145" t="s">
        <v>194</v>
      </c>
      <c r="GM2" s="145" t="s">
        <v>195</v>
      </c>
      <c r="GN2" s="145" t="s">
        <v>196</v>
      </c>
      <c r="GO2" s="145" t="s">
        <v>197</v>
      </c>
      <c r="GP2" s="145" t="s">
        <v>198</v>
      </c>
      <c r="GQ2" s="145" t="s">
        <v>199</v>
      </c>
      <c r="GR2" s="145" t="s">
        <v>200</v>
      </c>
      <c r="GS2" s="145"/>
      <c r="GT2" s="145"/>
      <c r="GU2" s="145"/>
      <c r="GV2" s="145"/>
    </row>
    <row r="3" spans="1:204" ht="15.6">
      <c r="A3" s="3">
        <v>46023</v>
      </c>
      <c r="B3" s="4" t="str">
        <f>TEXT(A3,"DDD")</f>
        <v>Thu</v>
      </c>
      <c r="C3" s="147">
        <f t="shared" ref="C3:C32" si="0">SUM(D3:GV3)</f>
        <v>739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4</v>
      </c>
      <c r="X3" s="5">
        <v>0</v>
      </c>
      <c r="Y3" s="5">
        <v>32</v>
      </c>
      <c r="Z3" s="5">
        <v>0</v>
      </c>
      <c r="AA3" s="5">
        <v>0</v>
      </c>
      <c r="AB3" s="5">
        <v>10</v>
      </c>
      <c r="AC3" s="5">
        <v>0</v>
      </c>
      <c r="AD3" s="5">
        <v>0</v>
      </c>
      <c r="AE3" s="5">
        <v>0</v>
      </c>
      <c r="AF3" s="5">
        <v>0</v>
      </c>
      <c r="AG3" s="5">
        <v>51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17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5">
        <v>19</v>
      </c>
      <c r="BY3" s="5">
        <v>0</v>
      </c>
      <c r="BZ3" s="5">
        <v>0</v>
      </c>
      <c r="CA3" s="5">
        <v>0</v>
      </c>
      <c r="CB3" s="5">
        <v>0</v>
      </c>
      <c r="CC3" s="5">
        <v>0</v>
      </c>
      <c r="CD3" s="5">
        <v>27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30</v>
      </c>
      <c r="CK3" s="5">
        <v>0</v>
      </c>
      <c r="CL3" s="5">
        <v>0</v>
      </c>
      <c r="CM3" s="5">
        <v>0</v>
      </c>
      <c r="CN3" s="5">
        <v>0</v>
      </c>
      <c r="CO3" s="5">
        <v>0</v>
      </c>
      <c r="CP3" s="5">
        <v>0</v>
      </c>
      <c r="CQ3" s="5">
        <v>0</v>
      </c>
      <c r="CR3" s="5">
        <v>0</v>
      </c>
      <c r="CS3" s="5">
        <v>0</v>
      </c>
      <c r="CT3" s="5">
        <v>0</v>
      </c>
      <c r="CU3" s="5">
        <v>89</v>
      </c>
      <c r="CV3" s="5">
        <v>0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0</v>
      </c>
      <c r="DD3" s="5">
        <v>0</v>
      </c>
      <c r="DE3" s="5">
        <v>0</v>
      </c>
      <c r="DF3" s="5">
        <v>0</v>
      </c>
      <c r="DG3" s="5">
        <v>0</v>
      </c>
      <c r="DH3" s="5">
        <v>0</v>
      </c>
      <c r="DI3" s="5">
        <v>0</v>
      </c>
      <c r="DJ3" s="5">
        <v>0</v>
      </c>
      <c r="DK3" s="5">
        <v>83</v>
      </c>
      <c r="DL3" s="5">
        <v>0</v>
      </c>
      <c r="DM3" s="5">
        <v>0</v>
      </c>
      <c r="DN3" s="5">
        <v>0</v>
      </c>
      <c r="DO3" s="5">
        <v>0</v>
      </c>
      <c r="DP3" s="5">
        <v>48</v>
      </c>
      <c r="DQ3" s="5">
        <v>0</v>
      </c>
      <c r="DR3" s="5">
        <v>0</v>
      </c>
      <c r="DS3" s="5">
        <v>0</v>
      </c>
      <c r="DT3" s="5">
        <v>0</v>
      </c>
      <c r="DU3" s="5">
        <v>0</v>
      </c>
      <c r="DV3" s="5">
        <v>0</v>
      </c>
      <c r="DW3" s="5">
        <v>0</v>
      </c>
      <c r="DX3" s="5">
        <v>0</v>
      </c>
      <c r="DY3" s="5">
        <v>0</v>
      </c>
      <c r="DZ3" s="5">
        <v>0</v>
      </c>
      <c r="EA3" s="5">
        <v>0</v>
      </c>
      <c r="EB3" s="5">
        <v>0</v>
      </c>
      <c r="EC3" s="5">
        <v>22</v>
      </c>
      <c r="ED3" s="5">
        <v>17</v>
      </c>
      <c r="EE3" s="5">
        <v>12</v>
      </c>
      <c r="EF3" s="5">
        <v>0</v>
      </c>
      <c r="EG3" s="5">
        <v>0</v>
      </c>
      <c r="EH3" s="5">
        <v>0</v>
      </c>
      <c r="EI3" s="5">
        <v>109</v>
      </c>
      <c r="EJ3" s="5">
        <v>0</v>
      </c>
      <c r="EK3" s="5">
        <v>0</v>
      </c>
      <c r="EL3" s="5">
        <v>0</v>
      </c>
      <c r="EM3" s="5">
        <v>0</v>
      </c>
      <c r="EN3" s="5">
        <v>0</v>
      </c>
      <c r="EO3" s="5">
        <v>0</v>
      </c>
      <c r="EP3" s="5">
        <v>0</v>
      </c>
      <c r="EQ3" s="5">
        <v>0</v>
      </c>
      <c r="ER3" s="5">
        <v>0</v>
      </c>
      <c r="ES3" s="5">
        <v>0</v>
      </c>
      <c r="ET3" s="5">
        <v>0</v>
      </c>
      <c r="EU3" s="5">
        <v>0</v>
      </c>
      <c r="EV3" s="5">
        <v>0</v>
      </c>
      <c r="EW3" s="5">
        <v>0</v>
      </c>
      <c r="EX3" s="5">
        <v>0</v>
      </c>
      <c r="EY3" s="5">
        <v>0</v>
      </c>
      <c r="EZ3" s="5">
        <v>0</v>
      </c>
      <c r="FA3" s="5">
        <v>0</v>
      </c>
      <c r="FB3" s="5">
        <v>0</v>
      </c>
      <c r="FC3" s="5">
        <v>0</v>
      </c>
      <c r="FD3" s="5">
        <v>0</v>
      </c>
      <c r="FE3" s="5">
        <v>25</v>
      </c>
      <c r="FF3" s="5">
        <v>14</v>
      </c>
      <c r="FG3" s="5">
        <v>0</v>
      </c>
      <c r="FH3" s="5">
        <v>0</v>
      </c>
      <c r="FI3" s="5">
        <v>0</v>
      </c>
      <c r="FJ3" s="5">
        <v>0</v>
      </c>
      <c r="FK3" s="5">
        <v>3</v>
      </c>
      <c r="FL3" s="5">
        <v>0</v>
      </c>
      <c r="FM3" s="5">
        <v>0</v>
      </c>
      <c r="FN3" s="5">
        <v>0</v>
      </c>
      <c r="FO3" s="5">
        <v>0</v>
      </c>
      <c r="FP3" s="5">
        <v>0</v>
      </c>
      <c r="FQ3" s="5">
        <v>0</v>
      </c>
      <c r="FR3" s="5">
        <v>0</v>
      </c>
      <c r="FS3" s="5">
        <v>0</v>
      </c>
      <c r="FT3" s="5">
        <v>0</v>
      </c>
      <c r="FU3" s="5">
        <v>0</v>
      </c>
      <c r="FV3" s="5">
        <v>0</v>
      </c>
      <c r="FW3" s="5">
        <v>0</v>
      </c>
      <c r="FX3" s="5">
        <v>0</v>
      </c>
      <c r="FY3" s="5">
        <v>0</v>
      </c>
      <c r="FZ3" s="5">
        <v>0</v>
      </c>
      <c r="GA3" s="5">
        <v>0</v>
      </c>
      <c r="GB3" s="5">
        <v>0</v>
      </c>
      <c r="GC3" s="5">
        <v>0</v>
      </c>
      <c r="GD3" s="5">
        <v>122</v>
      </c>
      <c r="GE3" s="5">
        <v>0</v>
      </c>
      <c r="GF3" s="5">
        <v>0</v>
      </c>
      <c r="GG3" s="5">
        <v>4</v>
      </c>
      <c r="GH3" s="5">
        <v>0</v>
      </c>
      <c r="GI3" s="5">
        <v>0</v>
      </c>
      <c r="GJ3" s="5">
        <v>1</v>
      </c>
      <c r="GK3" s="5">
        <v>0</v>
      </c>
      <c r="GL3" s="5">
        <v>0</v>
      </c>
      <c r="GM3" s="5">
        <v>0</v>
      </c>
      <c r="GN3" s="5">
        <v>0</v>
      </c>
      <c r="GO3" s="5">
        <v>0</v>
      </c>
      <c r="GP3" s="5">
        <v>0</v>
      </c>
      <c r="GQ3" s="5">
        <v>0</v>
      </c>
      <c r="GR3" s="5">
        <v>0</v>
      </c>
      <c r="GS3" s="5"/>
      <c r="GT3" s="5"/>
      <c r="GU3" s="5"/>
      <c r="GV3" s="5"/>
    </row>
    <row r="4" spans="1:204" ht="15.6">
      <c r="A4" s="3">
        <f>A3+1</f>
        <v>46024</v>
      </c>
      <c r="B4" s="4" t="str">
        <f t="shared" ref="B4:B32" si="1">TEXT(A4,"DDD")</f>
        <v>Fri</v>
      </c>
      <c r="C4" s="147">
        <f t="shared" si="0"/>
        <v>2285</v>
      </c>
      <c r="D4" s="5">
        <v>0</v>
      </c>
      <c r="E4" s="5">
        <v>0</v>
      </c>
      <c r="F4" s="5">
        <v>0</v>
      </c>
      <c r="G4" s="5">
        <v>0</v>
      </c>
      <c r="H4" s="5">
        <v>33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26</v>
      </c>
      <c r="Q4" s="5">
        <v>0</v>
      </c>
      <c r="R4" s="5">
        <v>162</v>
      </c>
      <c r="S4" s="5">
        <v>0</v>
      </c>
      <c r="T4" s="5">
        <v>0</v>
      </c>
      <c r="U4" s="5">
        <v>0</v>
      </c>
      <c r="V4" s="5">
        <v>54</v>
      </c>
      <c r="W4" s="5">
        <v>25</v>
      </c>
      <c r="X4" s="5">
        <v>0</v>
      </c>
      <c r="Y4" s="5">
        <v>28</v>
      </c>
      <c r="Z4" s="5">
        <v>0</v>
      </c>
      <c r="AA4" s="5">
        <v>12</v>
      </c>
      <c r="AB4" s="5">
        <v>6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14</v>
      </c>
      <c r="AQ4" s="5">
        <v>0</v>
      </c>
      <c r="AR4" s="5">
        <v>28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29</v>
      </c>
      <c r="BH4" s="5">
        <v>0</v>
      </c>
      <c r="BI4" s="5">
        <v>0</v>
      </c>
      <c r="BJ4" s="5">
        <v>17</v>
      </c>
      <c r="BK4" s="5">
        <v>0</v>
      </c>
      <c r="BL4" s="5">
        <v>119</v>
      </c>
      <c r="BM4" s="5">
        <v>0</v>
      </c>
      <c r="BN4" s="5">
        <v>0</v>
      </c>
      <c r="BO4" s="5">
        <v>0</v>
      </c>
      <c r="BP4" s="5">
        <v>61</v>
      </c>
      <c r="BQ4" s="5">
        <v>0</v>
      </c>
      <c r="BR4" s="5">
        <v>0</v>
      </c>
      <c r="BS4" s="5">
        <v>0</v>
      </c>
      <c r="BT4" s="5">
        <v>0</v>
      </c>
      <c r="BU4" s="5">
        <v>20</v>
      </c>
      <c r="BV4" s="5">
        <v>35</v>
      </c>
      <c r="BW4" s="5">
        <v>40</v>
      </c>
      <c r="BX4" s="5">
        <v>66</v>
      </c>
      <c r="BY4" s="5">
        <v>0</v>
      </c>
      <c r="BZ4" s="5">
        <v>17</v>
      </c>
      <c r="CA4" s="5">
        <v>0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105</v>
      </c>
      <c r="CK4" s="5">
        <v>0</v>
      </c>
      <c r="CL4" s="5">
        <v>0</v>
      </c>
      <c r="CM4" s="5">
        <v>0</v>
      </c>
      <c r="CN4" s="5">
        <v>0</v>
      </c>
      <c r="CO4" s="5">
        <v>0</v>
      </c>
      <c r="CP4" s="5">
        <v>0</v>
      </c>
      <c r="CQ4" s="5">
        <v>0</v>
      </c>
      <c r="CR4" s="5">
        <v>0</v>
      </c>
      <c r="CS4" s="5">
        <v>0</v>
      </c>
      <c r="CT4" s="5">
        <v>0</v>
      </c>
      <c r="CU4" s="5">
        <v>0</v>
      </c>
      <c r="CV4" s="5">
        <v>0</v>
      </c>
      <c r="CW4" s="5">
        <v>0</v>
      </c>
      <c r="CX4" s="5">
        <v>0</v>
      </c>
      <c r="CY4" s="5">
        <v>46</v>
      </c>
      <c r="CZ4" s="5">
        <v>0</v>
      </c>
      <c r="DA4" s="5">
        <v>0</v>
      </c>
      <c r="DB4" s="5">
        <v>0</v>
      </c>
      <c r="DC4" s="5">
        <v>0</v>
      </c>
      <c r="DD4" s="5">
        <v>0</v>
      </c>
      <c r="DE4" s="5">
        <v>30</v>
      </c>
      <c r="DF4" s="5">
        <v>0</v>
      </c>
      <c r="DG4" s="5">
        <v>70</v>
      </c>
      <c r="DH4" s="5">
        <v>12</v>
      </c>
      <c r="DI4" s="5">
        <v>72</v>
      </c>
      <c r="DJ4" s="5">
        <v>0</v>
      </c>
      <c r="DK4" s="5">
        <v>147</v>
      </c>
      <c r="DL4" s="5">
        <v>0</v>
      </c>
      <c r="DM4" s="5">
        <v>0</v>
      </c>
      <c r="DN4" s="5">
        <v>0</v>
      </c>
      <c r="DO4" s="5">
        <v>0</v>
      </c>
      <c r="DP4" s="5">
        <v>80</v>
      </c>
      <c r="DQ4" s="5">
        <v>0</v>
      </c>
      <c r="DR4" s="5">
        <v>0</v>
      </c>
      <c r="DS4" s="5">
        <v>0</v>
      </c>
      <c r="DT4" s="5">
        <v>63</v>
      </c>
      <c r="DU4" s="5">
        <v>0</v>
      </c>
      <c r="DV4" s="5">
        <v>0</v>
      </c>
      <c r="DW4" s="5">
        <v>0</v>
      </c>
      <c r="DX4" s="5">
        <v>0</v>
      </c>
      <c r="DY4" s="5">
        <v>0</v>
      </c>
      <c r="DZ4" s="5">
        <v>0</v>
      </c>
      <c r="EA4" s="5">
        <v>0</v>
      </c>
      <c r="EB4" s="5">
        <v>0</v>
      </c>
      <c r="EC4" s="5">
        <v>12</v>
      </c>
      <c r="ED4" s="5">
        <v>94</v>
      </c>
      <c r="EE4" s="5">
        <v>15</v>
      </c>
      <c r="EF4" s="5">
        <v>0</v>
      </c>
      <c r="EG4" s="5">
        <v>0</v>
      </c>
      <c r="EH4" s="5">
        <v>0</v>
      </c>
      <c r="EI4" s="5">
        <v>0</v>
      </c>
      <c r="EJ4" s="5">
        <v>0</v>
      </c>
      <c r="EK4" s="5">
        <v>0</v>
      </c>
      <c r="EL4" s="5">
        <v>0</v>
      </c>
      <c r="EM4" s="5">
        <v>57</v>
      </c>
      <c r="EN4" s="5">
        <v>0</v>
      </c>
      <c r="EO4" s="5">
        <v>0</v>
      </c>
      <c r="EP4" s="5">
        <v>0</v>
      </c>
      <c r="EQ4" s="5">
        <v>25</v>
      </c>
      <c r="ER4" s="5">
        <v>0</v>
      </c>
      <c r="ES4" s="5">
        <v>0</v>
      </c>
      <c r="ET4" s="5">
        <v>65</v>
      </c>
      <c r="EU4" s="5">
        <v>0</v>
      </c>
      <c r="EV4" s="5">
        <v>0</v>
      </c>
      <c r="EW4" s="5">
        <v>0</v>
      </c>
      <c r="EX4" s="5">
        <v>0</v>
      </c>
      <c r="EY4" s="5">
        <v>0</v>
      </c>
      <c r="EZ4" s="5">
        <v>0</v>
      </c>
      <c r="FA4" s="5">
        <v>0</v>
      </c>
      <c r="FB4" s="5">
        <v>0</v>
      </c>
      <c r="FC4" s="5">
        <v>0</v>
      </c>
      <c r="FD4" s="5">
        <v>0</v>
      </c>
      <c r="FE4" s="5">
        <v>26</v>
      </c>
      <c r="FF4" s="5">
        <v>41</v>
      </c>
      <c r="FG4" s="5">
        <v>0</v>
      </c>
      <c r="FH4" s="5">
        <v>0</v>
      </c>
      <c r="FI4" s="5">
        <v>0</v>
      </c>
      <c r="FJ4" s="5">
        <v>0</v>
      </c>
      <c r="FK4" s="5">
        <v>20</v>
      </c>
      <c r="FL4" s="5">
        <v>0</v>
      </c>
      <c r="FM4" s="5">
        <v>0</v>
      </c>
      <c r="FN4" s="5">
        <v>31</v>
      </c>
      <c r="FO4" s="5">
        <v>0</v>
      </c>
      <c r="FP4" s="5">
        <v>61</v>
      </c>
      <c r="FQ4" s="5">
        <v>0</v>
      </c>
      <c r="FR4" s="5">
        <v>0</v>
      </c>
      <c r="FS4" s="5">
        <v>0</v>
      </c>
      <c r="FT4" s="5">
        <v>0</v>
      </c>
      <c r="FU4" s="5">
        <v>0</v>
      </c>
      <c r="FV4" s="5">
        <v>0</v>
      </c>
      <c r="FW4" s="5">
        <v>0</v>
      </c>
      <c r="FX4" s="5">
        <v>0</v>
      </c>
      <c r="FY4" s="5">
        <v>0</v>
      </c>
      <c r="FZ4" s="5">
        <v>0</v>
      </c>
      <c r="GA4" s="5">
        <v>0</v>
      </c>
      <c r="GB4" s="5">
        <v>0</v>
      </c>
      <c r="GC4" s="5">
        <v>0</v>
      </c>
      <c r="GD4" s="5">
        <v>0</v>
      </c>
      <c r="GE4" s="5">
        <v>0</v>
      </c>
      <c r="GF4" s="5">
        <v>0</v>
      </c>
      <c r="GG4" s="5">
        <v>111</v>
      </c>
      <c r="GH4" s="5">
        <v>13</v>
      </c>
      <c r="GI4" s="5">
        <v>0</v>
      </c>
      <c r="GJ4" s="5">
        <v>86</v>
      </c>
      <c r="GK4" s="5">
        <v>0</v>
      </c>
      <c r="GL4" s="5">
        <v>0</v>
      </c>
      <c r="GM4" s="5">
        <v>115</v>
      </c>
      <c r="GN4" s="5">
        <v>0</v>
      </c>
      <c r="GO4" s="5">
        <v>0</v>
      </c>
      <c r="GP4" s="5">
        <v>41</v>
      </c>
      <c r="GQ4" s="5">
        <v>0</v>
      </c>
      <c r="GR4" s="5">
        <v>55</v>
      </c>
      <c r="GS4" s="5"/>
      <c r="GT4" s="5"/>
      <c r="GU4" s="5"/>
      <c r="GV4" s="5"/>
    </row>
    <row r="5" spans="1:204" ht="15.6">
      <c r="A5" s="3">
        <f t="shared" ref="A5:A33" si="2">A4+1</f>
        <v>46025</v>
      </c>
      <c r="B5" s="4" t="str">
        <f t="shared" si="1"/>
        <v>Sat</v>
      </c>
      <c r="C5" s="147">
        <f t="shared" si="0"/>
        <v>762</v>
      </c>
      <c r="D5" s="5">
        <v>0</v>
      </c>
      <c r="E5" s="5">
        <v>0</v>
      </c>
      <c r="F5" s="5">
        <v>0</v>
      </c>
      <c r="G5" s="5">
        <v>0</v>
      </c>
      <c r="H5" s="5">
        <v>11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42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24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252</v>
      </c>
      <c r="CV5" s="5">
        <v>0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192</v>
      </c>
      <c r="DL5" s="5">
        <v>0</v>
      </c>
      <c r="DM5" s="5">
        <v>0</v>
      </c>
      <c r="DN5" s="5">
        <v>0</v>
      </c>
      <c r="DO5" s="5">
        <v>0</v>
      </c>
      <c r="DP5" s="5">
        <v>37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0</v>
      </c>
      <c r="EA5" s="5">
        <v>0</v>
      </c>
      <c r="EB5" s="5">
        <v>0</v>
      </c>
      <c r="EC5" s="5">
        <v>0</v>
      </c>
      <c r="ED5" s="5">
        <v>17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0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0</v>
      </c>
      <c r="EY5" s="5">
        <v>0</v>
      </c>
      <c r="EZ5" s="5">
        <v>0</v>
      </c>
      <c r="FA5" s="5">
        <v>0</v>
      </c>
      <c r="FB5" s="5">
        <v>0</v>
      </c>
      <c r="FC5" s="5">
        <v>0</v>
      </c>
      <c r="FD5" s="5">
        <v>0</v>
      </c>
      <c r="FE5" s="5">
        <v>31</v>
      </c>
      <c r="FF5" s="5">
        <v>22</v>
      </c>
      <c r="FG5" s="5">
        <v>0</v>
      </c>
      <c r="FH5" s="5">
        <v>0</v>
      </c>
      <c r="FI5" s="5">
        <v>0</v>
      </c>
      <c r="FJ5" s="5">
        <v>0</v>
      </c>
      <c r="FK5" s="5">
        <v>0</v>
      </c>
      <c r="FL5" s="5">
        <v>0</v>
      </c>
      <c r="FM5" s="5">
        <v>0</v>
      </c>
      <c r="FN5" s="5">
        <v>0</v>
      </c>
      <c r="FO5" s="5">
        <v>0</v>
      </c>
      <c r="FP5" s="5">
        <v>0</v>
      </c>
      <c r="FQ5" s="5">
        <v>0</v>
      </c>
      <c r="FR5" s="5">
        <v>0</v>
      </c>
      <c r="FS5" s="5">
        <v>0</v>
      </c>
      <c r="FT5" s="5">
        <v>0</v>
      </c>
      <c r="FU5" s="5">
        <v>0</v>
      </c>
      <c r="FV5" s="5">
        <v>0</v>
      </c>
      <c r="FW5" s="5">
        <v>0</v>
      </c>
      <c r="FX5" s="5">
        <v>0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14</v>
      </c>
      <c r="GH5" s="5">
        <v>0</v>
      </c>
      <c r="GI5" s="5">
        <v>0</v>
      </c>
      <c r="GJ5" s="5">
        <v>59</v>
      </c>
      <c r="GK5" s="5">
        <v>0</v>
      </c>
      <c r="GL5" s="5">
        <v>0</v>
      </c>
      <c r="GM5" s="5">
        <v>61</v>
      </c>
      <c r="GN5" s="5">
        <v>0</v>
      </c>
      <c r="GO5" s="5">
        <v>0</v>
      </c>
      <c r="GP5" s="5">
        <v>0</v>
      </c>
      <c r="GQ5" s="5">
        <v>0</v>
      </c>
      <c r="GR5" s="5">
        <v>0</v>
      </c>
      <c r="GS5" s="5"/>
      <c r="GT5" s="5"/>
      <c r="GU5" s="5"/>
      <c r="GV5" s="5"/>
    </row>
    <row r="6" spans="1:204" ht="15.6">
      <c r="A6" s="3">
        <f t="shared" si="2"/>
        <v>46026</v>
      </c>
      <c r="B6" s="4" t="str">
        <f t="shared" si="1"/>
        <v>Sun</v>
      </c>
      <c r="C6" s="147">
        <f t="shared" si="0"/>
        <v>653</v>
      </c>
      <c r="D6" s="5">
        <v>0</v>
      </c>
      <c r="E6" s="5">
        <v>0</v>
      </c>
      <c r="F6" s="5">
        <v>0</v>
      </c>
      <c r="G6" s="5">
        <v>0</v>
      </c>
      <c r="H6" s="5">
        <v>10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17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49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59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72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70</v>
      </c>
      <c r="DF6" s="5">
        <v>0</v>
      </c>
      <c r="DG6" s="5">
        <v>1</v>
      </c>
      <c r="DH6" s="5">
        <v>0</v>
      </c>
      <c r="DI6" s="5">
        <v>0</v>
      </c>
      <c r="DJ6" s="5">
        <v>0</v>
      </c>
      <c r="DK6" s="5">
        <v>114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>
        <v>0</v>
      </c>
      <c r="DZ6" s="5">
        <v>0</v>
      </c>
      <c r="EA6" s="5">
        <v>0</v>
      </c>
      <c r="EB6" s="5">
        <v>0</v>
      </c>
      <c r="EC6" s="5">
        <v>0</v>
      </c>
      <c r="ED6" s="5">
        <v>0</v>
      </c>
      <c r="EE6" s="5">
        <v>0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5">
        <v>0</v>
      </c>
      <c r="EL6" s="5">
        <v>0</v>
      </c>
      <c r="EM6" s="5">
        <v>0</v>
      </c>
      <c r="EN6" s="5">
        <v>0</v>
      </c>
      <c r="EO6" s="5">
        <v>0</v>
      </c>
      <c r="EP6" s="5">
        <v>0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  <c r="EV6" s="5">
        <v>0</v>
      </c>
      <c r="EW6" s="5">
        <v>0</v>
      </c>
      <c r="EX6" s="5">
        <v>0</v>
      </c>
      <c r="EY6" s="5">
        <v>0</v>
      </c>
      <c r="EZ6" s="5">
        <v>0</v>
      </c>
      <c r="FA6" s="5">
        <v>0</v>
      </c>
      <c r="FB6" s="5">
        <v>0</v>
      </c>
      <c r="FC6" s="5">
        <v>0</v>
      </c>
      <c r="FD6" s="5">
        <v>0</v>
      </c>
      <c r="FE6" s="5">
        <v>0</v>
      </c>
      <c r="FF6" s="5">
        <v>20</v>
      </c>
      <c r="FG6" s="5">
        <v>0</v>
      </c>
      <c r="FH6" s="5">
        <v>0</v>
      </c>
      <c r="FI6" s="5">
        <v>0</v>
      </c>
      <c r="FJ6" s="5">
        <v>0</v>
      </c>
      <c r="FK6" s="5">
        <v>19</v>
      </c>
      <c r="FL6" s="5">
        <v>0</v>
      </c>
      <c r="FM6" s="5">
        <v>0</v>
      </c>
      <c r="FN6" s="5">
        <v>0</v>
      </c>
      <c r="FO6" s="5">
        <v>0</v>
      </c>
      <c r="FP6" s="5">
        <v>24</v>
      </c>
      <c r="FQ6" s="5">
        <v>0</v>
      </c>
      <c r="FR6" s="5">
        <v>0</v>
      </c>
      <c r="FS6" s="5">
        <v>0</v>
      </c>
      <c r="FT6" s="5">
        <v>0</v>
      </c>
      <c r="FU6" s="5">
        <v>0</v>
      </c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5">
        <v>0</v>
      </c>
      <c r="GB6" s="5">
        <v>0</v>
      </c>
      <c r="GC6" s="5">
        <v>0</v>
      </c>
      <c r="GD6" s="5">
        <v>0</v>
      </c>
      <c r="GE6" s="5">
        <v>0</v>
      </c>
      <c r="GF6" s="5">
        <v>0</v>
      </c>
      <c r="GG6" s="5">
        <v>19</v>
      </c>
      <c r="GH6" s="5">
        <v>0</v>
      </c>
      <c r="GI6" s="5">
        <v>0</v>
      </c>
      <c r="GJ6" s="5">
        <v>19</v>
      </c>
      <c r="GK6" s="5">
        <v>0</v>
      </c>
      <c r="GL6" s="5">
        <v>0</v>
      </c>
      <c r="GM6" s="5">
        <v>97</v>
      </c>
      <c r="GN6" s="5">
        <v>11</v>
      </c>
      <c r="GO6" s="5">
        <v>0</v>
      </c>
      <c r="GP6" s="5">
        <v>48</v>
      </c>
      <c r="GQ6" s="5">
        <v>0</v>
      </c>
      <c r="GR6" s="5">
        <v>4</v>
      </c>
      <c r="GS6" s="5"/>
      <c r="GT6" s="5"/>
      <c r="GU6" s="5"/>
      <c r="GV6" s="5"/>
    </row>
    <row r="7" spans="1:204" ht="15.6">
      <c r="A7" s="3">
        <f t="shared" si="2"/>
        <v>46027</v>
      </c>
      <c r="B7" s="4" t="str">
        <f t="shared" si="1"/>
        <v>Mon</v>
      </c>
      <c r="C7" s="147">
        <f t="shared" si="0"/>
        <v>2949</v>
      </c>
      <c r="D7" s="5">
        <v>0</v>
      </c>
      <c r="E7" s="5">
        <v>0</v>
      </c>
      <c r="F7" s="5">
        <v>0</v>
      </c>
      <c r="G7" s="5">
        <v>0</v>
      </c>
      <c r="H7" s="5">
        <v>41</v>
      </c>
      <c r="I7" s="5">
        <v>47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44</v>
      </c>
      <c r="Q7" s="5">
        <v>37</v>
      </c>
      <c r="R7" s="5">
        <v>113</v>
      </c>
      <c r="S7" s="5">
        <v>0</v>
      </c>
      <c r="T7" s="5">
        <v>0</v>
      </c>
      <c r="U7" s="5">
        <v>0</v>
      </c>
      <c r="V7" s="5">
        <v>35</v>
      </c>
      <c r="W7" s="5">
        <v>45</v>
      </c>
      <c r="X7" s="5">
        <v>0</v>
      </c>
      <c r="Y7" s="5">
        <v>61</v>
      </c>
      <c r="Z7" s="5">
        <v>0</v>
      </c>
      <c r="AA7" s="5">
        <v>32</v>
      </c>
      <c r="AB7" s="5">
        <v>9</v>
      </c>
      <c r="AC7" s="5">
        <v>0</v>
      </c>
      <c r="AD7" s="5">
        <v>0</v>
      </c>
      <c r="AE7" s="5">
        <v>0</v>
      </c>
      <c r="AF7" s="5">
        <v>0</v>
      </c>
      <c r="AG7" s="5">
        <v>50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3</v>
      </c>
      <c r="AO7" s="5">
        <v>0</v>
      </c>
      <c r="AP7" s="5">
        <v>21</v>
      </c>
      <c r="AQ7" s="5">
        <v>15</v>
      </c>
      <c r="AR7" s="5">
        <v>1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22</v>
      </c>
      <c r="BA7" s="5">
        <v>0</v>
      </c>
      <c r="BB7" s="5">
        <v>43</v>
      </c>
      <c r="BC7" s="5">
        <v>0</v>
      </c>
      <c r="BD7" s="5">
        <v>0</v>
      </c>
      <c r="BE7" s="5">
        <v>0</v>
      </c>
      <c r="BF7" s="5">
        <v>0</v>
      </c>
      <c r="BG7" s="5">
        <v>25</v>
      </c>
      <c r="BH7" s="5">
        <v>0</v>
      </c>
      <c r="BI7" s="5">
        <v>0</v>
      </c>
      <c r="BJ7" s="5">
        <v>15</v>
      </c>
      <c r="BK7" s="5">
        <v>0</v>
      </c>
      <c r="BL7" s="5">
        <v>40</v>
      </c>
      <c r="BM7" s="5">
        <v>0</v>
      </c>
      <c r="BN7" s="5">
        <v>0</v>
      </c>
      <c r="BO7" s="5">
        <v>30</v>
      </c>
      <c r="BP7" s="5">
        <v>50</v>
      </c>
      <c r="BQ7" s="5">
        <v>0</v>
      </c>
      <c r="BR7" s="5">
        <v>0</v>
      </c>
      <c r="BS7" s="5">
        <v>0</v>
      </c>
      <c r="BT7" s="5">
        <v>0</v>
      </c>
      <c r="BU7" s="5">
        <v>42</v>
      </c>
      <c r="BV7" s="5">
        <v>1</v>
      </c>
      <c r="BW7" s="5">
        <v>25</v>
      </c>
      <c r="BX7" s="5">
        <v>0</v>
      </c>
      <c r="BY7" s="5">
        <v>0</v>
      </c>
      <c r="BZ7" s="5">
        <v>171</v>
      </c>
      <c r="CA7" s="5">
        <v>66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108</v>
      </c>
      <c r="CK7" s="5">
        <v>0</v>
      </c>
      <c r="CL7" s="5">
        <v>48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92</v>
      </c>
      <c r="CV7" s="5">
        <v>0</v>
      </c>
      <c r="CW7" s="5">
        <v>0</v>
      </c>
      <c r="CX7" s="5">
        <v>0</v>
      </c>
      <c r="CY7" s="5">
        <v>113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25</v>
      </c>
      <c r="DH7" s="5">
        <v>13</v>
      </c>
      <c r="DI7" s="5">
        <v>80</v>
      </c>
      <c r="DJ7" s="5">
        <v>0</v>
      </c>
      <c r="DK7" s="5">
        <v>130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48</v>
      </c>
      <c r="DR7" s="5">
        <v>78</v>
      </c>
      <c r="DS7" s="5">
        <v>0</v>
      </c>
      <c r="DT7" s="5">
        <v>75</v>
      </c>
      <c r="DU7" s="5">
        <v>0</v>
      </c>
      <c r="DV7" s="5">
        <v>0</v>
      </c>
      <c r="DW7" s="5">
        <v>0</v>
      </c>
      <c r="DX7" s="5">
        <v>0</v>
      </c>
      <c r="DY7" s="5">
        <v>0</v>
      </c>
      <c r="DZ7" s="5">
        <v>0</v>
      </c>
      <c r="EA7" s="5">
        <v>0</v>
      </c>
      <c r="EB7" s="5">
        <v>0</v>
      </c>
      <c r="EC7" s="5">
        <v>5</v>
      </c>
      <c r="ED7" s="5">
        <v>99</v>
      </c>
      <c r="EE7" s="5">
        <v>0</v>
      </c>
      <c r="EF7" s="5">
        <v>54</v>
      </c>
      <c r="EG7" s="5">
        <v>0</v>
      </c>
      <c r="EH7" s="5">
        <v>0</v>
      </c>
      <c r="EI7" s="5">
        <v>93</v>
      </c>
      <c r="EJ7" s="5">
        <v>0</v>
      </c>
      <c r="EK7" s="5">
        <v>0</v>
      </c>
      <c r="EL7" s="5">
        <v>42</v>
      </c>
      <c r="EM7" s="5">
        <v>30</v>
      </c>
      <c r="EN7" s="5">
        <v>0</v>
      </c>
      <c r="EO7" s="5">
        <v>0</v>
      </c>
      <c r="EP7" s="5">
        <v>37</v>
      </c>
      <c r="EQ7" s="5">
        <v>0</v>
      </c>
      <c r="ER7" s="5">
        <v>0</v>
      </c>
      <c r="ES7" s="5">
        <v>0</v>
      </c>
      <c r="ET7" s="5">
        <v>72</v>
      </c>
      <c r="EU7" s="5">
        <v>0</v>
      </c>
      <c r="EV7" s="5">
        <v>0</v>
      </c>
      <c r="EW7" s="5">
        <v>0</v>
      </c>
      <c r="EX7" s="5">
        <v>0</v>
      </c>
      <c r="EY7" s="5">
        <v>0</v>
      </c>
      <c r="EZ7" s="5">
        <v>0</v>
      </c>
      <c r="FA7" s="5">
        <v>0</v>
      </c>
      <c r="FB7" s="5">
        <v>0</v>
      </c>
      <c r="FC7" s="5">
        <v>0</v>
      </c>
      <c r="FD7" s="5">
        <v>0</v>
      </c>
      <c r="FE7" s="5">
        <v>28</v>
      </c>
      <c r="FF7" s="5">
        <v>50</v>
      </c>
      <c r="FG7" s="5">
        <v>0</v>
      </c>
      <c r="FH7" s="5">
        <v>0</v>
      </c>
      <c r="FI7" s="5">
        <v>1</v>
      </c>
      <c r="FJ7" s="5">
        <v>0</v>
      </c>
      <c r="FK7" s="5">
        <v>20</v>
      </c>
      <c r="FL7" s="5">
        <v>0</v>
      </c>
      <c r="FM7" s="5">
        <v>0</v>
      </c>
      <c r="FN7" s="5">
        <v>0</v>
      </c>
      <c r="FO7" s="5">
        <v>0</v>
      </c>
      <c r="FP7" s="5">
        <v>47</v>
      </c>
      <c r="FQ7" s="5">
        <v>0</v>
      </c>
      <c r="FR7" s="5">
        <v>0</v>
      </c>
      <c r="FS7" s="5">
        <v>0</v>
      </c>
      <c r="FT7" s="5">
        <v>0</v>
      </c>
      <c r="FU7" s="5">
        <v>0</v>
      </c>
      <c r="FV7" s="5">
        <v>0</v>
      </c>
      <c r="FW7" s="5">
        <v>0</v>
      </c>
      <c r="FX7" s="5">
        <v>0</v>
      </c>
      <c r="FY7" s="5">
        <v>0</v>
      </c>
      <c r="FZ7" s="5">
        <v>0</v>
      </c>
      <c r="GA7" s="5">
        <v>0</v>
      </c>
      <c r="GB7" s="5">
        <v>55</v>
      </c>
      <c r="GC7" s="5">
        <v>0</v>
      </c>
      <c r="GD7" s="5">
        <v>97</v>
      </c>
      <c r="GE7" s="5">
        <v>0</v>
      </c>
      <c r="GF7" s="5">
        <v>0</v>
      </c>
      <c r="GG7" s="5">
        <v>62</v>
      </c>
      <c r="GH7" s="5">
        <v>15</v>
      </c>
      <c r="GI7" s="5">
        <v>0</v>
      </c>
      <c r="GJ7" s="5">
        <v>48</v>
      </c>
      <c r="GK7" s="5">
        <v>0</v>
      </c>
      <c r="GL7" s="5">
        <v>0</v>
      </c>
      <c r="GM7" s="5">
        <v>76</v>
      </c>
      <c r="GN7" s="5">
        <v>43</v>
      </c>
      <c r="GO7" s="5">
        <v>0</v>
      </c>
      <c r="GP7" s="5">
        <v>41</v>
      </c>
      <c r="GQ7" s="5">
        <v>0</v>
      </c>
      <c r="GR7" s="5">
        <v>40</v>
      </c>
      <c r="GS7" s="5"/>
      <c r="GT7" s="5"/>
      <c r="GU7" s="5"/>
      <c r="GV7" s="5"/>
    </row>
    <row r="8" spans="1:204" ht="15.6">
      <c r="A8" s="3">
        <f t="shared" si="2"/>
        <v>46028</v>
      </c>
      <c r="B8" s="4" t="str">
        <f t="shared" si="1"/>
        <v>Tue</v>
      </c>
      <c r="C8" s="147">
        <f t="shared" si="0"/>
        <v>2867</v>
      </c>
      <c r="D8" s="5">
        <v>0</v>
      </c>
      <c r="E8" s="5">
        <v>0</v>
      </c>
      <c r="F8" s="5">
        <v>0</v>
      </c>
      <c r="G8" s="5">
        <v>0</v>
      </c>
      <c r="H8" s="5">
        <v>14</v>
      </c>
      <c r="I8" s="5">
        <v>42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40</v>
      </c>
      <c r="Q8" s="5">
        <v>25</v>
      </c>
      <c r="R8" s="5">
        <v>153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73</v>
      </c>
      <c r="Z8" s="5">
        <v>0</v>
      </c>
      <c r="AA8" s="5">
        <v>38</v>
      </c>
      <c r="AB8" s="5">
        <v>22</v>
      </c>
      <c r="AC8" s="5">
        <v>0</v>
      </c>
      <c r="AD8" s="5">
        <v>0</v>
      </c>
      <c r="AE8" s="5">
        <v>0</v>
      </c>
      <c r="AF8" s="5">
        <v>0</v>
      </c>
      <c r="AG8" s="5">
        <v>32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8</v>
      </c>
      <c r="AO8" s="5">
        <v>0</v>
      </c>
      <c r="AP8" s="5">
        <v>18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11</v>
      </c>
      <c r="BA8" s="5">
        <v>0</v>
      </c>
      <c r="BB8" s="5">
        <v>67</v>
      </c>
      <c r="BC8" s="5">
        <v>0</v>
      </c>
      <c r="BD8" s="5">
        <v>0</v>
      </c>
      <c r="BE8" s="5">
        <v>0</v>
      </c>
      <c r="BF8" s="5">
        <v>0</v>
      </c>
      <c r="BG8" s="5">
        <v>41</v>
      </c>
      <c r="BH8" s="5">
        <v>0</v>
      </c>
      <c r="BI8" s="5">
        <v>0</v>
      </c>
      <c r="BJ8" s="5">
        <v>21</v>
      </c>
      <c r="BK8" s="5">
        <v>0</v>
      </c>
      <c r="BL8" s="5">
        <v>39</v>
      </c>
      <c r="BM8" s="5">
        <v>0</v>
      </c>
      <c r="BN8" s="5">
        <v>0</v>
      </c>
      <c r="BO8" s="5">
        <v>33</v>
      </c>
      <c r="BP8" s="5">
        <v>25</v>
      </c>
      <c r="BQ8" s="5">
        <v>0</v>
      </c>
      <c r="BR8" s="5">
        <v>0</v>
      </c>
      <c r="BS8" s="5">
        <v>0</v>
      </c>
      <c r="BT8" s="5">
        <v>0</v>
      </c>
      <c r="BU8" s="5">
        <v>120</v>
      </c>
      <c r="BV8" s="5">
        <v>27</v>
      </c>
      <c r="BW8" s="5">
        <v>62</v>
      </c>
      <c r="BX8" s="5">
        <v>0</v>
      </c>
      <c r="BY8" s="5">
        <v>0</v>
      </c>
      <c r="BZ8" s="5">
        <v>140</v>
      </c>
      <c r="CA8" s="5">
        <v>78</v>
      </c>
      <c r="CB8" s="5">
        <v>0</v>
      </c>
      <c r="CC8" s="5">
        <v>0</v>
      </c>
      <c r="CD8" s="5">
        <v>0</v>
      </c>
      <c r="CE8" s="5">
        <v>2</v>
      </c>
      <c r="CF8" s="5">
        <v>0</v>
      </c>
      <c r="CG8" s="5">
        <v>0</v>
      </c>
      <c r="CH8" s="5">
        <v>0</v>
      </c>
      <c r="CI8" s="5">
        <v>0</v>
      </c>
      <c r="CJ8" s="5">
        <v>110</v>
      </c>
      <c r="CK8" s="5">
        <v>0</v>
      </c>
      <c r="CL8" s="5">
        <v>65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74</v>
      </c>
      <c r="CV8" s="5">
        <v>0</v>
      </c>
      <c r="CW8" s="5">
        <v>0</v>
      </c>
      <c r="CX8" s="5">
        <v>0</v>
      </c>
      <c r="CY8" s="5">
        <v>100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87</v>
      </c>
      <c r="DH8" s="5">
        <v>16</v>
      </c>
      <c r="DI8" s="5">
        <v>51</v>
      </c>
      <c r="DJ8" s="5">
        <v>0</v>
      </c>
      <c r="DK8" s="5">
        <v>46</v>
      </c>
      <c r="DL8" s="5">
        <v>0</v>
      </c>
      <c r="DM8" s="5">
        <v>36</v>
      </c>
      <c r="DN8" s="5">
        <v>0</v>
      </c>
      <c r="DO8" s="5">
        <v>0</v>
      </c>
      <c r="DP8" s="5">
        <v>0</v>
      </c>
      <c r="DQ8" s="5">
        <v>18</v>
      </c>
      <c r="DR8" s="5">
        <v>71</v>
      </c>
      <c r="DS8" s="5">
        <v>0</v>
      </c>
      <c r="DT8" s="5">
        <v>43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39</v>
      </c>
      <c r="EA8" s="5">
        <v>0</v>
      </c>
      <c r="EB8" s="5">
        <v>0</v>
      </c>
      <c r="EC8" s="5">
        <v>0</v>
      </c>
      <c r="ED8" s="5">
        <v>87</v>
      </c>
      <c r="EE8" s="5">
        <v>0</v>
      </c>
      <c r="EF8" s="5">
        <v>0</v>
      </c>
      <c r="EG8" s="5">
        <v>0</v>
      </c>
      <c r="EH8" s="5">
        <v>0</v>
      </c>
      <c r="EI8" s="5">
        <v>84</v>
      </c>
      <c r="EJ8" s="5">
        <v>0</v>
      </c>
      <c r="EK8" s="5">
        <v>0</v>
      </c>
      <c r="EL8" s="5">
        <v>85</v>
      </c>
      <c r="EM8" s="5">
        <v>25</v>
      </c>
      <c r="EN8" s="5">
        <v>0</v>
      </c>
      <c r="EO8" s="5">
        <v>0</v>
      </c>
      <c r="EP8" s="5">
        <v>40</v>
      </c>
      <c r="EQ8" s="5">
        <v>6</v>
      </c>
      <c r="ER8" s="5">
        <v>0</v>
      </c>
      <c r="ES8" s="5">
        <v>0</v>
      </c>
      <c r="ET8" s="5">
        <v>5</v>
      </c>
      <c r="EU8" s="5">
        <v>0</v>
      </c>
      <c r="EV8" s="5">
        <v>0</v>
      </c>
      <c r="EW8" s="5">
        <v>0</v>
      </c>
      <c r="EX8" s="5">
        <v>0</v>
      </c>
      <c r="EY8" s="5">
        <v>0</v>
      </c>
      <c r="EZ8" s="5">
        <v>0</v>
      </c>
      <c r="FA8" s="5">
        <v>0</v>
      </c>
      <c r="FB8" s="5">
        <v>0</v>
      </c>
      <c r="FC8" s="5">
        <v>0</v>
      </c>
      <c r="FD8" s="5">
        <v>0</v>
      </c>
      <c r="FE8" s="5">
        <v>0</v>
      </c>
      <c r="FF8" s="5">
        <v>48</v>
      </c>
      <c r="FG8" s="5">
        <v>0</v>
      </c>
      <c r="FH8" s="5">
        <v>0</v>
      </c>
      <c r="FI8" s="5">
        <v>0</v>
      </c>
      <c r="FJ8" s="5">
        <v>0</v>
      </c>
      <c r="FK8" s="5">
        <v>46</v>
      </c>
      <c r="FL8" s="5">
        <v>0</v>
      </c>
      <c r="FM8" s="5">
        <v>15</v>
      </c>
      <c r="FN8" s="5">
        <v>76</v>
      </c>
      <c r="FO8" s="5">
        <v>0</v>
      </c>
      <c r="FP8" s="5">
        <v>25</v>
      </c>
      <c r="FQ8" s="5">
        <v>0</v>
      </c>
      <c r="FR8" s="5">
        <v>0</v>
      </c>
      <c r="FS8" s="5">
        <v>0</v>
      </c>
      <c r="FT8" s="5">
        <v>0</v>
      </c>
      <c r="FU8" s="5">
        <v>0</v>
      </c>
      <c r="FV8" s="5">
        <v>0</v>
      </c>
      <c r="FW8" s="5">
        <v>0</v>
      </c>
      <c r="FX8" s="5">
        <v>0</v>
      </c>
      <c r="FY8" s="5">
        <v>0</v>
      </c>
      <c r="FZ8" s="5">
        <v>0</v>
      </c>
      <c r="GA8" s="5">
        <v>0</v>
      </c>
      <c r="GB8" s="5">
        <v>34</v>
      </c>
      <c r="GC8" s="5">
        <v>0</v>
      </c>
      <c r="GD8" s="5">
        <v>0</v>
      </c>
      <c r="GE8" s="5">
        <v>0</v>
      </c>
      <c r="GF8" s="5">
        <v>0</v>
      </c>
      <c r="GG8" s="5">
        <v>87</v>
      </c>
      <c r="GH8" s="5">
        <v>10</v>
      </c>
      <c r="GI8" s="5">
        <v>0</v>
      </c>
      <c r="GJ8" s="5">
        <v>76</v>
      </c>
      <c r="GK8" s="5">
        <v>0</v>
      </c>
      <c r="GL8" s="5">
        <v>0</v>
      </c>
      <c r="GM8" s="5">
        <v>135</v>
      </c>
      <c r="GN8" s="5">
        <v>42</v>
      </c>
      <c r="GO8" s="5">
        <v>0</v>
      </c>
      <c r="GP8" s="5">
        <v>22</v>
      </c>
      <c r="GQ8" s="5">
        <v>0</v>
      </c>
      <c r="GR8" s="5">
        <v>32</v>
      </c>
      <c r="GS8" s="5"/>
      <c r="GT8" s="5"/>
      <c r="GU8" s="5"/>
      <c r="GV8" s="5"/>
    </row>
    <row r="9" spans="1:204" ht="15.6">
      <c r="A9" s="3">
        <f t="shared" si="2"/>
        <v>46029</v>
      </c>
      <c r="B9" s="4" t="str">
        <f t="shared" si="1"/>
        <v>Wed</v>
      </c>
      <c r="C9" s="147">
        <f t="shared" si="0"/>
        <v>2897</v>
      </c>
      <c r="D9" s="5">
        <v>0</v>
      </c>
      <c r="E9" s="5">
        <v>64</v>
      </c>
      <c r="F9" s="5">
        <v>0</v>
      </c>
      <c r="G9" s="5">
        <v>0</v>
      </c>
      <c r="H9" s="5">
        <v>33</v>
      </c>
      <c r="I9" s="5">
        <v>66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43</v>
      </c>
      <c r="Q9" s="5">
        <v>25</v>
      </c>
      <c r="R9" s="5">
        <v>121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65</v>
      </c>
      <c r="Z9" s="5">
        <v>0</v>
      </c>
      <c r="AA9" s="5">
        <v>0</v>
      </c>
      <c r="AB9" s="5">
        <v>34</v>
      </c>
      <c r="AC9" s="5">
        <v>0</v>
      </c>
      <c r="AD9" s="5">
        <v>0</v>
      </c>
      <c r="AE9" s="5">
        <v>0</v>
      </c>
      <c r="AF9" s="5">
        <v>0</v>
      </c>
      <c r="AG9" s="5">
        <v>20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18</v>
      </c>
      <c r="AO9" s="5">
        <v>0</v>
      </c>
      <c r="AP9" s="5">
        <v>7</v>
      </c>
      <c r="AQ9" s="5">
        <v>0</v>
      </c>
      <c r="AR9" s="5">
        <v>32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17</v>
      </c>
      <c r="BA9" s="5">
        <v>0</v>
      </c>
      <c r="BB9" s="5">
        <v>102</v>
      </c>
      <c r="BC9" s="5">
        <v>0</v>
      </c>
      <c r="BD9" s="5">
        <v>0</v>
      </c>
      <c r="BE9" s="5">
        <v>0</v>
      </c>
      <c r="BF9" s="5">
        <v>0</v>
      </c>
      <c r="BG9" s="5">
        <v>44</v>
      </c>
      <c r="BH9" s="5">
        <v>0</v>
      </c>
      <c r="BI9" s="5">
        <v>0</v>
      </c>
      <c r="BJ9" s="5">
        <v>1</v>
      </c>
      <c r="BK9" s="5">
        <v>0</v>
      </c>
      <c r="BL9" s="5">
        <v>41</v>
      </c>
      <c r="BM9" s="5">
        <v>0</v>
      </c>
      <c r="BN9" s="5">
        <v>0</v>
      </c>
      <c r="BO9" s="5">
        <v>35</v>
      </c>
      <c r="BP9" s="5">
        <v>20</v>
      </c>
      <c r="BQ9" s="5">
        <v>0</v>
      </c>
      <c r="BR9" s="5">
        <v>0</v>
      </c>
      <c r="BS9" s="5">
        <v>0</v>
      </c>
      <c r="BT9" s="5">
        <v>0</v>
      </c>
      <c r="BU9" s="5">
        <v>20</v>
      </c>
      <c r="BV9" s="5">
        <v>12</v>
      </c>
      <c r="BW9" s="5">
        <v>58</v>
      </c>
      <c r="BX9" s="5">
        <v>64</v>
      </c>
      <c r="BY9" s="5">
        <v>0</v>
      </c>
      <c r="BZ9" s="5">
        <v>80</v>
      </c>
      <c r="CA9" s="5">
        <v>34</v>
      </c>
      <c r="CB9" s="5">
        <v>53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147</v>
      </c>
      <c r="CK9" s="5">
        <v>0</v>
      </c>
      <c r="CL9" s="5">
        <v>58</v>
      </c>
      <c r="CM9" s="5">
        <v>0</v>
      </c>
      <c r="CN9" s="5">
        <v>0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87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23</v>
      </c>
      <c r="DH9" s="5">
        <v>15</v>
      </c>
      <c r="DI9" s="5">
        <v>94</v>
      </c>
      <c r="DJ9" s="5">
        <v>0</v>
      </c>
      <c r="DK9" s="5">
        <v>53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51</v>
      </c>
      <c r="DR9" s="5">
        <v>60</v>
      </c>
      <c r="DS9" s="5">
        <v>0</v>
      </c>
      <c r="DT9" s="5">
        <v>62</v>
      </c>
      <c r="DU9" s="5">
        <v>0</v>
      </c>
      <c r="DV9" s="5">
        <v>0</v>
      </c>
      <c r="DW9" s="5">
        <v>0</v>
      </c>
      <c r="DX9" s="5">
        <v>0</v>
      </c>
      <c r="DY9" s="5">
        <v>0</v>
      </c>
      <c r="DZ9" s="5">
        <v>65</v>
      </c>
      <c r="EA9" s="5">
        <v>0</v>
      </c>
      <c r="EB9" s="5">
        <v>0</v>
      </c>
      <c r="EC9" s="5">
        <v>0</v>
      </c>
      <c r="ED9" s="5">
        <v>84</v>
      </c>
      <c r="EE9" s="5">
        <v>0</v>
      </c>
      <c r="EF9" s="5">
        <v>82</v>
      </c>
      <c r="EG9" s="5">
        <v>0</v>
      </c>
      <c r="EH9" s="5">
        <v>0</v>
      </c>
      <c r="EI9" s="5">
        <v>87</v>
      </c>
      <c r="EJ9" s="5">
        <v>0</v>
      </c>
      <c r="EK9" s="5">
        <v>0</v>
      </c>
      <c r="EL9" s="5">
        <v>67</v>
      </c>
      <c r="EM9" s="5">
        <v>32</v>
      </c>
      <c r="EN9" s="5">
        <v>0</v>
      </c>
      <c r="EO9" s="5">
        <v>0</v>
      </c>
      <c r="EP9" s="5">
        <v>19</v>
      </c>
      <c r="EQ9" s="5">
        <v>29</v>
      </c>
      <c r="ER9" s="5">
        <v>0</v>
      </c>
      <c r="ES9" s="5">
        <v>0</v>
      </c>
      <c r="ET9" s="5">
        <v>46</v>
      </c>
      <c r="EU9" s="5">
        <v>0</v>
      </c>
      <c r="EV9" s="5">
        <v>0</v>
      </c>
      <c r="EW9" s="5">
        <v>0</v>
      </c>
      <c r="EX9" s="5">
        <v>0</v>
      </c>
      <c r="EY9" s="5">
        <v>0</v>
      </c>
      <c r="EZ9" s="5">
        <v>0</v>
      </c>
      <c r="FA9" s="5">
        <v>0</v>
      </c>
      <c r="FB9" s="5">
        <v>0</v>
      </c>
      <c r="FC9" s="5">
        <v>0</v>
      </c>
      <c r="FD9" s="5">
        <v>0</v>
      </c>
      <c r="FE9" s="5">
        <v>0</v>
      </c>
      <c r="FF9" s="5">
        <v>35</v>
      </c>
      <c r="FG9" s="5">
        <v>0</v>
      </c>
      <c r="FH9" s="5">
        <v>0</v>
      </c>
      <c r="FI9" s="5">
        <v>1</v>
      </c>
      <c r="FJ9" s="5">
        <v>0</v>
      </c>
      <c r="FK9" s="5">
        <v>24</v>
      </c>
      <c r="FL9" s="5">
        <v>0</v>
      </c>
      <c r="FM9" s="5">
        <v>0</v>
      </c>
      <c r="FN9" s="5">
        <v>19</v>
      </c>
      <c r="FO9" s="5">
        <v>0</v>
      </c>
      <c r="FP9" s="5">
        <v>34</v>
      </c>
      <c r="FQ9" s="5">
        <v>0</v>
      </c>
      <c r="FR9" s="5">
        <v>0</v>
      </c>
      <c r="FS9" s="5">
        <v>0</v>
      </c>
      <c r="FT9" s="5">
        <v>0</v>
      </c>
      <c r="FU9" s="5">
        <v>0</v>
      </c>
      <c r="FV9" s="5">
        <v>0</v>
      </c>
      <c r="FW9" s="5">
        <v>0</v>
      </c>
      <c r="FX9" s="5">
        <v>0</v>
      </c>
      <c r="FY9" s="5">
        <v>0</v>
      </c>
      <c r="FZ9" s="5">
        <v>0</v>
      </c>
      <c r="GA9" s="5">
        <v>0</v>
      </c>
      <c r="GB9" s="5">
        <v>57</v>
      </c>
      <c r="GC9" s="5">
        <v>0</v>
      </c>
      <c r="GD9" s="5">
        <v>60</v>
      </c>
      <c r="GE9" s="5">
        <v>0</v>
      </c>
      <c r="GF9" s="5">
        <v>0</v>
      </c>
      <c r="GG9" s="5">
        <v>63</v>
      </c>
      <c r="GH9" s="5">
        <v>10</v>
      </c>
      <c r="GI9" s="5">
        <v>0</v>
      </c>
      <c r="GJ9" s="5">
        <v>71</v>
      </c>
      <c r="GK9" s="5">
        <v>0</v>
      </c>
      <c r="GL9" s="5">
        <v>0</v>
      </c>
      <c r="GM9" s="5">
        <v>137</v>
      </c>
      <c r="GN9" s="5">
        <v>37</v>
      </c>
      <c r="GO9" s="5">
        <v>0</v>
      </c>
      <c r="GP9" s="5">
        <v>50</v>
      </c>
      <c r="GQ9" s="5">
        <v>0</v>
      </c>
      <c r="GR9" s="5">
        <v>29</v>
      </c>
      <c r="GS9" s="5"/>
      <c r="GT9" s="5"/>
      <c r="GU9" s="5"/>
      <c r="GV9" s="5"/>
    </row>
    <row r="10" spans="1:204" ht="15.6">
      <c r="A10" s="3">
        <f t="shared" si="2"/>
        <v>46030</v>
      </c>
      <c r="B10" s="4" t="str">
        <f t="shared" si="1"/>
        <v>Thu</v>
      </c>
      <c r="C10" s="147">
        <f t="shared" si="0"/>
        <v>3753</v>
      </c>
      <c r="D10" s="5">
        <v>0</v>
      </c>
      <c r="E10" s="5">
        <v>10</v>
      </c>
      <c r="F10" s="5">
        <v>0</v>
      </c>
      <c r="G10" s="5">
        <v>0</v>
      </c>
      <c r="H10" s="5">
        <v>35</v>
      </c>
      <c r="I10" s="5">
        <v>62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32</v>
      </c>
      <c r="Q10" s="5">
        <v>38</v>
      </c>
      <c r="R10" s="5">
        <v>116</v>
      </c>
      <c r="S10" s="5">
        <v>0</v>
      </c>
      <c r="T10" s="5">
        <v>0</v>
      </c>
      <c r="U10" s="5">
        <v>0</v>
      </c>
      <c r="V10" s="5">
        <v>36</v>
      </c>
      <c r="W10" s="5">
        <v>0</v>
      </c>
      <c r="X10" s="5">
        <v>0</v>
      </c>
      <c r="Y10" s="5">
        <v>65</v>
      </c>
      <c r="Z10" s="5">
        <v>0</v>
      </c>
      <c r="AA10" s="5">
        <v>20</v>
      </c>
      <c r="AB10" s="5">
        <v>26</v>
      </c>
      <c r="AC10" s="5">
        <v>0</v>
      </c>
      <c r="AD10" s="5">
        <v>0</v>
      </c>
      <c r="AE10" s="5">
        <v>0</v>
      </c>
      <c r="AF10" s="5">
        <v>0</v>
      </c>
      <c r="AG10" s="5">
        <v>43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14</v>
      </c>
      <c r="AO10" s="5">
        <v>0</v>
      </c>
      <c r="AP10" s="5">
        <v>15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52</v>
      </c>
      <c r="BA10" s="5">
        <v>0</v>
      </c>
      <c r="BB10" s="5">
        <v>98</v>
      </c>
      <c r="BC10" s="5">
        <v>0</v>
      </c>
      <c r="BD10" s="5">
        <v>0</v>
      </c>
      <c r="BE10" s="5">
        <v>0</v>
      </c>
      <c r="BF10" s="5">
        <v>0</v>
      </c>
      <c r="BG10" s="5">
        <v>40</v>
      </c>
      <c r="BH10" s="5">
        <v>0</v>
      </c>
      <c r="BI10" s="5">
        <v>0</v>
      </c>
      <c r="BJ10" s="5">
        <v>0</v>
      </c>
      <c r="BK10" s="5">
        <v>0</v>
      </c>
      <c r="BL10" s="5">
        <v>81</v>
      </c>
      <c r="BM10" s="5">
        <v>0</v>
      </c>
      <c r="BN10" s="5">
        <v>0</v>
      </c>
      <c r="BO10" s="5">
        <v>33</v>
      </c>
      <c r="BP10" s="5">
        <v>35</v>
      </c>
      <c r="BQ10" s="5">
        <v>0</v>
      </c>
      <c r="BR10" s="5">
        <v>0</v>
      </c>
      <c r="BS10" s="5">
        <v>0</v>
      </c>
      <c r="BT10" s="5">
        <v>0</v>
      </c>
      <c r="BU10" s="5">
        <v>50</v>
      </c>
      <c r="BV10" s="5">
        <v>14</v>
      </c>
      <c r="BW10" s="5">
        <v>41</v>
      </c>
      <c r="BX10" s="5">
        <v>172</v>
      </c>
      <c r="BY10" s="5">
        <v>0</v>
      </c>
      <c r="BZ10" s="5">
        <v>91</v>
      </c>
      <c r="CA10" s="5">
        <v>62</v>
      </c>
      <c r="CB10" s="5">
        <v>75</v>
      </c>
      <c r="CC10" s="5">
        <v>0</v>
      </c>
      <c r="CD10" s="5">
        <v>77</v>
      </c>
      <c r="CE10" s="5">
        <v>60</v>
      </c>
      <c r="CF10" s="5">
        <v>0</v>
      </c>
      <c r="CG10" s="5">
        <v>0</v>
      </c>
      <c r="CH10" s="5">
        <v>0</v>
      </c>
      <c r="CI10" s="5">
        <v>0</v>
      </c>
      <c r="CJ10" s="5">
        <v>180</v>
      </c>
      <c r="CK10" s="5">
        <v>0</v>
      </c>
      <c r="CL10" s="5">
        <v>55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50</v>
      </c>
      <c r="CV10" s="5">
        <v>0</v>
      </c>
      <c r="CW10" s="5">
        <v>0</v>
      </c>
      <c r="CX10" s="5">
        <v>0</v>
      </c>
      <c r="CY10" s="5">
        <v>100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12</v>
      </c>
      <c r="DH10" s="5">
        <v>18</v>
      </c>
      <c r="DI10" s="5">
        <v>107</v>
      </c>
      <c r="DJ10" s="5">
        <v>0</v>
      </c>
      <c r="DK10" s="5">
        <v>202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46</v>
      </c>
      <c r="DR10" s="5">
        <v>68</v>
      </c>
      <c r="DS10" s="5">
        <v>0</v>
      </c>
      <c r="DT10" s="5">
        <v>51</v>
      </c>
      <c r="DU10" s="5">
        <v>0</v>
      </c>
      <c r="DV10" s="5">
        <v>0</v>
      </c>
      <c r="DW10" s="5">
        <v>0</v>
      </c>
      <c r="DX10" s="5">
        <v>0</v>
      </c>
      <c r="DY10" s="5">
        <v>0</v>
      </c>
      <c r="DZ10" s="5">
        <v>172</v>
      </c>
      <c r="EA10" s="5">
        <v>0</v>
      </c>
      <c r="EB10" s="5">
        <v>0</v>
      </c>
      <c r="EC10" s="5">
        <v>0</v>
      </c>
      <c r="ED10" s="5">
        <v>111</v>
      </c>
      <c r="EE10" s="5">
        <v>0</v>
      </c>
      <c r="EF10" s="5">
        <v>84</v>
      </c>
      <c r="EG10" s="5">
        <v>0</v>
      </c>
      <c r="EH10" s="5">
        <v>0</v>
      </c>
      <c r="EI10" s="5">
        <v>84</v>
      </c>
      <c r="EJ10" s="5">
        <v>0</v>
      </c>
      <c r="EK10" s="5">
        <v>0</v>
      </c>
      <c r="EL10" s="5">
        <v>74</v>
      </c>
      <c r="EM10" s="5">
        <v>64</v>
      </c>
      <c r="EN10" s="5">
        <v>0</v>
      </c>
      <c r="EO10" s="5">
        <v>0</v>
      </c>
      <c r="EP10" s="5">
        <v>32</v>
      </c>
      <c r="EQ10" s="5">
        <v>22</v>
      </c>
      <c r="ER10" s="5">
        <v>0</v>
      </c>
      <c r="ES10" s="5">
        <v>0</v>
      </c>
      <c r="ET10" s="5">
        <v>39</v>
      </c>
      <c r="EU10" s="5">
        <v>0</v>
      </c>
      <c r="EV10" s="5">
        <v>0</v>
      </c>
      <c r="EW10" s="5">
        <v>0</v>
      </c>
      <c r="EX10" s="5">
        <v>0</v>
      </c>
      <c r="EY10" s="5">
        <v>0</v>
      </c>
      <c r="EZ10" s="5">
        <v>0</v>
      </c>
      <c r="FA10" s="5">
        <v>0</v>
      </c>
      <c r="FB10" s="5">
        <v>0</v>
      </c>
      <c r="FC10" s="5">
        <v>0</v>
      </c>
      <c r="FD10" s="5">
        <v>0</v>
      </c>
      <c r="FE10" s="5">
        <v>0</v>
      </c>
      <c r="FF10" s="5">
        <v>20</v>
      </c>
      <c r="FG10" s="5">
        <v>0</v>
      </c>
      <c r="FH10" s="5">
        <v>0</v>
      </c>
      <c r="FI10" s="5">
        <v>22</v>
      </c>
      <c r="FJ10" s="5">
        <v>0</v>
      </c>
      <c r="FK10" s="5">
        <v>19</v>
      </c>
      <c r="FL10" s="5">
        <v>0</v>
      </c>
      <c r="FM10" s="5">
        <v>0</v>
      </c>
      <c r="FN10" s="5">
        <v>32</v>
      </c>
      <c r="FO10" s="5">
        <v>0</v>
      </c>
      <c r="FP10" s="5">
        <v>50</v>
      </c>
      <c r="FQ10" s="5">
        <v>0</v>
      </c>
      <c r="FR10" s="5">
        <v>0</v>
      </c>
      <c r="FS10" s="5">
        <v>0</v>
      </c>
      <c r="FT10" s="5">
        <v>0</v>
      </c>
      <c r="FU10" s="5">
        <v>0</v>
      </c>
      <c r="FV10" s="5">
        <v>0</v>
      </c>
      <c r="FW10" s="5">
        <v>0</v>
      </c>
      <c r="FX10" s="5">
        <v>0</v>
      </c>
      <c r="FY10" s="5">
        <v>0</v>
      </c>
      <c r="FZ10" s="5">
        <v>0</v>
      </c>
      <c r="GA10" s="5">
        <v>0</v>
      </c>
      <c r="GB10" s="5">
        <v>62</v>
      </c>
      <c r="GC10" s="5">
        <v>0</v>
      </c>
      <c r="GD10" s="5">
        <v>47</v>
      </c>
      <c r="GE10" s="5">
        <v>0</v>
      </c>
      <c r="GF10" s="5">
        <v>0</v>
      </c>
      <c r="GG10" s="5">
        <v>58</v>
      </c>
      <c r="GH10" s="5">
        <v>9</v>
      </c>
      <c r="GI10" s="5">
        <v>0</v>
      </c>
      <c r="GJ10" s="5">
        <v>80</v>
      </c>
      <c r="GK10" s="5">
        <v>0</v>
      </c>
      <c r="GL10" s="5">
        <v>0</v>
      </c>
      <c r="GM10" s="5">
        <v>158</v>
      </c>
      <c r="GN10" s="5">
        <v>43</v>
      </c>
      <c r="GO10" s="5">
        <v>0</v>
      </c>
      <c r="GP10" s="5">
        <v>58</v>
      </c>
      <c r="GQ10" s="5">
        <v>0</v>
      </c>
      <c r="GR10" s="5">
        <v>31</v>
      </c>
      <c r="GS10" s="5"/>
      <c r="GT10" s="5"/>
      <c r="GU10" s="5"/>
      <c r="GV10" s="5"/>
    </row>
    <row r="11" spans="1:204" ht="15.6">
      <c r="A11" s="3">
        <f t="shared" si="2"/>
        <v>46031</v>
      </c>
      <c r="B11" s="4" t="str">
        <f t="shared" si="1"/>
        <v>Fri</v>
      </c>
      <c r="C11" s="147">
        <f t="shared" si="0"/>
        <v>2805</v>
      </c>
      <c r="D11" s="5">
        <v>0</v>
      </c>
      <c r="E11" s="5">
        <v>0</v>
      </c>
      <c r="F11" s="5">
        <v>0</v>
      </c>
      <c r="G11" s="5">
        <v>0</v>
      </c>
      <c r="H11" s="5">
        <v>35</v>
      </c>
      <c r="I11" s="5">
        <v>97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12</v>
      </c>
      <c r="Q11" s="5">
        <v>48</v>
      </c>
      <c r="R11" s="5">
        <v>75</v>
      </c>
      <c r="S11" s="5">
        <v>0</v>
      </c>
      <c r="T11" s="5">
        <v>0</v>
      </c>
      <c r="U11" s="5">
        <v>0</v>
      </c>
      <c r="V11" s="5">
        <v>40</v>
      </c>
      <c r="W11" s="5">
        <v>0</v>
      </c>
      <c r="X11" s="5">
        <v>0</v>
      </c>
      <c r="Y11" s="5">
        <v>60</v>
      </c>
      <c r="Z11" s="5">
        <v>0</v>
      </c>
      <c r="AA11" s="5">
        <v>28</v>
      </c>
      <c r="AB11" s="5">
        <v>24</v>
      </c>
      <c r="AC11" s="5">
        <v>0</v>
      </c>
      <c r="AD11" s="5">
        <v>0</v>
      </c>
      <c r="AE11" s="5">
        <v>0</v>
      </c>
      <c r="AF11" s="5">
        <v>0</v>
      </c>
      <c r="AG11" s="5">
        <v>50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20</v>
      </c>
      <c r="AO11" s="5">
        <v>0</v>
      </c>
      <c r="AP11" s="5">
        <v>10</v>
      </c>
      <c r="AQ11" s="5">
        <v>0</v>
      </c>
      <c r="AR11" s="5">
        <v>0</v>
      </c>
      <c r="AS11" s="5">
        <v>0</v>
      </c>
      <c r="AT11" s="5">
        <v>40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3</v>
      </c>
      <c r="BA11" s="5">
        <v>0</v>
      </c>
      <c r="BB11" s="5">
        <v>90</v>
      </c>
      <c r="BC11" s="5">
        <v>0</v>
      </c>
      <c r="BD11" s="5">
        <v>0</v>
      </c>
      <c r="BE11" s="5">
        <v>0</v>
      </c>
      <c r="BF11" s="5">
        <v>0</v>
      </c>
      <c r="BG11" s="5">
        <v>18</v>
      </c>
      <c r="BH11" s="5">
        <v>0</v>
      </c>
      <c r="BI11" s="5">
        <v>0</v>
      </c>
      <c r="BJ11" s="5">
        <v>0</v>
      </c>
      <c r="BK11" s="5">
        <v>0</v>
      </c>
      <c r="BL11" s="5">
        <v>50</v>
      </c>
      <c r="BM11" s="5">
        <v>0</v>
      </c>
      <c r="BN11" s="5">
        <v>0</v>
      </c>
      <c r="BO11" s="5">
        <v>7</v>
      </c>
      <c r="BP11" s="5">
        <v>43</v>
      </c>
      <c r="BQ11" s="5">
        <v>0</v>
      </c>
      <c r="BR11" s="5">
        <v>0</v>
      </c>
      <c r="BS11" s="5">
        <v>0</v>
      </c>
      <c r="BT11" s="5">
        <v>0</v>
      </c>
      <c r="BU11" s="5">
        <v>43</v>
      </c>
      <c r="BV11" s="5">
        <v>29</v>
      </c>
      <c r="BW11" s="5">
        <v>38</v>
      </c>
      <c r="BX11" s="5">
        <v>0</v>
      </c>
      <c r="BY11" s="5">
        <v>0</v>
      </c>
      <c r="BZ11" s="5">
        <v>0</v>
      </c>
      <c r="CA11" s="5">
        <v>61</v>
      </c>
      <c r="CB11" s="5">
        <v>59</v>
      </c>
      <c r="CC11" s="5">
        <v>0</v>
      </c>
      <c r="CD11" s="5">
        <v>0</v>
      </c>
      <c r="CE11" s="5">
        <v>28</v>
      </c>
      <c r="CF11" s="5">
        <v>0</v>
      </c>
      <c r="CG11" s="5">
        <v>0</v>
      </c>
      <c r="CH11" s="5">
        <v>0</v>
      </c>
      <c r="CI11" s="5">
        <v>0</v>
      </c>
      <c r="CJ11" s="5">
        <v>127</v>
      </c>
      <c r="CK11" s="5">
        <v>0</v>
      </c>
      <c r="CL11" s="5">
        <v>20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100</v>
      </c>
      <c r="CV11" s="5">
        <v>0</v>
      </c>
      <c r="CW11" s="5">
        <v>0</v>
      </c>
      <c r="CX11" s="5">
        <v>0</v>
      </c>
      <c r="CY11" s="5">
        <v>100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30</v>
      </c>
      <c r="DF11" s="5">
        <v>0</v>
      </c>
      <c r="DG11" s="5">
        <v>9</v>
      </c>
      <c r="DH11" s="5">
        <v>21</v>
      </c>
      <c r="DI11" s="5">
        <v>89</v>
      </c>
      <c r="DJ11" s="5">
        <v>0</v>
      </c>
      <c r="DK11" s="5">
        <v>0</v>
      </c>
      <c r="DL11" s="5">
        <v>0</v>
      </c>
      <c r="DM11" s="5">
        <v>11</v>
      </c>
      <c r="DN11" s="5">
        <v>0</v>
      </c>
      <c r="DO11" s="5">
        <v>0</v>
      </c>
      <c r="DP11" s="5">
        <v>0</v>
      </c>
      <c r="DQ11" s="5">
        <v>46</v>
      </c>
      <c r="DR11" s="5">
        <v>84</v>
      </c>
      <c r="DS11" s="5">
        <v>0</v>
      </c>
      <c r="DT11" s="5">
        <v>45</v>
      </c>
      <c r="DU11" s="5">
        <v>0</v>
      </c>
      <c r="DV11" s="5">
        <v>0</v>
      </c>
      <c r="DW11" s="5">
        <v>0</v>
      </c>
      <c r="DX11" s="5">
        <v>0</v>
      </c>
      <c r="DY11" s="5">
        <v>0</v>
      </c>
      <c r="DZ11" s="5">
        <v>227</v>
      </c>
      <c r="EA11" s="5">
        <v>0</v>
      </c>
      <c r="EB11" s="5">
        <v>0</v>
      </c>
      <c r="EC11" s="5">
        <v>1</v>
      </c>
      <c r="ED11" s="5">
        <v>78</v>
      </c>
      <c r="EE11" s="5">
        <v>0</v>
      </c>
      <c r="EF11" s="5">
        <v>71</v>
      </c>
      <c r="EG11" s="5">
        <v>0</v>
      </c>
      <c r="EH11" s="5">
        <v>0</v>
      </c>
      <c r="EI11" s="5">
        <v>46</v>
      </c>
      <c r="EJ11" s="5">
        <v>0</v>
      </c>
      <c r="EK11" s="5">
        <v>0</v>
      </c>
      <c r="EL11" s="5">
        <v>48</v>
      </c>
      <c r="EM11" s="5">
        <v>49</v>
      </c>
      <c r="EN11" s="5">
        <v>0</v>
      </c>
      <c r="EO11" s="5">
        <v>0</v>
      </c>
      <c r="EP11" s="5">
        <v>0</v>
      </c>
      <c r="EQ11" s="5">
        <v>10</v>
      </c>
      <c r="ER11" s="5">
        <v>0</v>
      </c>
      <c r="ES11" s="5">
        <v>0</v>
      </c>
      <c r="ET11" s="5">
        <v>56</v>
      </c>
      <c r="EU11" s="5">
        <v>0</v>
      </c>
      <c r="EV11" s="5">
        <v>0</v>
      </c>
      <c r="EW11" s="5">
        <v>0</v>
      </c>
      <c r="EX11" s="5">
        <v>0</v>
      </c>
      <c r="EY11" s="5">
        <v>0</v>
      </c>
      <c r="EZ11" s="5">
        <v>0</v>
      </c>
      <c r="FA11" s="5">
        <v>0</v>
      </c>
      <c r="FB11" s="5">
        <v>0</v>
      </c>
      <c r="FC11" s="5">
        <v>0</v>
      </c>
      <c r="FD11" s="5">
        <v>0</v>
      </c>
      <c r="FE11" s="5">
        <v>0</v>
      </c>
      <c r="FF11" s="5">
        <v>26</v>
      </c>
      <c r="FG11" s="5">
        <v>0</v>
      </c>
      <c r="FH11" s="5">
        <v>0</v>
      </c>
      <c r="FI11" s="5">
        <v>55</v>
      </c>
      <c r="FJ11" s="5">
        <v>0</v>
      </c>
      <c r="FK11" s="5">
        <v>44</v>
      </c>
      <c r="FL11" s="5">
        <v>0</v>
      </c>
      <c r="FM11" s="5">
        <v>0</v>
      </c>
      <c r="FN11" s="5">
        <v>0</v>
      </c>
      <c r="FO11" s="5">
        <v>0</v>
      </c>
      <c r="FP11" s="5">
        <v>23</v>
      </c>
      <c r="FQ11" s="5">
        <v>0</v>
      </c>
      <c r="FR11" s="5">
        <v>0</v>
      </c>
      <c r="FS11" s="5">
        <v>0</v>
      </c>
      <c r="FT11" s="5">
        <v>0</v>
      </c>
      <c r="FU11" s="5">
        <v>0</v>
      </c>
      <c r="FV11" s="5">
        <v>0</v>
      </c>
      <c r="FW11" s="5">
        <v>0</v>
      </c>
      <c r="FX11" s="5">
        <v>0</v>
      </c>
      <c r="FY11" s="5">
        <v>0</v>
      </c>
      <c r="FZ11" s="5">
        <v>0</v>
      </c>
      <c r="GA11" s="5">
        <v>0</v>
      </c>
      <c r="GB11" s="5">
        <v>59</v>
      </c>
      <c r="GC11" s="5">
        <v>0</v>
      </c>
      <c r="GD11" s="5">
        <v>20</v>
      </c>
      <c r="GE11" s="5">
        <v>0</v>
      </c>
      <c r="GF11" s="5">
        <v>0</v>
      </c>
      <c r="GG11" s="5">
        <v>39</v>
      </c>
      <c r="GH11" s="5">
        <v>22</v>
      </c>
      <c r="GI11" s="5">
        <v>0</v>
      </c>
      <c r="GJ11" s="5">
        <v>66</v>
      </c>
      <c r="GK11" s="5">
        <v>0</v>
      </c>
      <c r="GL11" s="5">
        <v>0</v>
      </c>
      <c r="GM11" s="5">
        <v>73</v>
      </c>
      <c r="GN11" s="5">
        <v>21</v>
      </c>
      <c r="GO11" s="5">
        <v>0</v>
      </c>
      <c r="GP11" s="5">
        <v>50</v>
      </c>
      <c r="GQ11" s="5">
        <v>0</v>
      </c>
      <c r="GR11" s="5">
        <v>31</v>
      </c>
      <c r="GS11" s="5"/>
      <c r="GT11" s="5"/>
      <c r="GU11" s="5"/>
      <c r="GV11" s="5"/>
    </row>
    <row r="12" spans="1:204" ht="15.6">
      <c r="A12" s="3">
        <f t="shared" si="2"/>
        <v>46032</v>
      </c>
      <c r="B12" s="4" t="str">
        <f t="shared" si="1"/>
        <v>Sat</v>
      </c>
      <c r="C12" s="147">
        <f t="shared" si="0"/>
        <v>260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9</v>
      </c>
      <c r="Z12" s="5">
        <v>0</v>
      </c>
      <c r="AA12" s="5">
        <v>0</v>
      </c>
      <c r="AB12" s="5">
        <v>18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5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29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100</v>
      </c>
      <c r="CV12" s="5">
        <v>0</v>
      </c>
      <c r="CW12" s="5">
        <v>0</v>
      </c>
      <c r="CX12" s="5">
        <v>0</v>
      </c>
      <c r="CY12" s="5">
        <v>41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s="5">
        <v>0</v>
      </c>
      <c r="EF12" s="5">
        <v>0</v>
      </c>
      <c r="EG12" s="5">
        <v>0</v>
      </c>
      <c r="EH12" s="5">
        <v>0</v>
      </c>
      <c r="EI12" s="5">
        <v>0</v>
      </c>
      <c r="EJ12" s="5">
        <v>0</v>
      </c>
      <c r="EK12" s="5">
        <v>0</v>
      </c>
      <c r="EL12" s="5">
        <v>0</v>
      </c>
      <c r="EM12" s="5">
        <v>0</v>
      </c>
      <c r="EN12" s="5">
        <v>0</v>
      </c>
      <c r="EO12" s="5">
        <v>0</v>
      </c>
      <c r="EP12" s="5">
        <v>0</v>
      </c>
      <c r="EQ12" s="5">
        <v>0</v>
      </c>
      <c r="ER12" s="5">
        <v>0</v>
      </c>
      <c r="ES12" s="5">
        <v>0</v>
      </c>
      <c r="ET12" s="5">
        <v>0</v>
      </c>
      <c r="EU12" s="5">
        <v>0</v>
      </c>
      <c r="EV12" s="5">
        <v>0</v>
      </c>
      <c r="EW12" s="5">
        <v>0</v>
      </c>
      <c r="EX12" s="5">
        <v>0</v>
      </c>
      <c r="EY12" s="5">
        <v>0</v>
      </c>
      <c r="EZ12" s="5">
        <v>0</v>
      </c>
      <c r="FA12" s="5">
        <v>0</v>
      </c>
      <c r="FB12" s="5">
        <v>0</v>
      </c>
      <c r="FC12" s="5">
        <v>0</v>
      </c>
      <c r="FD12" s="5">
        <v>0</v>
      </c>
      <c r="FE12" s="5">
        <v>0</v>
      </c>
      <c r="FF12" s="5">
        <v>33</v>
      </c>
      <c r="FG12" s="5">
        <v>0</v>
      </c>
      <c r="FH12" s="5">
        <v>0</v>
      </c>
      <c r="FI12" s="5">
        <v>0</v>
      </c>
      <c r="FJ12" s="5">
        <v>0</v>
      </c>
      <c r="FK12" s="5">
        <v>0</v>
      </c>
      <c r="FL12" s="5">
        <v>0</v>
      </c>
      <c r="FM12" s="5">
        <v>0</v>
      </c>
      <c r="FN12" s="5">
        <v>0</v>
      </c>
      <c r="FO12" s="5">
        <v>0</v>
      </c>
      <c r="FP12" s="5">
        <v>0</v>
      </c>
      <c r="FQ12" s="5">
        <v>0</v>
      </c>
      <c r="FR12" s="5">
        <v>0</v>
      </c>
      <c r="FS12" s="5">
        <v>0</v>
      </c>
      <c r="FT12" s="5">
        <v>0</v>
      </c>
      <c r="FU12" s="5">
        <v>0</v>
      </c>
      <c r="FV12" s="5">
        <v>0</v>
      </c>
      <c r="FW12" s="5">
        <v>0</v>
      </c>
      <c r="FX12" s="5">
        <v>0</v>
      </c>
      <c r="FY12" s="5">
        <v>0</v>
      </c>
      <c r="FZ12" s="5">
        <v>0</v>
      </c>
      <c r="GA12" s="5">
        <v>0</v>
      </c>
      <c r="GB12" s="5">
        <v>0</v>
      </c>
      <c r="GC12" s="5">
        <v>0</v>
      </c>
      <c r="GD12" s="5">
        <v>0</v>
      </c>
      <c r="GE12" s="5">
        <v>0</v>
      </c>
      <c r="GF12" s="5">
        <v>0</v>
      </c>
      <c r="GG12" s="5">
        <v>0</v>
      </c>
      <c r="GH12" s="5">
        <v>0</v>
      </c>
      <c r="GI12" s="5">
        <v>0</v>
      </c>
      <c r="GJ12" s="5">
        <v>0</v>
      </c>
      <c r="GK12" s="5">
        <v>0</v>
      </c>
      <c r="GL12" s="5">
        <v>0</v>
      </c>
      <c r="GM12" s="5">
        <v>0</v>
      </c>
      <c r="GN12" s="5">
        <v>0</v>
      </c>
      <c r="GO12" s="5">
        <v>0</v>
      </c>
      <c r="GP12" s="5">
        <v>25</v>
      </c>
      <c r="GQ12" s="5">
        <v>0</v>
      </c>
      <c r="GR12" s="5">
        <v>0</v>
      </c>
      <c r="GS12" s="5"/>
      <c r="GT12" s="5"/>
      <c r="GU12" s="5"/>
      <c r="GV12" s="5"/>
    </row>
    <row r="13" spans="1:204" ht="15.6">
      <c r="A13" s="3">
        <f t="shared" si="2"/>
        <v>46033</v>
      </c>
      <c r="B13" s="4" t="str">
        <f t="shared" si="1"/>
        <v>Sun</v>
      </c>
      <c r="C13" s="147">
        <f t="shared" si="0"/>
        <v>356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22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72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19</v>
      </c>
      <c r="BW13" s="5">
        <v>9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47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25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83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0</v>
      </c>
      <c r="EO13" s="5">
        <v>0</v>
      </c>
      <c r="EP13" s="5">
        <v>0</v>
      </c>
      <c r="EQ13" s="5">
        <v>0</v>
      </c>
      <c r="ER13" s="5">
        <v>0</v>
      </c>
      <c r="ES13" s="5">
        <v>0</v>
      </c>
      <c r="ET13" s="5">
        <v>0</v>
      </c>
      <c r="EU13" s="5">
        <v>0</v>
      </c>
      <c r="EV13" s="5">
        <v>0</v>
      </c>
      <c r="EW13" s="5">
        <v>0</v>
      </c>
      <c r="EX13" s="5">
        <v>0</v>
      </c>
      <c r="EY13" s="5">
        <v>0</v>
      </c>
      <c r="EZ13" s="5">
        <v>0</v>
      </c>
      <c r="FA13" s="5">
        <v>0</v>
      </c>
      <c r="FB13" s="5">
        <v>0</v>
      </c>
      <c r="FC13" s="5">
        <v>0</v>
      </c>
      <c r="FD13" s="5">
        <v>0</v>
      </c>
      <c r="FE13" s="5">
        <v>0</v>
      </c>
      <c r="FF13" s="5">
        <v>33</v>
      </c>
      <c r="FG13" s="5">
        <v>0</v>
      </c>
      <c r="FH13" s="5">
        <v>0</v>
      </c>
      <c r="FI13" s="5">
        <v>0</v>
      </c>
      <c r="FJ13" s="5">
        <v>0</v>
      </c>
      <c r="FK13" s="5">
        <v>0</v>
      </c>
      <c r="FL13" s="5">
        <v>0</v>
      </c>
      <c r="FM13" s="5">
        <v>0</v>
      </c>
      <c r="FN13" s="5">
        <v>0</v>
      </c>
      <c r="FO13" s="5">
        <v>0</v>
      </c>
      <c r="FP13" s="5">
        <v>7</v>
      </c>
      <c r="FQ13" s="5">
        <v>0</v>
      </c>
      <c r="FR13" s="5">
        <v>0</v>
      </c>
      <c r="FS13" s="5">
        <v>0</v>
      </c>
      <c r="FT13" s="5">
        <v>0</v>
      </c>
      <c r="FU13" s="5">
        <v>0</v>
      </c>
      <c r="FV13" s="5">
        <v>0</v>
      </c>
      <c r="FW13" s="5">
        <v>0</v>
      </c>
      <c r="FX13" s="5">
        <v>0</v>
      </c>
      <c r="FY13" s="5">
        <v>0</v>
      </c>
      <c r="FZ13" s="5">
        <v>0</v>
      </c>
      <c r="GA13" s="5">
        <v>0</v>
      </c>
      <c r="GB13" s="5">
        <v>0</v>
      </c>
      <c r="GC13" s="5">
        <v>0</v>
      </c>
      <c r="GD13" s="5">
        <v>0</v>
      </c>
      <c r="GE13" s="5">
        <v>0</v>
      </c>
      <c r="GF13" s="5">
        <v>0</v>
      </c>
      <c r="GG13" s="5">
        <v>0</v>
      </c>
      <c r="GH13" s="5">
        <v>0</v>
      </c>
      <c r="GI13" s="5">
        <v>0</v>
      </c>
      <c r="GJ13" s="5">
        <v>0</v>
      </c>
      <c r="GK13" s="5">
        <v>0</v>
      </c>
      <c r="GL13" s="5">
        <v>0</v>
      </c>
      <c r="GM13" s="5">
        <v>0</v>
      </c>
      <c r="GN13" s="5">
        <v>29</v>
      </c>
      <c r="GO13" s="5">
        <v>0</v>
      </c>
      <c r="GP13" s="5">
        <v>0</v>
      </c>
      <c r="GQ13" s="5">
        <v>0</v>
      </c>
      <c r="GR13" s="5">
        <v>10</v>
      </c>
      <c r="GS13" s="5"/>
      <c r="GT13" s="5"/>
      <c r="GU13" s="5"/>
      <c r="GV13" s="5"/>
    </row>
    <row r="14" spans="1:204" ht="15.6">
      <c r="A14" s="3">
        <f t="shared" si="2"/>
        <v>46034</v>
      </c>
      <c r="B14" s="4" t="str">
        <f t="shared" si="1"/>
        <v>Mon</v>
      </c>
      <c r="C14" s="147">
        <f t="shared" si="0"/>
        <v>3013</v>
      </c>
      <c r="D14" s="5">
        <v>0</v>
      </c>
      <c r="E14" s="5">
        <v>20</v>
      </c>
      <c r="F14" s="5">
        <v>0</v>
      </c>
      <c r="G14" s="5">
        <v>0</v>
      </c>
      <c r="H14" s="5">
        <v>58</v>
      </c>
      <c r="I14" s="5">
        <v>51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50</v>
      </c>
      <c r="Q14" s="5">
        <v>25</v>
      </c>
      <c r="R14" s="5">
        <v>65</v>
      </c>
      <c r="S14" s="5">
        <v>0</v>
      </c>
      <c r="T14" s="5">
        <v>0</v>
      </c>
      <c r="U14" s="5">
        <v>0</v>
      </c>
      <c r="V14" s="5">
        <v>52</v>
      </c>
      <c r="W14" s="5">
        <v>0</v>
      </c>
      <c r="X14" s="5">
        <v>0</v>
      </c>
      <c r="Y14" s="5">
        <v>70</v>
      </c>
      <c r="Z14" s="5">
        <v>0</v>
      </c>
      <c r="AA14" s="5">
        <v>28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42</v>
      </c>
      <c r="AH14" s="5">
        <v>0</v>
      </c>
      <c r="AI14" s="5">
        <v>0</v>
      </c>
      <c r="AJ14" s="5">
        <v>0</v>
      </c>
      <c r="AK14" s="5">
        <v>0</v>
      </c>
      <c r="AL14" s="5">
        <v>5</v>
      </c>
      <c r="AM14" s="5">
        <v>0</v>
      </c>
      <c r="AN14" s="5">
        <v>19</v>
      </c>
      <c r="AO14" s="5">
        <v>0</v>
      </c>
      <c r="AP14" s="5">
        <v>11</v>
      </c>
      <c r="AQ14" s="5">
        <v>23</v>
      </c>
      <c r="AR14" s="5">
        <v>52</v>
      </c>
      <c r="AS14" s="5">
        <v>0</v>
      </c>
      <c r="AT14" s="5">
        <v>29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60</v>
      </c>
      <c r="BA14" s="5">
        <v>0</v>
      </c>
      <c r="BB14" s="5">
        <v>42</v>
      </c>
      <c r="BC14" s="5">
        <v>0</v>
      </c>
      <c r="BD14" s="5">
        <v>0</v>
      </c>
      <c r="BE14" s="5">
        <v>0</v>
      </c>
      <c r="BF14" s="5">
        <v>0</v>
      </c>
      <c r="BG14" s="5">
        <v>47</v>
      </c>
      <c r="BH14" s="5">
        <v>0</v>
      </c>
      <c r="BI14" s="5">
        <v>0</v>
      </c>
      <c r="BJ14" s="5">
        <v>14</v>
      </c>
      <c r="BK14" s="5">
        <v>0</v>
      </c>
      <c r="BL14" s="5">
        <v>0</v>
      </c>
      <c r="BM14" s="5">
        <v>0</v>
      </c>
      <c r="BN14" s="5">
        <v>0</v>
      </c>
      <c r="BO14" s="5">
        <v>24</v>
      </c>
      <c r="BP14" s="5">
        <v>51</v>
      </c>
      <c r="BQ14" s="5">
        <v>0</v>
      </c>
      <c r="BR14" s="5">
        <v>0</v>
      </c>
      <c r="BS14" s="5">
        <v>0</v>
      </c>
      <c r="BT14" s="5">
        <v>0</v>
      </c>
      <c r="BU14" s="5">
        <v>31</v>
      </c>
      <c r="BV14" s="5">
        <v>9</v>
      </c>
      <c r="BW14" s="5">
        <v>22</v>
      </c>
      <c r="BX14" s="5">
        <v>0</v>
      </c>
      <c r="BY14" s="5">
        <v>0</v>
      </c>
      <c r="BZ14" s="5">
        <v>61</v>
      </c>
      <c r="CA14" s="5">
        <v>45</v>
      </c>
      <c r="CB14" s="5">
        <v>48</v>
      </c>
      <c r="CC14" s="5">
        <v>0</v>
      </c>
      <c r="CD14" s="5">
        <v>52</v>
      </c>
      <c r="CE14" s="5">
        <v>15</v>
      </c>
      <c r="CF14" s="5">
        <v>0</v>
      </c>
      <c r="CG14" s="5">
        <v>0</v>
      </c>
      <c r="CH14" s="5">
        <v>0</v>
      </c>
      <c r="CI14" s="5">
        <v>0</v>
      </c>
      <c r="CJ14" s="5">
        <v>183</v>
      </c>
      <c r="CK14" s="5">
        <v>0</v>
      </c>
      <c r="CL14" s="5">
        <v>50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49</v>
      </c>
      <c r="CV14" s="5">
        <v>0</v>
      </c>
      <c r="CW14" s="5">
        <v>0</v>
      </c>
      <c r="CX14" s="5">
        <v>0</v>
      </c>
      <c r="CY14" s="5">
        <v>96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45</v>
      </c>
      <c r="DF14" s="5">
        <v>0</v>
      </c>
      <c r="DG14" s="5">
        <v>4</v>
      </c>
      <c r="DH14" s="5">
        <v>17</v>
      </c>
      <c r="DI14" s="5">
        <v>45</v>
      </c>
      <c r="DJ14" s="5">
        <v>0</v>
      </c>
      <c r="DK14" s="5">
        <v>237</v>
      </c>
      <c r="DL14" s="5">
        <v>0</v>
      </c>
      <c r="DM14" s="5">
        <v>50</v>
      </c>
      <c r="DN14" s="5">
        <v>0</v>
      </c>
      <c r="DO14" s="5">
        <v>0</v>
      </c>
      <c r="DP14" s="5">
        <v>0</v>
      </c>
      <c r="DQ14" s="5">
        <v>14</v>
      </c>
      <c r="DR14" s="5">
        <v>70</v>
      </c>
      <c r="DS14" s="5">
        <v>0</v>
      </c>
      <c r="DT14" s="5">
        <v>62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92</v>
      </c>
      <c r="EA14" s="5">
        <v>0</v>
      </c>
      <c r="EB14" s="5">
        <v>0</v>
      </c>
      <c r="EC14" s="5">
        <v>0</v>
      </c>
      <c r="ED14" s="5">
        <v>57</v>
      </c>
      <c r="EE14" s="5">
        <v>2</v>
      </c>
      <c r="EF14" s="5">
        <v>62</v>
      </c>
      <c r="EG14" s="5">
        <v>0</v>
      </c>
      <c r="EH14" s="5">
        <v>0</v>
      </c>
      <c r="EI14" s="5">
        <v>71</v>
      </c>
      <c r="EJ14" s="5">
        <v>0</v>
      </c>
      <c r="EK14" s="5">
        <v>0</v>
      </c>
      <c r="EL14" s="5">
        <v>54</v>
      </c>
      <c r="EM14" s="5">
        <v>22</v>
      </c>
      <c r="EN14" s="5">
        <v>0</v>
      </c>
      <c r="EO14" s="5">
        <v>0</v>
      </c>
      <c r="EP14" s="5">
        <v>0</v>
      </c>
      <c r="EQ14" s="5">
        <v>20</v>
      </c>
      <c r="ER14" s="5">
        <v>0</v>
      </c>
      <c r="ES14" s="5">
        <v>10</v>
      </c>
      <c r="ET14" s="5">
        <v>16</v>
      </c>
      <c r="EU14" s="5">
        <v>0</v>
      </c>
      <c r="EV14" s="5">
        <v>0</v>
      </c>
      <c r="EW14" s="5">
        <v>0</v>
      </c>
      <c r="EX14" s="5">
        <v>0</v>
      </c>
      <c r="EY14" s="5">
        <v>0</v>
      </c>
      <c r="EZ14" s="5">
        <v>0</v>
      </c>
      <c r="FA14" s="5">
        <v>0</v>
      </c>
      <c r="FB14" s="5">
        <v>0</v>
      </c>
      <c r="FC14" s="5">
        <v>0</v>
      </c>
      <c r="FD14" s="5">
        <v>0</v>
      </c>
      <c r="FE14" s="5">
        <v>0</v>
      </c>
      <c r="FF14" s="5">
        <v>23</v>
      </c>
      <c r="FG14" s="5">
        <v>0</v>
      </c>
      <c r="FH14" s="5">
        <v>0</v>
      </c>
      <c r="FI14" s="5">
        <v>28</v>
      </c>
      <c r="FJ14" s="5">
        <v>0</v>
      </c>
      <c r="FK14" s="5">
        <v>61</v>
      </c>
      <c r="FL14" s="5">
        <v>0</v>
      </c>
      <c r="FM14" s="5">
        <v>31</v>
      </c>
      <c r="FN14" s="5">
        <v>11</v>
      </c>
      <c r="FO14" s="5">
        <v>0</v>
      </c>
      <c r="FP14" s="5">
        <v>34</v>
      </c>
      <c r="FQ14" s="5">
        <v>0</v>
      </c>
      <c r="FR14" s="5">
        <v>0</v>
      </c>
      <c r="FS14" s="5">
        <v>0</v>
      </c>
      <c r="FT14" s="5">
        <v>0</v>
      </c>
      <c r="FU14" s="5">
        <v>0</v>
      </c>
      <c r="FV14" s="5">
        <v>0</v>
      </c>
      <c r="FW14" s="5">
        <v>0</v>
      </c>
      <c r="FX14" s="5">
        <v>0</v>
      </c>
      <c r="FY14" s="5">
        <v>0</v>
      </c>
      <c r="FZ14" s="5">
        <v>0</v>
      </c>
      <c r="GA14" s="5">
        <v>0</v>
      </c>
      <c r="GB14" s="5">
        <v>69</v>
      </c>
      <c r="GC14" s="5">
        <v>0</v>
      </c>
      <c r="GD14" s="5">
        <v>47</v>
      </c>
      <c r="GE14" s="5">
        <v>0</v>
      </c>
      <c r="GF14" s="5">
        <v>0</v>
      </c>
      <c r="GG14" s="5">
        <v>68</v>
      </c>
      <c r="GH14" s="5">
        <v>9</v>
      </c>
      <c r="GI14" s="5">
        <v>0</v>
      </c>
      <c r="GJ14" s="5">
        <v>37</v>
      </c>
      <c r="GK14" s="5">
        <v>0</v>
      </c>
      <c r="GL14" s="5">
        <v>0</v>
      </c>
      <c r="GM14" s="5">
        <v>48</v>
      </c>
      <c r="GN14" s="5">
        <v>32</v>
      </c>
      <c r="GO14" s="5">
        <v>0</v>
      </c>
      <c r="GP14" s="5">
        <v>34</v>
      </c>
      <c r="GQ14" s="5">
        <v>0</v>
      </c>
      <c r="GR14" s="5">
        <v>32</v>
      </c>
      <c r="GS14" s="5"/>
      <c r="GT14" s="5"/>
      <c r="GU14" s="5"/>
      <c r="GV14" s="5"/>
    </row>
    <row r="15" spans="1:204" ht="15.6">
      <c r="A15" s="3">
        <f t="shared" si="2"/>
        <v>46035</v>
      </c>
      <c r="B15" s="4" t="str">
        <f t="shared" si="1"/>
        <v>Tue</v>
      </c>
      <c r="C15" s="147">
        <f t="shared" si="0"/>
        <v>2706</v>
      </c>
      <c r="D15" s="5">
        <v>0</v>
      </c>
      <c r="E15" s="5">
        <v>11</v>
      </c>
      <c r="F15" s="5">
        <v>0</v>
      </c>
      <c r="G15" s="5">
        <v>0</v>
      </c>
      <c r="H15" s="5">
        <v>28</v>
      </c>
      <c r="I15" s="5">
        <v>89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41</v>
      </c>
      <c r="Q15" s="5">
        <v>43</v>
      </c>
      <c r="R15" s="5">
        <v>86</v>
      </c>
      <c r="S15" s="5">
        <v>0</v>
      </c>
      <c r="T15" s="5">
        <v>0</v>
      </c>
      <c r="U15" s="5">
        <v>0</v>
      </c>
      <c r="V15" s="5">
        <v>40</v>
      </c>
      <c r="W15" s="5">
        <v>0</v>
      </c>
      <c r="X15" s="5">
        <v>0</v>
      </c>
      <c r="Y15" s="5">
        <v>69</v>
      </c>
      <c r="Z15" s="5">
        <v>0</v>
      </c>
      <c r="AA15" s="5">
        <v>17</v>
      </c>
      <c r="AB15" s="5">
        <v>14</v>
      </c>
      <c r="AC15" s="5">
        <v>0</v>
      </c>
      <c r="AD15" s="5">
        <v>0</v>
      </c>
      <c r="AE15" s="5">
        <v>0</v>
      </c>
      <c r="AF15" s="5">
        <v>0</v>
      </c>
      <c r="AG15" s="5">
        <v>51</v>
      </c>
      <c r="AH15" s="5">
        <v>0</v>
      </c>
      <c r="AI15" s="5">
        <v>0</v>
      </c>
      <c r="AJ15" s="5">
        <v>0</v>
      </c>
      <c r="AK15" s="5">
        <v>0</v>
      </c>
      <c r="AL15" s="5">
        <v>44</v>
      </c>
      <c r="AM15" s="5">
        <v>0</v>
      </c>
      <c r="AN15" s="5">
        <v>10</v>
      </c>
      <c r="AO15" s="5">
        <v>0</v>
      </c>
      <c r="AP15" s="5">
        <v>16</v>
      </c>
      <c r="AQ15" s="5">
        <v>10</v>
      </c>
      <c r="AR15" s="5">
        <v>13</v>
      </c>
      <c r="AS15" s="5">
        <v>0</v>
      </c>
      <c r="AT15" s="5">
        <v>13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32</v>
      </c>
      <c r="BA15" s="5">
        <v>0</v>
      </c>
      <c r="BB15" s="5">
        <v>44</v>
      </c>
      <c r="BC15" s="5">
        <v>0</v>
      </c>
      <c r="BD15" s="5">
        <v>0</v>
      </c>
      <c r="BE15" s="5">
        <v>0</v>
      </c>
      <c r="BF15" s="5">
        <v>0</v>
      </c>
      <c r="BG15" s="5">
        <v>59</v>
      </c>
      <c r="BH15" s="5">
        <v>0</v>
      </c>
      <c r="BI15" s="5">
        <v>0</v>
      </c>
      <c r="BJ15" s="5">
        <v>20</v>
      </c>
      <c r="BK15" s="5">
        <v>0</v>
      </c>
      <c r="BL15" s="5">
        <v>0</v>
      </c>
      <c r="BM15" s="5">
        <v>0</v>
      </c>
      <c r="BN15" s="5">
        <v>0</v>
      </c>
      <c r="BO15" s="5">
        <v>15</v>
      </c>
      <c r="BP15" s="5">
        <v>49</v>
      </c>
      <c r="BQ15" s="5">
        <v>0</v>
      </c>
      <c r="BR15" s="5">
        <v>0</v>
      </c>
      <c r="BS15" s="5">
        <v>0</v>
      </c>
      <c r="BT15" s="5">
        <v>0</v>
      </c>
      <c r="BU15" s="5">
        <v>45</v>
      </c>
      <c r="BV15" s="5">
        <v>29</v>
      </c>
      <c r="BW15" s="5">
        <v>69</v>
      </c>
      <c r="BX15" s="5">
        <v>0</v>
      </c>
      <c r="BY15" s="5">
        <v>0</v>
      </c>
      <c r="BZ15" s="5">
        <v>72</v>
      </c>
      <c r="CA15" s="5">
        <v>29</v>
      </c>
      <c r="CB15" s="5">
        <v>58</v>
      </c>
      <c r="CC15" s="5">
        <v>0</v>
      </c>
      <c r="CD15" s="5">
        <v>0</v>
      </c>
      <c r="CE15" s="5">
        <v>7</v>
      </c>
      <c r="CF15" s="5">
        <v>0</v>
      </c>
      <c r="CG15" s="5">
        <v>0</v>
      </c>
      <c r="CH15" s="5">
        <v>0</v>
      </c>
      <c r="CI15" s="5">
        <v>0</v>
      </c>
      <c r="CJ15" s="5">
        <v>139</v>
      </c>
      <c r="CK15" s="5">
        <v>0</v>
      </c>
      <c r="CL15" s="5">
        <v>50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50</v>
      </c>
      <c r="CV15" s="5">
        <v>0</v>
      </c>
      <c r="CW15" s="5">
        <v>0</v>
      </c>
      <c r="CX15" s="5">
        <v>0</v>
      </c>
      <c r="CY15" s="5">
        <v>59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40</v>
      </c>
      <c r="DF15" s="5">
        <v>0</v>
      </c>
      <c r="DG15" s="5">
        <v>41</v>
      </c>
      <c r="DH15" s="5">
        <v>17</v>
      </c>
      <c r="DI15" s="5">
        <v>64</v>
      </c>
      <c r="DJ15" s="5">
        <v>0</v>
      </c>
      <c r="DK15" s="5">
        <v>224</v>
      </c>
      <c r="DL15" s="5">
        <v>0</v>
      </c>
      <c r="DM15" s="5">
        <v>78</v>
      </c>
      <c r="DN15" s="5">
        <v>0</v>
      </c>
      <c r="DO15" s="5">
        <v>0</v>
      </c>
      <c r="DP15" s="5">
        <v>0</v>
      </c>
      <c r="DQ15" s="5">
        <v>18</v>
      </c>
      <c r="DR15" s="5">
        <v>44</v>
      </c>
      <c r="DS15" s="5">
        <v>0</v>
      </c>
      <c r="DT15" s="5">
        <v>57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60</v>
      </c>
      <c r="EA15" s="5">
        <v>0</v>
      </c>
      <c r="EB15" s="5">
        <v>0</v>
      </c>
      <c r="EC15" s="5">
        <v>3</v>
      </c>
      <c r="ED15" s="5">
        <v>39</v>
      </c>
      <c r="EE15" s="5">
        <v>0</v>
      </c>
      <c r="EF15" s="5">
        <v>50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25</v>
      </c>
      <c r="EM15" s="5">
        <v>0</v>
      </c>
      <c r="EN15" s="5">
        <v>0</v>
      </c>
      <c r="EO15" s="5">
        <v>0</v>
      </c>
      <c r="EP15" s="5">
        <v>25</v>
      </c>
      <c r="EQ15" s="5">
        <v>5</v>
      </c>
      <c r="ER15" s="5">
        <v>0</v>
      </c>
      <c r="ES15" s="5">
        <v>10</v>
      </c>
      <c r="ET15" s="5">
        <v>51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14</v>
      </c>
      <c r="FG15" s="5">
        <v>0</v>
      </c>
      <c r="FH15" s="5">
        <v>0</v>
      </c>
      <c r="FI15" s="5">
        <v>50</v>
      </c>
      <c r="FJ15" s="5">
        <v>0</v>
      </c>
      <c r="FK15" s="5">
        <v>26</v>
      </c>
      <c r="FL15" s="5">
        <v>0</v>
      </c>
      <c r="FM15" s="5">
        <v>0</v>
      </c>
      <c r="FN15" s="5">
        <v>0</v>
      </c>
      <c r="FO15" s="5">
        <v>0</v>
      </c>
      <c r="FP15" s="5">
        <v>15</v>
      </c>
      <c r="FQ15" s="5">
        <v>0</v>
      </c>
      <c r="FR15" s="5">
        <v>0</v>
      </c>
      <c r="FS15" s="5">
        <v>0</v>
      </c>
      <c r="FT15" s="5">
        <v>0</v>
      </c>
      <c r="FU15" s="5">
        <v>0</v>
      </c>
      <c r="FV15" s="5">
        <v>0</v>
      </c>
      <c r="FW15" s="5">
        <v>0</v>
      </c>
      <c r="FX15" s="5">
        <v>0</v>
      </c>
      <c r="FY15" s="5">
        <v>0</v>
      </c>
      <c r="FZ15" s="5">
        <v>0</v>
      </c>
      <c r="GA15" s="5">
        <v>0</v>
      </c>
      <c r="GB15" s="5">
        <v>42</v>
      </c>
      <c r="GC15" s="5">
        <v>0</v>
      </c>
      <c r="GD15" s="5">
        <v>0</v>
      </c>
      <c r="GE15" s="5">
        <v>0</v>
      </c>
      <c r="GF15" s="5">
        <v>0</v>
      </c>
      <c r="GG15" s="5">
        <v>58</v>
      </c>
      <c r="GH15" s="5">
        <v>13</v>
      </c>
      <c r="GI15" s="5">
        <v>0</v>
      </c>
      <c r="GJ15" s="5">
        <v>58</v>
      </c>
      <c r="GK15" s="5">
        <v>0</v>
      </c>
      <c r="GL15" s="5">
        <v>0</v>
      </c>
      <c r="GM15" s="5">
        <v>88</v>
      </c>
      <c r="GN15" s="5">
        <v>15</v>
      </c>
      <c r="GO15" s="5">
        <v>0</v>
      </c>
      <c r="GP15" s="5">
        <v>31</v>
      </c>
      <c r="GQ15" s="5">
        <v>0</v>
      </c>
      <c r="GR15" s="5">
        <v>24</v>
      </c>
      <c r="GS15" s="5"/>
      <c r="GT15" s="5"/>
      <c r="GU15" s="5"/>
      <c r="GV15" s="5"/>
    </row>
    <row r="16" spans="1:204" ht="15.6">
      <c r="A16" s="3">
        <f t="shared" si="2"/>
        <v>46036</v>
      </c>
      <c r="B16" s="4" t="str">
        <f t="shared" si="1"/>
        <v>Wed</v>
      </c>
      <c r="C16" s="147">
        <f t="shared" si="0"/>
        <v>2265</v>
      </c>
      <c r="D16" s="5">
        <v>0</v>
      </c>
      <c r="E16" s="5">
        <v>24</v>
      </c>
      <c r="F16" s="5">
        <v>0</v>
      </c>
      <c r="G16" s="5">
        <v>0</v>
      </c>
      <c r="H16" s="5">
        <v>37</v>
      </c>
      <c r="I16" s="5">
        <v>72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25</v>
      </c>
      <c r="Q16" s="5">
        <v>46</v>
      </c>
      <c r="R16" s="5">
        <v>103</v>
      </c>
      <c r="S16" s="5">
        <v>0</v>
      </c>
      <c r="T16" s="5">
        <v>0</v>
      </c>
      <c r="U16" s="5">
        <v>0</v>
      </c>
      <c r="V16" s="5">
        <v>20</v>
      </c>
      <c r="W16" s="5">
        <v>0</v>
      </c>
      <c r="X16" s="5">
        <v>0</v>
      </c>
      <c r="Y16" s="5">
        <v>39</v>
      </c>
      <c r="Z16" s="5">
        <v>0</v>
      </c>
      <c r="AA16" s="5">
        <v>22</v>
      </c>
      <c r="AB16" s="5">
        <v>10</v>
      </c>
      <c r="AC16" s="5">
        <v>0</v>
      </c>
      <c r="AD16" s="5">
        <v>0</v>
      </c>
      <c r="AE16" s="5">
        <v>0</v>
      </c>
      <c r="AF16" s="5">
        <v>0</v>
      </c>
      <c r="AG16" s="5">
        <v>50</v>
      </c>
      <c r="AH16" s="5">
        <v>0</v>
      </c>
      <c r="AI16" s="5">
        <v>0</v>
      </c>
      <c r="AJ16" s="5">
        <v>0</v>
      </c>
      <c r="AK16" s="5">
        <v>0</v>
      </c>
      <c r="AL16" s="5">
        <v>26</v>
      </c>
      <c r="AM16" s="5">
        <v>0</v>
      </c>
      <c r="AN16" s="5">
        <v>14</v>
      </c>
      <c r="AO16" s="5">
        <v>0</v>
      </c>
      <c r="AP16" s="5">
        <v>11</v>
      </c>
      <c r="AQ16" s="5">
        <v>10</v>
      </c>
      <c r="AR16" s="5">
        <v>40</v>
      </c>
      <c r="AS16" s="5">
        <v>0</v>
      </c>
      <c r="AT16" s="5">
        <v>16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30</v>
      </c>
      <c r="BA16" s="5">
        <v>0</v>
      </c>
      <c r="BB16" s="5">
        <v>36</v>
      </c>
      <c r="BC16" s="5">
        <v>0</v>
      </c>
      <c r="BD16" s="5">
        <v>0</v>
      </c>
      <c r="BE16" s="5">
        <v>0</v>
      </c>
      <c r="BF16" s="5">
        <v>0</v>
      </c>
      <c r="BG16" s="5">
        <v>43</v>
      </c>
      <c r="BH16" s="5">
        <v>0</v>
      </c>
      <c r="BI16" s="5">
        <v>0</v>
      </c>
      <c r="BJ16" s="5">
        <v>17</v>
      </c>
      <c r="BK16" s="5">
        <v>0</v>
      </c>
      <c r="BL16" s="5">
        <v>0</v>
      </c>
      <c r="BM16" s="5">
        <v>0</v>
      </c>
      <c r="BN16" s="5">
        <v>0</v>
      </c>
      <c r="BO16" s="5">
        <v>25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31</v>
      </c>
      <c r="BV16" s="5">
        <v>17</v>
      </c>
      <c r="BW16" s="5">
        <v>0</v>
      </c>
      <c r="BX16" s="5">
        <v>0</v>
      </c>
      <c r="BY16" s="5">
        <v>0</v>
      </c>
      <c r="BZ16" s="5">
        <v>23</v>
      </c>
      <c r="CA16" s="5">
        <v>30</v>
      </c>
      <c r="CB16" s="5">
        <v>46</v>
      </c>
      <c r="CC16" s="5">
        <v>0</v>
      </c>
      <c r="CD16" s="5">
        <v>0</v>
      </c>
      <c r="CE16" s="5">
        <v>14</v>
      </c>
      <c r="CF16" s="5">
        <v>0</v>
      </c>
      <c r="CG16" s="5">
        <v>0</v>
      </c>
      <c r="CH16" s="5">
        <v>0</v>
      </c>
      <c r="CI16" s="5">
        <v>0</v>
      </c>
      <c r="CJ16" s="5">
        <v>144</v>
      </c>
      <c r="CK16" s="5">
        <v>0</v>
      </c>
      <c r="CL16" s="5">
        <v>30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35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14</v>
      </c>
      <c r="DH16" s="5">
        <v>24</v>
      </c>
      <c r="DI16" s="5">
        <v>102</v>
      </c>
      <c r="DJ16" s="5">
        <v>0</v>
      </c>
      <c r="DK16" s="5">
        <v>138</v>
      </c>
      <c r="DL16" s="5">
        <v>0</v>
      </c>
      <c r="DM16" s="5">
        <v>52</v>
      </c>
      <c r="DN16" s="5">
        <v>0</v>
      </c>
      <c r="DO16" s="5">
        <v>0</v>
      </c>
      <c r="DP16" s="5">
        <v>0</v>
      </c>
      <c r="DQ16" s="5">
        <v>32</v>
      </c>
      <c r="DR16" s="5">
        <v>76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24</v>
      </c>
      <c r="ED16" s="5">
        <v>78</v>
      </c>
      <c r="EE16" s="5">
        <v>12</v>
      </c>
      <c r="EF16" s="5">
        <v>49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5">
        <v>0</v>
      </c>
      <c r="EN16" s="5">
        <v>0</v>
      </c>
      <c r="EO16" s="5">
        <v>0</v>
      </c>
      <c r="EP16" s="5">
        <v>20</v>
      </c>
      <c r="EQ16" s="5">
        <v>10</v>
      </c>
      <c r="ER16" s="5">
        <v>0</v>
      </c>
      <c r="ES16" s="5">
        <v>6</v>
      </c>
      <c r="ET16" s="5">
        <v>68</v>
      </c>
      <c r="EU16" s="5">
        <v>0</v>
      </c>
      <c r="EV16" s="5">
        <v>0</v>
      </c>
      <c r="EW16" s="5">
        <v>0</v>
      </c>
      <c r="EX16" s="5">
        <v>0</v>
      </c>
      <c r="EY16" s="5">
        <v>0</v>
      </c>
      <c r="EZ16" s="5">
        <v>0</v>
      </c>
      <c r="FA16" s="5">
        <v>0</v>
      </c>
      <c r="FB16" s="5">
        <v>0</v>
      </c>
      <c r="FC16" s="5">
        <v>0</v>
      </c>
      <c r="FD16" s="5">
        <v>0</v>
      </c>
      <c r="FE16" s="5">
        <v>0</v>
      </c>
      <c r="FF16" s="5">
        <v>10</v>
      </c>
      <c r="FG16" s="5">
        <v>0</v>
      </c>
      <c r="FH16" s="5">
        <v>0</v>
      </c>
      <c r="FI16" s="5">
        <v>40</v>
      </c>
      <c r="FJ16" s="5">
        <v>0</v>
      </c>
      <c r="FK16" s="5">
        <v>15</v>
      </c>
      <c r="FL16" s="5">
        <v>0</v>
      </c>
      <c r="FM16" s="5">
        <v>0</v>
      </c>
      <c r="FN16" s="5">
        <v>0</v>
      </c>
      <c r="FO16" s="5">
        <v>0</v>
      </c>
      <c r="FP16" s="5">
        <v>30</v>
      </c>
      <c r="FQ16" s="5">
        <v>0</v>
      </c>
      <c r="FR16" s="5">
        <v>0</v>
      </c>
      <c r="FS16" s="5">
        <v>0</v>
      </c>
      <c r="FT16" s="5">
        <v>0</v>
      </c>
      <c r="FU16" s="5">
        <v>0</v>
      </c>
      <c r="FV16" s="5">
        <v>0</v>
      </c>
      <c r="FW16" s="5">
        <v>0</v>
      </c>
      <c r="FX16" s="5">
        <v>0</v>
      </c>
      <c r="FY16" s="5">
        <v>0</v>
      </c>
      <c r="FZ16" s="5">
        <v>0</v>
      </c>
      <c r="GA16" s="5">
        <v>0</v>
      </c>
      <c r="GB16" s="5">
        <v>45</v>
      </c>
      <c r="GC16" s="5">
        <v>0</v>
      </c>
      <c r="GD16" s="5">
        <v>30</v>
      </c>
      <c r="GE16" s="5">
        <v>0</v>
      </c>
      <c r="GF16" s="5">
        <v>0</v>
      </c>
      <c r="GG16" s="5">
        <v>53</v>
      </c>
      <c r="GH16" s="5">
        <v>12</v>
      </c>
      <c r="GI16" s="5">
        <v>0</v>
      </c>
      <c r="GJ16" s="5">
        <v>50</v>
      </c>
      <c r="GK16" s="5">
        <v>0</v>
      </c>
      <c r="GL16" s="5">
        <v>0</v>
      </c>
      <c r="GM16" s="5">
        <v>101</v>
      </c>
      <c r="GN16" s="5">
        <v>39</v>
      </c>
      <c r="GO16" s="5">
        <v>0</v>
      </c>
      <c r="GP16" s="5">
        <v>20</v>
      </c>
      <c r="GQ16" s="5">
        <v>0</v>
      </c>
      <c r="GR16" s="5">
        <v>29</v>
      </c>
      <c r="GS16" s="5"/>
      <c r="GT16" s="5"/>
      <c r="GU16" s="5"/>
      <c r="GV16" s="5"/>
    </row>
    <row r="17" spans="1:204" ht="15.6">
      <c r="A17" s="3">
        <f t="shared" si="2"/>
        <v>46037</v>
      </c>
      <c r="B17" s="4" t="str">
        <f t="shared" si="1"/>
        <v>Thu</v>
      </c>
      <c r="C17" s="147">
        <f t="shared" si="0"/>
        <v>2707</v>
      </c>
      <c r="D17" s="5">
        <v>0</v>
      </c>
      <c r="E17" s="5">
        <v>16</v>
      </c>
      <c r="F17" s="5">
        <v>0</v>
      </c>
      <c r="G17" s="5">
        <v>0</v>
      </c>
      <c r="H17" s="5">
        <v>37</v>
      </c>
      <c r="I17" s="5">
        <v>72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24</v>
      </c>
      <c r="Q17" s="5">
        <v>41</v>
      </c>
      <c r="R17" s="5">
        <v>86</v>
      </c>
      <c r="S17" s="5">
        <v>0</v>
      </c>
      <c r="T17" s="5">
        <v>0</v>
      </c>
      <c r="U17" s="5">
        <v>0</v>
      </c>
      <c r="V17" s="5">
        <v>23</v>
      </c>
      <c r="W17" s="5">
        <v>0</v>
      </c>
      <c r="X17" s="5">
        <v>0</v>
      </c>
      <c r="Y17" s="5">
        <v>61</v>
      </c>
      <c r="Z17" s="5">
        <v>0</v>
      </c>
      <c r="AA17" s="5">
        <v>37</v>
      </c>
      <c r="AB17" s="5">
        <v>28</v>
      </c>
      <c r="AC17" s="5">
        <v>0</v>
      </c>
      <c r="AD17" s="5">
        <v>0</v>
      </c>
      <c r="AE17" s="5">
        <v>0</v>
      </c>
      <c r="AF17" s="5">
        <v>0</v>
      </c>
      <c r="AG17" s="5">
        <v>24</v>
      </c>
      <c r="AH17" s="5">
        <v>0</v>
      </c>
      <c r="AI17" s="5">
        <v>0</v>
      </c>
      <c r="AJ17" s="5">
        <v>0</v>
      </c>
      <c r="AK17" s="5">
        <v>0</v>
      </c>
      <c r="AL17" s="5">
        <v>30</v>
      </c>
      <c r="AM17" s="5">
        <v>0</v>
      </c>
      <c r="AN17" s="5">
        <v>18</v>
      </c>
      <c r="AO17" s="5">
        <v>0</v>
      </c>
      <c r="AP17" s="5">
        <v>13</v>
      </c>
      <c r="AQ17" s="5">
        <v>0</v>
      </c>
      <c r="AR17" s="5">
        <v>35</v>
      </c>
      <c r="AS17" s="5">
        <v>0</v>
      </c>
      <c r="AT17" s="5">
        <v>24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16</v>
      </c>
      <c r="BA17" s="5">
        <v>0</v>
      </c>
      <c r="BB17" s="5">
        <v>60</v>
      </c>
      <c r="BC17" s="5">
        <v>0</v>
      </c>
      <c r="BD17" s="5">
        <v>0</v>
      </c>
      <c r="BE17" s="5">
        <v>0</v>
      </c>
      <c r="BF17" s="5">
        <v>0</v>
      </c>
      <c r="BG17" s="5">
        <v>13</v>
      </c>
      <c r="BH17" s="5">
        <v>0</v>
      </c>
      <c r="BI17" s="5">
        <v>0</v>
      </c>
      <c r="BJ17" s="5">
        <v>20</v>
      </c>
      <c r="BK17" s="5">
        <v>0</v>
      </c>
      <c r="BL17" s="5">
        <v>45</v>
      </c>
      <c r="BM17" s="5">
        <v>0</v>
      </c>
      <c r="BN17" s="5">
        <v>0</v>
      </c>
      <c r="BO17" s="5">
        <v>46</v>
      </c>
      <c r="BP17" s="5">
        <v>0</v>
      </c>
      <c r="BQ17" s="5">
        <v>57</v>
      </c>
      <c r="BR17" s="5">
        <v>0</v>
      </c>
      <c r="BS17" s="5">
        <v>0</v>
      </c>
      <c r="BT17" s="5">
        <v>0</v>
      </c>
      <c r="BU17" s="5">
        <v>50</v>
      </c>
      <c r="BV17" s="5">
        <v>4</v>
      </c>
      <c r="BW17" s="5">
        <v>59</v>
      </c>
      <c r="BX17" s="5">
        <v>0</v>
      </c>
      <c r="BY17" s="5">
        <v>0</v>
      </c>
      <c r="BZ17" s="5">
        <v>91</v>
      </c>
      <c r="CA17" s="5">
        <v>53</v>
      </c>
      <c r="CB17" s="5">
        <v>64</v>
      </c>
      <c r="CC17" s="5">
        <v>0</v>
      </c>
      <c r="CD17" s="5">
        <v>0</v>
      </c>
      <c r="CE17" s="5">
        <v>24</v>
      </c>
      <c r="CF17" s="5">
        <v>0</v>
      </c>
      <c r="CG17" s="5">
        <v>0</v>
      </c>
      <c r="CH17" s="5">
        <v>0</v>
      </c>
      <c r="CI17" s="5">
        <v>0</v>
      </c>
      <c r="CJ17" s="5">
        <v>98</v>
      </c>
      <c r="CK17" s="5">
        <v>0</v>
      </c>
      <c r="CL17" s="5">
        <v>40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17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60</v>
      </c>
      <c r="DF17" s="5">
        <v>0</v>
      </c>
      <c r="DG17" s="5">
        <v>22</v>
      </c>
      <c r="DH17" s="5">
        <v>17</v>
      </c>
      <c r="DI17" s="5">
        <v>103</v>
      </c>
      <c r="DJ17" s="5">
        <v>0</v>
      </c>
      <c r="DK17" s="5">
        <v>86</v>
      </c>
      <c r="DL17" s="5">
        <v>0</v>
      </c>
      <c r="DM17" s="5">
        <v>15</v>
      </c>
      <c r="DN17" s="5">
        <v>0</v>
      </c>
      <c r="DO17" s="5">
        <v>0</v>
      </c>
      <c r="DP17" s="5">
        <v>0</v>
      </c>
      <c r="DQ17" s="5">
        <v>48</v>
      </c>
      <c r="DR17" s="5">
        <v>85</v>
      </c>
      <c r="DS17" s="5">
        <v>0</v>
      </c>
      <c r="DT17" s="5">
        <v>55</v>
      </c>
      <c r="DU17" s="5">
        <v>0</v>
      </c>
      <c r="DV17" s="5">
        <v>0</v>
      </c>
      <c r="DW17" s="5">
        <v>0</v>
      </c>
      <c r="DX17" s="5">
        <v>0</v>
      </c>
      <c r="DY17" s="5">
        <v>0</v>
      </c>
      <c r="DZ17" s="5">
        <v>0</v>
      </c>
      <c r="EA17" s="5">
        <v>0</v>
      </c>
      <c r="EB17" s="5">
        <v>0</v>
      </c>
      <c r="EC17" s="5">
        <v>28</v>
      </c>
      <c r="ED17" s="5">
        <v>96</v>
      </c>
      <c r="EE17" s="5">
        <v>10</v>
      </c>
      <c r="EF17" s="5">
        <v>49</v>
      </c>
      <c r="EG17" s="5">
        <v>0</v>
      </c>
      <c r="EH17" s="5">
        <v>0</v>
      </c>
      <c r="EI17" s="5">
        <v>0</v>
      </c>
      <c r="EJ17" s="5">
        <v>0</v>
      </c>
      <c r="EK17" s="5">
        <v>0</v>
      </c>
      <c r="EL17" s="5">
        <v>112</v>
      </c>
      <c r="EM17" s="5">
        <v>50</v>
      </c>
      <c r="EN17" s="5">
        <v>9</v>
      </c>
      <c r="EO17" s="5">
        <v>0</v>
      </c>
      <c r="EP17" s="5">
        <v>0</v>
      </c>
      <c r="EQ17" s="5">
        <v>0</v>
      </c>
      <c r="ER17" s="5">
        <v>0</v>
      </c>
      <c r="ES17" s="5">
        <v>9</v>
      </c>
      <c r="ET17" s="5">
        <v>0</v>
      </c>
      <c r="EU17" s="5">
        <v>0</v>
      </c>
      <c r="EV17" s="5">
        <v>0</v>
      </c>
      <c r="EW17" s="5">
        <v>0</v>
      </c>
      <c r="EX17" s="5">
        <v>0</v>
      </c>
      <c r="EY17" s="5">
        <v>0</v>
      </c>
      <c r="EZ17" s="5">
        <v>0</v>
      </c>
      <c r="FA17" s="5">
        <v>0</v>
      </c>
      <c r="FB17" s="5">
        <v>0</v>
      </c>
      <c r="FC17" s="5">
        <v>0</v>
      </c>
      <c r="FD17" s="5">
        <v>0</v>
      </c>
      <c r="FE17" s="5">
        <v>0</v>
      </c>
      <c r="FF17" s="5">
        <v>19</v>
      </c>
      <c r="FG17" s="5">
        <v>0</v>
      </c>
      <c r="FH17" s="5">
        <v>0</v>
      </c>
      <c r="FI17" s="5">
        <v>25</v>
      </c>
      <c r="FJ17" s="5">
        <v>0</v>
      </c>
      <c r="FK17" s="5">
        <v>33</v>
      </c>
      <c r="FL17" s="5">
        <v>0</v>
      </c>
      <c r="FM17" s="5">
        <v>0</v>
      </c>
      <c r="FN17" s="5">
        <v>45</v>
      </c>
      <c r="FO17" s="5">
        <v>0</v>
      </c>
      <c r="FP17" s="5">
        <v>54</v>
      </c>
      <c r="FQ17" s="5">
        <v>0</v>
      </c>
      <c r="FR17" s="5">
        <v>0</v>
      </c>
      <c r="FS17" s="5">
        <v>0</v>
      </c>
      <c r="FT17" s="5">
        <v>0</v>
      </c>
      <c r="FU17" s="5">
        <v>0</v>
      </c>
      <c r="FV17" s="5">
        <v>0</v>
      </c>
      <c r="FW17" s="5">
        <v>0</v>
      </c>
      <c r="FX17" s="5">
        <v>0</v>
      </c>
      <c r="FY17" s="5">
        <v>0</v>
      </c>
      <c r="FZ17" s="5">
        <v>0</v>
      </c>
      <c r="GA17" s="5">
        <v>0</v>
      </c>
      <c r="GB17" s="5">
        <v>24</v>
      </c>
      <c r="GC17" s="5">
        <v>0</v>
      </c>
      <c r="GD17" s="5">
        <v>47</v>
      </c>
      <c r="GE17" s="5">
        <v>0</v>
      </c>
      <c r="GF17" s="5">
        <v>0</v>
      </c>
      <c r="GG17" s="5">
        <v>0</v>
      </c>
      <c r="GH17" s="5">
        <v>25</v>
      </c>
      <c r="GI17" s="5">
        <v>0</v>
      </c>
      <c r="GJ17" s="5">
        <v>56</v>
      </c>
      <c r="GK17" s="5">
        <v>0</v>
      </c>
      <c r="GL17" s="5">
        <v>0</v>
      </c>
      <c r="GM17" s="5">
        <v>105</v>
      </c>
      <c r="GN17" s="5">
        <v>40</v>
      </c>
      <c r="GO17" s="5">
        <v>0</v>
      </c>
      <c r="GP17" s="5">
        <v>10</v>
      </c>
      <c r="GQ17" s="5">
        <v>0</v>
      </c>
      <c r="GR17" s="5">
        <v>44</v>
      </c>
      <c r="GS17" s="5"/>
      <c r="GT17" s="5"/>
      <c r="GU17" s="5"/>
      <c r="GV17" s="5"/>
    </row>
    <row r="18" spans="1:204" ht="15.6">
      <c r="A18" s="3">
        <f t="shared" si="2"/>
        <v>46038</v>
      </c>
      <c r="B18" s="4" t="str">
        <f t="shared" si="1"/>
        <v>Fri</v>
      </c>
      <c r="C18" s="147">
        <f t="shared" si="0"/>
        <v>2390</v>
      </c>
      <c r="D18" s="5">
        <v>0</v>
      </c>
      <c r="E18" s="5">
        <v>11</v>
      </c>
      <c r="F18" s="5">
        <v>0</v>
      </c>
      <c r="G18" s="5">
        <v>0</v>
      </c>
      <c r="H18" s="5">
        <v>38</v>
      </c>
      <c r="I18" s="5">
        <v>90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24</v>
      </c>
      <c r="Q18" s="5">
        <v>27</v>
      </c>
      <c r="R18" s="5">
        <v>104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68</v>
      </c>
      <c r="Z18" s="5">
        <v>0</v>
      </c>
      <c r="AA18" s="5">
        <v>17</v>
      </c>
      <c r="AB18" s="5">
        <v>28</v>
      </c>
      <c r="AC18" s="5">
        <v>0</v>
      </c>
      <c r="AD18" s="5">
        <v>0</v>
      </c>
      <c r="AE18" s="5">
        <v>0</v>
      </c>
      <c r="AF18" s="5">
        <v>0</v>
      </c>
      <c r="AG18" s="5">
        <v>78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2</v>
      </c>
      <c r="AO18" s="5">
        <v>0</v>
      </c>
      <c r="AP18" s="5">
        <v>16</v>
      </c>
      <c r="AQ18" s="5">
        <v>7</v>
      </c>
      <c r="AR18" s="5">
        <v>66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46</v>
      </c>
      <c r="BC18" s="5">
        <v>0</v>
      </c>
      <c r="BD18" s="5">
        <v>0</v>
      </c>
      <c r="BE18" s="5">
        <v>0</v>
      </c>
      <c r="BF18" s="5">
        <v>0</v>
      </c>
      <c r="BG18" s="5">
        <v>33</v>
      </c>
      <c r="BH18" s="5">
        <v>0</v>
      </c>
      <c r="BI18" s="5">
        <v>0</v>
      </c>
      <c r="BJ18" s="5">
        <v>28</v>
      </c>
      <c r="BK18" s="5">
        <v>0</v>
      </c>
      <c r="BL18" s="5">
        <v>66</v>
      </c>
      <c r="BM18" s="5">
        <v>0</v>
      </c>
      <c r="BN18" s="5">
        <v>0</v>
      </c>
      <c r="BO18" s="5">
        <v>21</v>
      </c>
      <c r="BP18" s="5">
        <v>0</v>
      </c>
      <c r="BQ18" s="5">
        <v>68</v>
      </c>
      <c r="BR18" s="5">
        <v>0</v>
      </c>
      <c r="BS18" s="5">
        <v>0</v>
      </c>
      <c r="BT18" s="5">
        <v>0</v>
      </c>
      <c r="BU18" s="5">
        <v>47</v>
      </c>
      <c r="BV18" s="5">
        <v>0</v>
      </c>
      <c r="BW18" s="5">
        <v>35</v>
      </c>
      <c r="BX18" s="5">
        <v>0</v>
      </c>
      <c r="BY18" s="5">
        <v>0</v>
      </c>
      <c r="BZ18" s="5">
        <v>49</v>
      </c>
      <c r="CA18" s="5">
        <v>35</v>
      </c>
      <c r="CB18" s="5">
        <v>65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173</v>
      </c>
      <c r="CK18" s="5">
        <v>0</v>
      </c>
      <c r="CL18" s="5">
        <v>22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5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33</v>
      </c>
      <c r="DF18" s="5">
        <v>0</v>
      </c>
      <c r="DG18" s="5">
        <v>31</v>
      </c>
      <c r="DH18" s="5">
        <v>19</v>
      </c>
      <c r="DI18" s="5">
        <v>56</v>
      </c>
      <c r="DJ18" s="5">
        <v>0</v>
      </c>
      <c r="DK18" s="5">
        <v>88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83</v>
      </c>
      <c r="DR18" s="5">
        <v>69</v>
      </c>
      <c r="DS18" s="5">
        <v>0</v>
      </c>
      <c r="DT18" s="5">
        <v>31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33</v>
      </c>
      <c r="ED18" s="5">
        <v>6</v>
      </c>
      <c r="EE18" s="5">
        <v>15</v>
      </c>
      <c r="EF18" s="5">
        <v>49</v>
      </c>
      <c r="EG18" s="5">
        <v>0</v>
      </c>
      <c r="EH18" s="5">
        <v>0</v>
      </c>
      <c r="EI18" s="5">
        <v>0</v>
      </c>
      <c r="EJ18" s="5">
        <v>0</v>
      </c>
      <c r="EK18" s="5">
        <v>0</v>
      </c>
      <c r="EL18" s="5">
        <v>31</v>
      </c>
      <c r="EM18" s="5">
        <v>35</v>
      </c>
      <c r="EN18" s="5">
        <v>83</v>
      </c>
      <c r="EO18" s="5">
        <v>0</v>
      </c>
      <c r="EP18" s="5">
        <v>0</v>
      </c>
      <c r="EQ18" s="5">
        <v>1</v>
      </c>
      <c r="ER18" s="5">
        <v>0</v>
      </c>
      <c r="ES18" s="5">
        <v>17</v>
      </c>
      <c r="ET18" s="5">
        <v>0</v>
      </c>
      <c r="EU18" s="5">
        <v>0</v>
      </c>
      <c r="EV18" s="5">
        <v>0</v>
      </c>
      <c r="EW18" s="5">
        <v>0</v>
      </c>
      <c r="EX18" s="5">
        <v>0</v>
      </c>
      <c r="EY18" s="5">
        <v>0</v>
      </c>
      <c r="EZ18" s="5">
        <v>0</v>
      </c>
      <c r="FA18" s="5">
        <v>0</v>
      </c>
      <c r="FB18" s="5">
        <v>0</v>
      </c>
      <c r="FC18" s="5">
        <v>0</v>
      </c>
      <c r="FD18" s="5">
        <v>0</v>
      </c>
      <c r="FE18" s="5">
        <v>0</v>
      </c>
      <c r="FF18" s="5">
        <v>10</v>
      </c>
      <c r="FG18" s="5">
        <v>0</v>
      </c>
      <c r="FH18" s="5">
        <v>0</v>
      </c>
      <c r="FI18" s="5">
        <v>26</v>
      </c>
      <c r="FJ18" s="5">
        <v>0</v>
      </c>
      <c r="FK18" s="5">
        <v>23</v>
      </c>
      <c r="FL18" s="5">
        <v>0</v>
      </c>
      <c r="FM18" s="5">
        <v>16</v>
      </c>
      <c r="FN18" s="5">
        <v>0</v>
      </c>
      <c r="FO18" s="5">
        <v>0</v>
      </c>
      <c r="FP18" s="5">
        <v>39</v>
      </c>
      <c r="FQ18" s="5">
        <v>0</v>
      </c>
      <c r="FR18" s="5">
        <v>0</v>
      </c>
      <c r="FS18" s="5">
        <v>0</v>
      </c>
      <c r="FT18" s="5">
        <v>0</v>
      </c>
      <c r="FU18" s="5">
        <v>0</v>
      </c>
      <c r="FV18" s="5">
        <v>0</v>
      </c>
      <c r="FW18" s="5">
        <v>0</v>
      </c>
      <c r="FX18" s="5">
        <v>0</v>
      </c>
      <c r="FY18" s="5">
        <v>0</v>
      </c>
      <c r="FZ18" s="5">
        <v>0</v>
      </c>
      <c r="GA18" s="5">
        <v>0</v>
      </c>
      <c r="GB18" s="5">
        <v>8</v>
      </c>
      <c r="GC18" s="5">
        <v>0</v>
      </c>
      <c r="GD18" s="5">
        <v>22</v>
      </c>
      <c r="GE18" s="5">
        <v>0</v>
      </c>
      <c r="GF18" s="5">
        <v>0</v>
      </c>
      <c r="GG18" s="5">
        <v>0</v>
      </c>
      <c r="GH18" s="5">
        <v>9</v>
      </c>
      <c r="GI18" s="5">
        <v>0</v>
      </c>
      <c r="GJ18" s="5">
        <v>76</v>
      </c>
      <c r="GK18" s="5">
        <v>0</v>
      </c>
      <c r="GL18" s="5">
        <v>0</v>
      </c>
      <c r="GM18" s="5">
        <v>88</v>
      </c>
      <c r="GN18" s="5">
        <v>20</v>
      </c>
      <c r="GO18" s="5">
        <v>0</v>
      </c>
      <c r="GP18" s="5">
        <v>67</v>
      </c>
      <c r="GQ18" s="5">
        <v>0</v>
      </c>
      <c r="GR18" s="5">
        <v>37</v>
      </c>
      <c r="GS18" s="5"/>
      <c r="GT18" s="5"/>
      <c r="GU18" s="5"/>
      <c r="GV18" s="5"/>
    </row>
    <row r="19" spans="1:204" ht="15.6">
      <c r="A19" s="3">
        <f t="shared" si="2"/>
        <v>46039</v>
      </c>
      <c r="B19" s="4" t="str">
        <f t="shared" si="1"/>
        <v>Sat</v>
      </c>
      <c r="C19" s="147">
        <f t="shared" si="0"/>
        <v>242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22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108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33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s="5">
        <v>0</v>
      </c>
      <c r="EF19" s="5">
        <v>0</v>
      </c>
      <c r="EG19" s="5">
        <v>0</v>
      </c>
      <c r="EH19" s="5">
        <v>0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  <c r="EN19" s="5">
        <v>0</v>
      </c>
      <c r="EO19" s="5">
        <v>0</v>
      </c>
      <c r="EP19" s="5">
        <v>0</v>
      </c>
      <c r="EQ19" s="5">
        <v>0</v>
      </c>
      <c r="ER19" s="5">
        <v>0</v>
      </c>
      <c r="ES19" s="5">
        <v>0</v>
      </c>
      <c r="ET19" s="5">
        <v>0</v>
      </c>
      <c r="EU19" s="5">
        <v>0</v>
      </c>
      <c r="EV19" s="5">
        <v>0</v>
      </c>
      <c r="EW19" s="5">
        <v>0</v>
      </c>
      <c r="EX19" s="5">
        <v>0</v>
      </c>
      <c r="EY19" s="5">
        <v>0</v>
      </c>
      <c r="EZ19" s="5">
        <v>0</v>
      </c>
      <c r="FA19" s="5">
        <v>0</v>
      </c>
      <c r="FB19" s="5">
        <v>0</v>
      </c>
      <c r="FC19" s="5">
        <v>0</v>
      </c>
      <c r="FD19" s="5">
        <v>0</v>
      </c>
      <c r="FE19" s="5">
        <v>0</v>
      </c>
      <c r="FF19" s="5">
        <v>0</v>
      </c>
      <c r="FG19" s="5">
        <v>0</v>
      </c>
      <c r="FH19" s="5">
        <v>0</v>
      </c>
      <c r="FI19" s="5">
        <v>0</v>
      </c>
      <c r="FJ19" s="5">
        <v>0</v>
      </c>
      <c r="FK19" s="5">
        <v>0</v>
      </c>
      <c r="FL19" s="5">
        <v>0</v>
      </c>
      <c r="FM19" s="5">
        <v>0</v>
      </c>
      <c r="FN19" s="5">
        <v>0</v>
      </c>
      <c r="FO19" s="5">
        <v>0</v>
      </c>
      <c r="FP19" s="5">
        <v>24</v>
      </c>
      <c r="FQ19" s="5">
        <v>0</v>
      </c>
      <c r="FR19" s="5">
        <v>0</v>
      </c>
      <c r="FS19" s="5">
        <v>0</v>
      </c>
      <c r="FT19" s="5">
        <v>0</v>
      </c>
      <c r="FU19" s="5">
        <v>0</v>
      </c>
      <c r="FV19" s="5">
        <v>0</v>
      </c>
      <c r="FW19" s="5">
        <v>0</v>
      </c>
      <c r="FX19" s="5">
        <v>0</v>
      </c>
      <c r="FY19" s="5">
        <v>0</v>
      </c>
      <c r="FZ19" s="5">
        <v>0</v>
      </c>
      <c r="GA19" s="5">
        <v>0</v>
      </c>
      <c r="GB19" s="5">
        <v>0</v>
      </c>
      <c r="GC19" s="5">
        <v>0</v>
      </c>
      <c r="GD19" s="5">
        <v>0</v>
      </c>
      <c r="GE19" s="5">
        <v>0</v>
      </c>
      <c r="GF19" s="5">
        <v>0</v>
      </c>
      <c r="GG19" s="5">
        <v>0</v>
      </c>
      <c r="GH19" s="5">
        <v>0</v>
      </c>
      <c r="GI19" s="5">
        <v>0</v>
      </c>
      <c r="GJ19" s="5">
        <v>55</v>
      </c>
      <c r="GK19" s="5">
        <v>0</v>
      </c>
      <c r="GL19" s="5">
        <v>0</v>
      </c>
      <c r="GM19" s="5">
        <v>0</v>
      </c>
      <c r="GN19" s="5">
        <v>0</v>
      </c>
      <c r="GO19" s="5">
        <v>0</v>
      </c>
      <c r="GP19" s="5">
        <v>0</v>
      </c>
      <c r="GQ19" s="5">
        <v>0</v>
      </c>
      <c r="GR19" s="5">
        <v>0</v>
      </c>
      <c r="GS19" s="5"/>
      <c r="GT19" s="5"/>
      <c r="GU19" s="5"/>
      <c r="GV19" s="5"/>
    </row>
    <row r="20" spans="1:204" ht="15.6">
      <c r="A20" s="3">
        <f t="shared" si="2"/>
        <v>46040</v>
      </c>
      <c r="B20" s="4" t="str">
        <f t="shared" si="1"/>
        <v>Sun</v>
      </c>
      <c r="C20" s="147">
        <f t="shared" si="0"/>
        <v>330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10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4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34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236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0</v>
      </c>
      <c r="EK20" s="5">
        <v>0</v>
      </c>
      <c r="EL20" s="5">
        <v>0</v>
      </c>
      <c r="EM20" s="5">
        <v>0</v>
      </c>
      <c r="EN20" s="5">
        <v>0</v>
      </c>
      <c r="EO20" s="5">
        <v>0</v>
      </c>
      <c r="EP20" s="5">
        <v>0</v>
      </c>
      <c r="EQ20" s="5">
        <v>0</v>
      </c>
      <c r="ER20" s="5">
        <v>0</v>
      </c>
      <c r="ES20" s="5">
        <v>0</v>
      </c>
      <c r="ET20" s="5">
        <v>0</v>
      </c>
      <c r="EU20" s="5">
        <v>0</v>
      </c>
      <c r="EV20" s="5">
        <v>0</v>
      </c>
      <c r="EW20" s="5">
        <v>0</v>
      </c>
      <c r="EX20" s="5">
        <v>0</v>
      </c>
      <c r="EY20" s="5">
        <v>0</v>
      </c>
      <c r="EZ20" s="5">
        <v>0</v>
      </c>
      <c r="FA20" s="5">
        <v>0</v>
      </c>
      <c r="FB20" s="5">
        <v>0</v>
      </c>
      <c r="FC20" s="5">
        <v>0</v>
      </c>
      <c r="FD20" s="5">
        <v>0</v>
      </c>
      <c r="FE20" s="5">
        <v>0</v>
      </c>
      <c r="FF20" s="5">
        <v>5</v>
      </c>
      <c r="FG20" s="5">
        <v>0</v>
      </c>
      <c r="FH20" s="5">
        <v>0</v>
      </c>
      <c r="FI20" s="5">
        <v>0</v>
      </c>
      <c r="FJ20" s="5">
        <v>0</v>
      </c>
      <c r="FK20" s="5">
        <v>0</v>
      </c>
      <c r="FL20" s="5">
        <v>0</v>
      </c>
      <c r="FM20" s="5">
        <v>0</v>
      </c>
      <c r="FN20" s="5">
        <v>0</v>
      </c>
      <c r="FO20" s="5">
        <v>0</v>
      </c>
      <c r="FP20" s="5">
        <v>10</v>
      </c>
      <c r="FQ20" s="5">
        <v>0</v>
      </c>
      <c r="FR20" s="5">
        <v>0</v>
      </c>
      <c r="FS20" s="5">
        <v>0</v>
      </c>
      <c r="FT20" s="5">
        <v>0</v>
      </c>
      <c r="FU20" s="5">
        <v>0</v>
      </c>
      <c r="FV20" s="5">
        <v>0</v>
      </c>
      <c r="FW20" s="5">
        <v>0</v>
      </c>
      <c r="FX20" s="5">
        <v>0</v>
      </c>
      <c r="FY20" s="5">
        <v>0</v>
      </c>
      <c r="FZ20" s="5">
        <v>0</v>
      </c>
      <c r="GA20" s="5">
        <v>0</v>
      </c>
      <c r="GB20" s="5">
        <v>0</v>
      </c>
      <c r="GC20" s="5">
        <v>0</v>
      </c>
      <c r="GD20" s="5">
        <v>0</v>
      </c>
      <c r="GE20" s="5">
        <v>0</v>
      </c>
      <c r="GF20" s="5">
        <v>0</v>
      </c>
      <c r="GG20" s="5">
        <v>0</v>
      </c>
      <c r="GH20" s="5">
        <v>0</v>
      </c>
      <c r="GI20" s="5">
        <v>0</v>
      </c>
      <c r="GJ20" s="5">
        <v>31</v>
      </c>
      <c r="GK20" s="5">
        <v>0</v>
      </c>
      <c r="GL20" s="5">
        <v>0</v>
      </c>
      <c r="GM20" s="5">
        <v>0</v>
      </c>
      <c r="GN20" s="5">
        <v>0</v>
      </c>
      <c r="GO20" s="5">
        <v>0</v>
      </c>
      <c r="GP20" s="5">
        <v>0</v>
      </c>
      <c r="GQ20" s="5">
        <v>0</v>
      </c>
      <c r="GR20" s="5">
        <v>0</v>
      </c>
      <c r="GS20" s="5"/>
      <c r="GT20" s="5"/>
      <c r="GU20" s="5"/>
      <c r="GV20" s="5"/>
    </row>
    <row r="21" spans="1:204" ht="15.6">
      <c r="A21" s="3">
        <f t="shared" si="2"/>
        <v>46041</v>
      </c>
      <c r="B21" s="4" t="str">
        <f t="shared" si="1"/>
        <v>Mon</v>
      </c>
      <c r="C21" s="147">
        <f t="shared" si="0"/>
        <v>1938</v>
      </c>
      <c r="D21" s="5">
        <v>0</v>
      </c>
      <c r="E21" s="5">
        <v>0</v>
      </c>
      <c r="F21" s="5">
        <v>0</v>
      </c>
      <c r="G21" s="5">
        <v>0</v>
      </c>
      <c r="H21" s="5">
        <v>15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49</v>
      </c>
      <c r="R21" s="5">
        <v>100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17</v>
      </c>
      <c r="Z21" s="5">
        <v>0</v>
      </c>
      <c r="AA21" s="5">
        <v>19</v>
      </c>
      <c r="AB21" s="5">
        <v>12</v>
      </c>
      <c r="AC21" s="5">
        <v>0</v>
      </c>
      <c r="AD21" s="5">
        <v>0</v>
      </c>
      <c r="AE21" s="5">
        <v>0</v>
      </c>
      <c r="AF21" s="5">
        <v>0</v>
      </c>
      <c r="AG21" s="5">
        <v>86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19</v>
      </c>
      <c r="AO21" s="5">
        <v>0</v>
      </c>
      <c r="AP21" s="5">
        <v>11</v>
      </c>
      <c r="AQ21" s="5">
        <v>3</v>
      </c>
      <c r="AR21" s="5">
        <v>74</v>
      </c>
      <c r="AS21" s="5">
        <v>0</v>
      </c>
      <c r="AT21" s="5">
        <v>51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50</v>
      </c>
      <c r="BC21" s="5">
        <v>0</v>
      </c>
      <c r="BD21" s="5">
        <v>0</v>
      </c>
      <c r="BE21" s="5">
        <v>0</v>
      </c>
      <c r="BF21" s="5">
        <v>0</v>
      </c>
      <c r="BG21" s="5">
        <v>50</v>
      </c>
      <c r="BH21" s="5">
        <v>0</v>
      </c>
      <c r="BI21" s="5">
        <v>0</v>
      </c>
      <c r="BJ21" s="5">
        <v>21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45</v>
      </c>
      <c r="BR21" s="5">
        <v>0</v>
      </c>
      <c r="BS21" s="5">
        <v>0</v>
      </c>
      <c r="BT21" s="5">
        <v>0</v>
      </c>
      <c r="BU21" s="5">
        <v>0</v>
      </c>
      <c r="BV21" s="5">
        <v>14</v>
      </c>
      <c r="BW21" s="5">
        <v>15</v>
      </c>
      <c r="BX21" s="5">
        <v>0</v>
      </c>
      <c r="BY21" s="5">
        <v>0</v>
      </c>
      <c r="BZ21" s="5">
        <v>67</v>
      </c>
      <c r="CA21" s="5">
        <v>44</v>
      </c>
      <c r="CB21" s="5">
        <v>62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141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21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34</v>
      </c>
      <c r="DI21" s="5">
        <v>100</v>
      </c>
      <c r="DJ21" s="5">
        <v>0</v>
      </c>
      <c r="DK21" s="5">
        <v>32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16</v>
      </c>
      <c r="DR21" s="5">
        <v>81</v>
      </c>
      <c r="DS21" s="5">
        <v>0</v>
      </c>
      <c r="DT21" s="5">
        <v>56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67</v>
      </c>
      <c r="EE21" s="5">
        <v>18</v>
      </c>
      <c r="EF21" s="5">
        <v>28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50</v>
      </c>
      <c r="EN21" s="5">
        <v>125</v>
      </c>
      <c r="EO21" s="5">
        <v>0</v>
      </c>
      <c r="EP21" s="5">
        <v>0</v>
      </c>
      <c r="EQ21" s="5">
        <v>18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36</v>
      </c>
      <c r="FL21" s="5">
        <v>0</v>
      </c>
      <c r="FM21" s="5">
        <v>0</v>
      </c>
      <c r="FN21" s="5">
        <v>0</v>
      </c>
      <c r="FO21" s="5">
        <v>0</v>
      </c>
      <c r="FP21" s="5">
        <v>26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54</v>
      </c>
      <c r="GE21" s="5">
        <v>0</v>
      </c>
      <c r="GF21" s="5">
        <v>0</v>
      </c>
      <c r="GG21" s="5">
        <v>0</v>
      </c>
      <c r="GH21" s="5">
        <v>6</v>
      </c>
      <c r="GI21" s="5">
        <v>0</v>
      </c>
      <c r="GJ21" s="5">
        <v>76</v>
      </c>
      <c r="GK21" s="5">
        <v>0</v>
      </c>
      <c r="GL21" s="5">
        <v>0</v>
      </c>
      <c r="GM21" s="5">
        <v>87</v>
      </c>
      <c r="GN21" s="5">
        <v>42</v>
      </c>
      <c r="GO21" s="5">
        <v>0</v>
      </c>
      <c r="GP21" s="5">
        <v>0</v>
      </c>
      <c r="GQ21" s="5">
        <v>0</v>
      </c>
      <c r="GR21" s="5">
        <v>0</v>
      </c>
      <c r="GS21" s="5"/>
      <c r="GT21" s="5"/>
      <c r="GU21" s="5"/>
      <c r="GV21" s="5"/>
    </row>
    <row r="22" spans="1:204" ht="15.6">
      <c r="A22" s="3">
        <f t="shared" si="2"/>
        <v>46042</v>
      </c>
      <c r="B22" s="4" t="str">
        <f t="shared" si="1"/>
        <v>Tue</v>
      </c>
      <c r="C22" s="147">
        <f t="shared" si="0"/>
        <v>2364</v>
      </c>
      <c r="D22" s="5">
        <v>0</v>
      </c>
      <c r="E22" s="5">
        <v>16</v>
      </c>
      <c r="F22" s="5">
        <v>0</v>
      </c>
      <c r="G22" s="5">
        <v>0</v>
      </c>
      <c r="H22" s="5">
        <v>5</v>
      </c>
      <c r="I22" s="5">
        <v>91</v>
      </c>
      <c r="J22" s="5">
        <v>0</v>
      </c>
      <c r="K22" s="5">
        <v>0</v>
      </c>
      <c r="L22" s="5">
        <v>0</v>
      </c>
      <c r="M22" s="5">
        <v>7</v>
      </c>
      <c r="N22" s="5">
        <v>0</v>
      </c>
      <c r="O22" s="5">
        <v>0</v>
      </c>
      <c r="P22" s="5">
        <v>20</v>
      </c>
      <c r="Q22" s="5">
        <v>19</v>
      </c>
      <c r="R22" s="5">
        <v>72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49</v>
      </c>
      <c r="Z22" s="5">
        <v>0</v>
      </c>
      <c r="AA22" s="5">
        <v>25</v>
      </c>
      <c r="AB22" s="5">
        <v>18</v>
      </c>
      <c r="AC22" s="5">
        <v>0</v>
      </c>
      <c r="AD22" s="5">
        <v>0</v>
      </c>
      <c r="AE22" s="5">
        <v>0</v>
      </c>
      <c r="AF22" s="5">
        <v>0</v>
      </c>
      <c r="AG22" s="5">
        <v>26</v>
      </c>
      <c r="AH22" s="5">
        <v>0</v>
      </c>
      <c r="AI22" s="5">
        <v>40</v>
      </c>
      <c r="AJ22" s="5">
        <v>0</v>
      </c>
      <c r="AK22" s="5">
        <v>0</v>
      </c>
      <c r="AL22" s="5">
        <v>0</v>
      </c>
      <c r="AM22" s="5">
        <v>0</v>
      </c>
      <c r="AN22" s="5">
        <v>20</v>
      </c>
      <c r="AO22" s="5">
        <v>0</v>
      </c>
      <c r="AP22" s="5">
        <v>9</v>
      </c>
      <c r="AQ22" s="5">
        <v>9</v>
      </c>
      <c r="AR22" s="5">
        <v>1</v>
      </c>
      <c r="AS22" s="5">
        <v>0</v>
      </c>
      <c r="AT22" s="5">
        <v>57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8</v>
      </c>
      <c r="BA22" s="5">
        <v>0</v>
      </c>
      <c r="BB22" s="5">
        <v>39</v>
      </c>
      <c r="BC22" s="5">
        <v>0</v>
      </c>
      <c r="BD22" s="5">
        <v>0</v>
      </c>
      <c r="BE22" s="5">
        <v>0</v>
      </c>
      <c r="BF22" s="5">
        <v>0</v>
      </c>
      <c r="BG22" s="5">
        <v>25</v>
      </c>
      <c r="BH22" s="5">
        <v>0</v>
      </c>
      <c r="BI22" s="5">
        <v>0</v>
      </c>
      <c r="BJ22" s="5">
        <v>15</v>
      </c>
      <c r="BK22" s="5">
        <v>0</v>
      </c>
      <c r="BL22" s="5">
        <v>58</v>
      </c>
      <c r="BM22" s="5">
        <v>0</v>
      </c>
      <c r="BN22" s="5">
        <v>0</v>
      </c>
      <c r="BO22" s="5">
        <v>24</v>
      </c>
      <c r="BP22" s="5">
        <v>0</v>
      </c>
      <c r="BQ22" s="5">
        <v>35</v>
      </c>
      <c r="BR22" s="5">
        <v>0</v>
      </c>
      <c r="BS22" s="5">
        <v>0</v>
      </c>
      <c r="BT22" s="5">
        <v>0</v>
      </c>
      <c r="BU22" s="5">
        <v>62</v>
      </c>
      <c r="BV22" s="5">
        <v>19</v>
      </c>
      <c r="BW22" s="5">
        <v>51</v>
      </c>
      <c r="BX22" s="5">
        <v>0</v>
      </c>
      <c r="BY22" s="5">
        <v>0</v>
      </c>
      <c r="BZ22" s="5">
        <v>7</v>
      </c>
      <c r="CA22" s="5">
        <v>50</v>
      </c>
      <c r="CB22" s="5">
        <v>53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156</v>
      </c>
      <c r="CK22" s="5">
        <v>0</v>
      </c>
      <c r="CL22" s="5">
        <v>38</v>
      </c>
      <c r="CM22" s="5">
        <v>0</v>
      </c>
      <c r="CN22" s="5">
        <v>0</v>
      </c>
      <c r="CO22" s="5">
        <v>0</v>
      </c>
      <c r="CP22" s="5">
        <v>65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5</v>
      </c>
      <c r="DE22" s="5">
        <v>0</v>
      </c>
      <c r="DF22" s="5">
        <v>0</v>
      </c>
      <c r="DG22" s="5">
        <v>55</v>
      </c>
      <c r="DH22" s="5">
        <v>23</v>
      </c>
      <c r="DI22" s="5">
        <v>76</v>
      </c>
      <c r="DJ22" s="5">
        <v>0</v>
      </c>
      <c r="DK22" s="5">
        <v>67</v>
      </c>
      <c r="DL22" s="5">
        <v>0</v>
      </c>
      <c r="DM22" s="5">
        <v>0</v>
      </c>
      <c r="DN22" s="5">
        <v>0</v>
      </c>
      <c r="DO22" s="5">
        <v>0</v>
      </c>
      <c r="DP22" s="5">
        <v>0</v>
      </c>
      <c r="DQ22" s="5">
        <v>18</v>
      </c>
      <c r="DR22" s="5">
        <v>48</v>
      </c>
      <c r="DS22" s="5">
        <v>0</v>
      </c>
      <c r="DT22" s="5">
        <v>74</v>
      </c>
      <c r="DU22" s="5">
        <v>0</v>
      </c>
      <c r="DV22" s="5">
        <v>12</v>
      </c>
      <c r="DW22" s="5">
        <v>0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93</v>
      </c>
      <c r="EE22" s="5">
        <v>27</v>
      </c>
      <c r="EF22" s="5">
        <v>69</v>
      </c>
      <c r="EG22" s="5">
        <v>0</v>
      </c>
      <c r="EH22" s="5">
        <v>0</v>
      </c>
      <c r="EI22" s="5">
        <v>0</v>
      </c>
      <c r="EJ22" s="5">
        <v>0</v>
      </c>
      <c r="EK22" s="5">
        <v>0</v>
      </c>
      <c r="EL22" s="5">
        <v>12</v>
      </c>
      <c r="EM22" s="5">
        <v>30</v>
      </c>
      <c r="EN22" s="5">
        <v>115</v>
      </c>
      <c r="EO22" s="5">
        <v>0</v>
      </c>
      <c r="EP22" s="5">
        <v>32</v>
      </c>
      <c r="EQ22" s="5">
        <v>15</v>
      </c>
      <c r="ER22" s="5">
        <v>0</v>
      </c>
      <c r="ES22" s="5">
        <v>16</v>
      </c>
      <c r="ET22" s="5">
        <v>0</v>
      </c>
      <c r="EU22" s="5">
        <v>0</v>
      </c>
      <c r="EV22" s="5">
        <v>0</v>
      </c>
      <c r="EW22" s="5">
        <v>0</v>
      </c>
      <c r="EX22" s="5">
        <v>0</v>
      </c>
      <c r="EY22" s="5">
        <v>0</v>
      </c>
      <c r="EZ22" s="5">
        <v>0</v>
      </c>
      <c r="FA22" s="5">
        <v>0</v>
      </c>
      <c r="FB22" s="5">
        <v>0</v>
      </c>
      <c r="FC22" s="5">
        <v>0</v>
      </c>
      <c r="FD22" s="5">
        <v>0</v>
      </c>
      <c r="FE22" s="5">
        <v>0</v>
      </c>
      <c r="FF22" s="5">
        <v>14</v>
      </c>
      <c r="FG22" s="5">
        <v>0</v>
      </c>
      <c r="FH22" s="5">
        <v>0</v>
      </c>
      <c r="FI22" s="5">
        <v>47</v>
      </c>
      <c r="FJ22" s="5">
        <v>0</v>
      </c>
      <c r="FK22" s="5">
        <v>33</v>
      </c>
      <c r="FL22" s="5">
        <v>0</v>
      </c>
      <c r="FM22" s="5">
        <v>14</v>
      </c>
      <c r="FN22" s="5">
        <v>0</v>
      </c>
      <c r="FO22" s="5">
        <v>0</v>
      </c>
      <c r="FP22" s="5">
        <v>40</v>
      </c>
      <c r="FQ22" s="5">
        <v>0</v>
      </c>
      <c r="FR22" s="5">
        <v>0</v>
      </c>
      <c r="FS22" s="5">
        <v>0</v>
      </c>
      <c r="FT22" s="5">
        <v>0</v>
      </c>
      <c r="FU22" s="5">
        <v>0</v>
      </c>
      <c r="FV22" s="5">
        <v>0</v>
      </c>
      <c r="FW22" s="5">
        <v>0</v>
      </c>
      <c r="FX22" s="5">
        <v>0</v>
      </c>
      <c r="FY22" s="5">
        <v>0</v>
      </c>
      <c r="FZ22" s="5">
        <v>0</v>
      </c>
      <c r="GA22" s="5">
        <v>0</v>
      </c>
      <c r="GB22" s="5">
        <v>1</v>
      </c>
      <c r="GC22" s="5">
        <v>0</v>
      </c>
      <c r="GD22" s="5">
        <v>44</v>
      </c>
      <c r="GE22" s="5">
        <v>0</v>
      </c>
      <c r="GF22" s="5">
        <v>0</v>
      </c>
      <c r="GG22" s="5">
        <v>0</v>
      </c>
      <c r="GH22" s="5">
        <v>5</v>
      </c>
      <c r="GI22" s="5">
        <v>0</v>
      </c>
      <c r="GJ22" s="5">
        <v>69</v>
      </c>
      <c r="GK22" s="5">
        <v>0</v>
      </c>
      <c r="GL22" s="5">
        <v>0</v>
      </c>
      <c r="GM22" s="5">
        <v>61</v>
      </c>
      <c r="GN22" s="5">
        <v>33</v>
      </c>
      <c r="GO22" s="5">
        <v>0</v>
      </c>
      <c r="GP22" s="5">
        <v>0</v>
      </c>
      <c r="GQ22" s="5">
        <v>0</v>
      </c>
      <c r="GR22" s="5">
        <v>27</v>
      </c>
      <c r="GS22" s="5"/>
      <c r="GT22" s="5"/>
      <c r="GU22" s="5"/>
      <c r="GV22" s="5"/>
    </row>
    <row r="23" spans="1:204" ht="15.6">
      <c r="A23" s="3">
        <f t="shared" si="2"/>
        <v>46043</v>
      </c>
      <c r="B23" s="4" t="str">
        <f t="shared" si="1"/>
        <v>Wed</v>
      </c>
      <c r="C23" s="147">
        <f t="shared" si="0"/>
        <v>3498</v>
      </c>
      <c r="D23" s="5">
        <v>0</v>
      </c>
      <c r="E23" s="5">
        <v>76</v>
      </c>
      <c r="F23" s="5">
        <v>0</v>
      </c>
      <c r="G23" s="5">
        <v>0</v>
      </c>
      <c r="H23" s="5">
        <v>20</v>
      </c>
      <c r="I23" s="5">
        <v>90</v>
      </c>
      <c r="J23" s="5">
        <v>0</v>
      </c>
      <c r="K23" s="5">
        <v>0</v>
      </c>
      <c r="L23" s="5">
        <v>0</v>
      </c>
      <c r="M23" s="5">
        <v>22</v>
      </c>
      <c r="N23" s="5">
        <v>0</v>
      </c>
      <c r="O23" s="5">
        <v>0</v>
      </c>
      <c r="P23" s="5">
        <v>29</v>
      </c>
      <c r="Q23" s="5">
        <v>26</v>
      </c>
      <c r="R23" s="5">
        <v>119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80</v>
      </c>
      <c r="Z23" s="5">
        <v>0</v>
      </c>
      <c r="AA23" s="5">
        <v>14</v>
      </c>
      <c r="AB23" s="5">
        <v>29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37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20</v>
      </c>
      <c r="AQ23" s="5">
        <v>0</v>
      </c>
      <c r="AR23" s="5">
        <v>14</v>
      </c>
      <c r="AS23" s="5">
        <v>0</v>
      </c>
      <c r="AT23" s="5">
        <v>27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1</v>
      </c>
      <c r="BA23" s="5">
        <v>0</v>
      </c>
      <c r="BB23" s="5">
        <v>78</v>
      </c>
      <c r="BC23" s="5">
        <v>0</v>
      </c>
      <c r="BD23" s="5">
        <v>0</v>
      </c>
      <c r="BE23" s="5">
        <v>0</v>
      </c>
      <c r="BF23" s="5">
        <v>0</v>
      </c>
      <c r="BG23" s="5">
        <v>23</v>
      </c>
      <c r="BH23" s="5">
        <v>0</v>
      </c>
      <c r="BI23" s="5">
        <v>0</v>
      </c>
      <c r="BJ23" s="5">
        <v>21</v>
      </c>
      <c r="BK23" s="5">
        <v>0</v>
      </c>
      <c r="BL23" s="5">
        <v>35</v>
      </c>
      <c r="BM23" s="5">
        <v>0</v>
      </c>
      <c r="BN23" s="5">
        <v>0</v>
      </c>
      <c r="BO23" s="5">
        <v>35</v>
      </c>
      <c r="BP23" s="5">
        <v>0</v>
      </c>
      <c r="BQ23" s="5">
        <v>92</v>
      </c>
      <c r="BR23" s="5">
        <v>0</v>
      </c>
      <c r="BS23" s="5">
        <v>0</v>
      </c>
      <c r="BT23" s="5">
        <v>0</v>
      </c>
      <c r="BU23" s="5">
        <v>50</v>
      </c>
      <c r="BV23" s="5">
        <v>4</v>
      </c>
      <c r="BW23" s="5">
        <v>9</v>
      </c>
      <c r="BX23" s="5">
        <v>1</v>
      </c>
      <c r="BY23" s="5">
        <v>0</v>
      </c>
      <c r="BZ23" s="5">
        <v>177</v>
      </c>
      <c r="CA23" s="5">
        <v>73</v>
      </c>
      <c r="CB23" s="5">
        <v>56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182</v>
      </c>
      <c r="CK23" s="5">
        <v>0</v>
      </c>
      <c r="CL23" s="5">
        <v>47</v>
      </c>
      <c r="CM23" s="5">
        <v>0</v>
      </c>
      <c r="CN23" s="5">
        <v>0</v>
      </c>
      <c r="CO23" s="5">
        <v>0</v>
      </c>
      <c r="CP23" s="5">
        <v>44</v>
      </c>
      <c r="CQ23" s="5">
        <v>0</v>
      </c>
      <c r="CR23" s="5">
        <v>0</v>
      </c>
      <c r="CS23" s="5">
        <v>0</v>
      </c>
      <c r="CT23" s="5">
        <v>0</v>
      </c>
      <c r="CU23" s="5">
        <v>100</v>
      </c>
      <c r="CV23" s="5">
        <v>0</v>
      </c>
      <c r="CW23" s="5">
        <v>0</v>
      </c>
      <c r="CX23" s="5">
        <v>0</v>
      </c>
      <c r="CY23" s="5">
        <v>62</v>
      </c>
      <c r="CZ23" s="5">
        <v>0</v>
      </c>
      <c r="DA23" s="5">
        <v>0</v>
      </c>
      <c r="DB23" s="5">
        <v>0</v>
      </c>
      <c r="DC23" s="5">
        <v>0</v>
      </c>
      <c r="DD23" s="5">
        <v>45</v>
      </c>
      <c r="DE23" s="5">
        <v>55</v>
      </c>
      <c r="DF23" s="5">
        <v>0</v>
      </c>
      <c r="DG23" s="5">
        <v>19</v>
      </c>
      <c r="DH23" s="5">
        <v>0</v>
      </c>
      <c r="DI23" s="5">
        <v>105</v>
      </c>
      <c r="DJ23" s="5">
        <v>0</v>
      </c>
      <c r="DK23" s="5">
        <v>135</v>
      </c>
      <c r="DL23" s="5">
        <v>0</v>
      </c>
      <c r="DM23" s="5">
        <v>12</v>
      </c>
      <c r="DN23" s="5">
        <v>0</v>
      </c>
      <c r="DO23" s="5">
        <v>30</v>
      </c>
      <c r="DP23" s="5">
        <v>0</v>
      </c>
      <c r="DQ23" s="5">
        <v>36</v>
      </c>
      <c r="DR23" s="5">
        <v>59</v>
      </c>
      <c r="DS23" s="5">
        <v>0</v>
      </c>
      <c r="DT23" s="5">
        <v>49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5">
        <v>0</v>
      </c>
      <c r="ED23" s="5">
        <v>87</v>
      </c>
      <c r="EE23" s="5">
        <v>10</v>
      </c>
      <c r="EF23" s="5">
        <v>72</v>
      </c>
      <c r="EG23" s="5">
        <v>0</v>
      </c>
      <c r="EH23" s="5">
        <v>0</v>
      </c>
      <c r="EI23" s="5">
        <v>48</v>
      </c>
      <c r="EJ23" s="5">
        <v>0</v>
      </c>
      <c r="EK23" s="5">
        <v>0</v>
      </c>
      <c r="EL23" s="5">
        <v>39</v>
      </c>
      <c r="EM23" s="5">
        <v>19</v>
      </c>
      <c r="EN23" s="5">
        <v>113</v>
      </c>
      <c r="EO23" s="5">
        <v>0</v>
      </c>
      <c r="EP23" s="5">
        <v>29</v>
      </c>
      <c r="EQ23" s="5">
        <v>10</v>
      </c>
      <c r="ER23" s="5">
        <v>0</v>
      </c>
      <c r="ES23" s="5">
        <v>15</v>
      </c>
      <c r="ET23" s="5">
        <v>219</v>
      </c>
      <c r="EU23" s="5">
        <v>0</v>
      </c>
      <c r="EV23" s="5">
        <v>0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25</v>
      </c>
      <c r="FJ23" s="5">
        <v>0</v>
      </c>
      <c r="FK23" s="5">
        <v>32</v>
      </c>
      <c r="FL23" s="5">
        <v>0</v>
      </c>
      <c r="FM23" s="5">
        <v>12</v>
      </c>
      <c r="FN23" s="5">
        <v>17</v>
      </c>
      <c r="FO23" s="5">
        <v>0</v>
      </c>
      <c r="FP23" s="5">
        <v>45</v>
      </c>
      <c r="FQ23" s="5">
        <v>0</v>
      </c>
      <c r="FR23" s="5">
        <v>50</v>
      </c>
      <c r="FS23" s="5">
        <v>0</v>
      </c>
      <c r="FT23" s="5">
        <v>0</v>
      </c>
      <c r="FU23" s="5">
        <v>0</v>
      </c>
      <c r="FV23" s="5">
        <v>97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20</v>
      </c>
      <c r="GC23" s="5">
        <v>0</v>
      </c>
      <c r="GD23" s="5">
        <v>15</v>
      </c>
      <c r="GE23" s="5">
        <v>0</v>
      </c>
      <c r="GF23" s="5">
        <v>0</v>
      </c>
      <c r="GG23" s="5">
        <v>0</v>
      </c>
      <c r="GH23" s="5">
        <v>11</v>
      </c>
      <c r="GI23" s="5">
        <v>0</v>
      </c>
      <c r="GJ23" s="5">
        <v>45</v>
      </c>
      <c r="GK23" s="5">
        <v>0</v>
      </c>
      <c r="GL23" s="5">
        <v>0</v>
      </c>
      <c r="GM23" s="5">
        <v>102</v>
      </c>
      <c r="GN23" s="5">
        <v>42</v>
      </c>
      <c r="GO23" s="5">
        <v>0</v>
      </c>
      <c r="GP23" s="5">
        <v>50</v>
      </c>
      <c r="GQ23" s="5">
        <v>0</v>
      </c>
      <c r="GR23" s="5">
        <v>36</v>
      </c>
      <c r="GS23" s="5"/>
      <c r="GT23" s="5"/>
      <c r="GU23" s="5"/>
      <c r="GV23" s="5"/>
    </row>
    <row r="24" spans="1:204" ht="15.6">
      <c r="A24" s="3">
        <f t="shared" si="2"/>
        <v>46044</v>
      </c>
      <c r="B24" s="4" t="str">
        <f t="shared" si="1"/>
        <v>Thu</v>
      </c>
      <c r="C24" s="147">
        <f t="shared" si="0"/>
        <v>2853</v>
      </c>
      <c r="D24" s="5">
        <v>0</v>
      </c>
      <c r="E24" s="5">
        <v>20</v>
      </c>
      <c r="F24" s="5">
        <v>0</v>
      </c>
      <c r="G24" s="5">
        <v>0</v>
      </c>
      <c r="H24" s="5">
        <v>27</v>
      </c>
      <c r="I24" s="5">
        <v>60</v>
      </c>
      <c r="J24" s="5">
        <v>0</v>
      </c>
      <c r="K24" s="5">
        <v>0</v>
      </c>
      <c r="L24" s="5">
        <v>0</v>
      </c>
      <c r="M24" s="5">
        <v>23</v>
      </c>
      <c r="N24" s="5">
        <v>0</v>
      </c>
      <c r="O24" s="5">
        <v>0</v>
      </c>
      <c r="P24" s="5">
        <v>42</v>
      </c>
      <c r="Q24" s="5">
        <v>14</v>
      </c>
      <c r="R24" s="5">
        <v>108</v>
      </c>
      <c r="S24" s="5">
        <v>0</v>
      </c>
      <c r="T24" s="5">
        <v>0</v>
      </c>
      <c r="U24" s="5">
        <v>0</v>
      </c>
      <c r="V24" s="5">
        <v>0</v>
      </c>
      <c r="W24" s="5">
        <v>50</v>
      </c>
      <c r="X24" s="5">
        <v>0</v>
      </c>
      <c r="Y24" s="5">
        <v>70</v>
      </c>
      <c r="Z24" s="5">
        <v>0</v>
      </c>
      <c r="AA24" s="5">
        <v>18</v>
      </c>
      <c r="AB24" s="5">
        <v>39</v>
      </c>
      <c r="AC24" s="5">
        <v>0</v>
      </c>
      <c r="AD24" s="5">
        <v>0</v>
      </c>
      <c r="AE24" s="5">
        <v>0</v>
      </c>
      <c r="AF24" s="5">
        <v>0</v>
      </c>
      <c r="AG24" s="5">
        <v>25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6</v>
      </c>
      <c r="AO24" s="5">
        <v>0</v>
      </c>
      <c r="AP24" s="5">
        <v>11</v>
      </c>
      <c r="AQ24" s="5">
        <v>0</v>
      </c>
      <c r="AR24" s="5">
        <v>49</v>
      </c>
      <c r="AS24" s="5">
        <v>0</v>
      </c>
      <c r="AT24" s="5">
        <v>12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50</v>
      </c>
      <c r="BC24" s="5">
        <v>0</v>
      </c>
      <c r="BD24" s="5">
        <v>0</v>
      </c>
      <c r="BE24" s="5">
        <v>0</v>
      </c>
      <c r="BF24" s="5">
        <v>0</v>
      </c>
      <c r="BG24" s="5">
        <v>3</v>
      </c>
      <c r="BH24" s="5">
        <v>0</v>
      </c>
      <c r="BI24" s="5">
        <v>0</v>
      </c>
      <c r="BJ24" s="5">
        <v>20</v>
      </c>
      <c r="BK24" s="5">
        <v>0</v>
      </c>
      <c r="BL24" s="5">
        <v>33</v>
      </c>
      <c r="BM24" s="5">
        <v>0</v>
      </c>
      <c r="BN24" s="5">
        <v>0</v>
      </c>
      <c r="BO24" s="5">
        <v>27</v>
      </c>
      <c r="BP24" s="5">
        <v>0</v>
      </c>
      <c r="BQ24" s="5">
        <v>58</v>
      </c>
      <c r="BR24" s="5">
        <v>0</v>
      </c>
      <c r="BS24" s="5">
        <v>0</v>
      </c>
      <c r="BT24" s="5">
        <v>0</v>
      </c>
      <c r="BU24" s="5">
        <v>36</v>
      </c>
      <c r="BV24" s="5">
        <v>19</v>
      </c>
      <c r="BW24" s="5">
        <v>68</v>
      </c>
      <c r="BX24" s="5">
        <v>0</v>
      </c>
      <c r="BY24" s="5">
        <v>0</v>
      </c>
      <c r="BZ24" s="5">
        <v>167</v>
      </c>
      <c r="CA24" s="5">
        <v>37</v>
      </c>
      <c r="CB24" s="5">
        <v>43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88</v>
      </c>
      <c r="CK24" s="5">
        <v>0</v>
      </c>
      <c r="CL24" s="5">
        <v>41</v>
      </c>
      <c r="CM24" s="5">
        <v>0</v>
      </c>
      <c r="CN24" s="5">
        <v>0</v>
      </c>
      <c r="CO24" s="5">
        <v>20</v>
      </c>
      <c r="CP24" s="5">
        <v>51</v>
      </c>
      <c r="CQ24" s="5">
        <v>0</v>
      </c>
      <c r="CR24" s="5">
        <v>0</v>
      </c>
      <c r="CS24" s="5">
        <v>0</v>
      </c>
      <c r="CT24" s="5">
        <v>0</v>
      </c>
      <c r="CU24" s="5">
        <v>99</v>
      </c>
      <c r="CV24" s="5">
        <v>0</v>
      </c>
      <c r="CW24" s="5">
        <v>0</v>
      </c>
      <c r="CX24" s="5">
        <v>0</v>
      </c>
      <c r="CY24" s="5">
        <v>91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45</v>
      </c>
      <c r="DF24" s="5">
        <v>0</v>
      </c>
      <c r="DG24" s="5">
        <v>17</v>
      </c>
      <c r="DH24" s="5">
        <v>0</v>
      </c>
      <c r="DI24" s="5">
        <v>102</v>
      </c>
      <c r="DJ24" s="5">
        <v>0</v>
      </c>
      <c r="DK24" s="5">
        <v>67</v>
      </c>
      <c r="DL24" s="5">
        <v>0</v>
      </c>
      <c r="DM24" s="5">
        <v>52</v>
      </c>
      <c r="DN24" s="5">
        <v>0</v>
      </c>
      <c r="DO24" s="5">
        <v>20</v>
      </c>
      <c r="DP24" s="5">
        <v>0</v>
      </c>
      <c r="DQ24" s="5">
        <v>20</v>
      </c>
      <c r="DR24" s="5">
        <v>36</v>
      </c>
      <c r="DS24" s="5">
        <v>0</v>
      </c>
      <c r="DT24" s="5">
        <v>36</v>
      </c>
      <c r="DU24" s="5">
        <v>0</v>
      </c>
      <c r="DV24" s="5">
        <v>0</v>
      </c>
      <c r="DW24" s="5">
        <v>0</v>
      </c>
      <c r="DX24" s="5">
        <v>0</v>
      </c>
      <c r="DY24" s="5">
        <v>0</v>
      </c>
      <c r="DZ24" s="5">
        <v>49</v>
      </c>
      <c r="EA24" s="5">
        <v>0</v>
      </c>
      <c r="EB24" s="5">
        <v>0</v>
      </c>
      <c r="EC24" s="5">
        <v>0</v>
      </c>
      <c r="ED24" s="5">
        <v>51</v>
      </c>
      <c r="EE24" s="5">
        <v>15</v>
      </c>
      <c r="EF24" s="5">
        <v>75</v>
      </c>
      <c r="EG24" s="5">
        <v>0</v>
      </c>
      <c r="EH24" s="5">
        <v>0</v>
      </c>
      <c r="EI24" s="5">
        <v>67</v>
      </c>
      <c r="EJ24" s="5">
        <v>0</v>
      </c>
      <c r="EK24" s="5">
        <v>0</v>
      </c>
      <c r="EL24" s="5">
        <v>40</v>
      </c>
      <c r="EM24" s="5">
        <v>20</v>
      </c>
      <c r="EN24" s="5">
        <v>50</v>
      </c>
      <c r="EO24" s="5">
        <v>0</v>
      </c>
      <c r="EP24" s="5">
        <v>35</v>
      </c>
      <c r="EQ24" s="5">
        <v>0</v>
      </c>
      <c r="ER24" s="5">
        <v>0</v>
      </c>
      <c r="ES24" s="5">
        <v>21</v>
      </c>
      <c r="ET24" s="5">
        <v>0</v>
      </c>
      <c r="EU24" s="5">
        <v>0</v>
      </c>
      <c r="EV24" s="5">
        <v>0</v>
      </c>
      <c r="EW24" s="5">
        <v>0</v>
      </c>
      <c r="EX24" s="5">
        <v>0</v>
      </c>
      <c r="EY24" s="5">
        <v>0</v>
      </c>
      <c r="EZ24" s="5">
        <v>0</v>
      </c>
      <c r="FA24" s="5">
        <v>0</v>
      </c>
      <c r="FB24" s="5">
        <v>0</v>
      </c>
      <c r="FC24" s="5">
        <v>0</v>
      </c>
      <c r="FD24" s="5">
        <v>0</v>
      </c>
      <c r="FE24" s="5">
        <v>0</v>
      </c>
      <c r="FF24" s="5">
        <v>46</v>
      </c>
      <c r="FG24" s="5">
        <v>0</v>
      </c>
      <c r="FH24" s="5">
        <v>0</v>
      </c>
      <c r="FI24" s="5">
        <v>15</v>
      </c>
      <c r="FJ24" s="5">
        <v>0</v>
      </c>
      <c r="FK24" s="5">
        <v>21</v>
      </c>
      <c r="FL24" s="5">
        <v>0</v>
      </c>
      <c r="FM24" s="5">
        <v>23</v>
      </c>
      <c r="FN24" s="5">
        <v>0</v>
      </c>
      <c r="FO24" s="5">
        <v>0</v>
      </c>
      <c r="FP24" s="5">
        <v>36</v>
      </c>
      <c r="FQ24" s="5">
        <v>0</v>
      </c>
      <c r="FR24" s="5">
        <v>0</v>
      </c>
      <c r="FS24" s="5">
        <v>0</v>
      </c>
      <c r="FT24" s="5">
        <v>0</v>
      </c>
      <c r="FU24" s="5">
        <v>0</v>
      </c>
      <c r="FV24" s="5">
        <v>0</v>
      </c>
      <c r="FW24" s="5">
        <v>0</v>
      </c>
      <c r="FX24" s="5">
        <v>0</v>
      </c>
      <c r="FY24" s="5">
        <v>0</v>
      </c>
      <c r="FZ24" s="5">
        <v>0</v>
      </c>
      <c r="GA24" s="5">
        <v>0</v>
      </c>
      <c r="GB24" s="5">
        <v>54</v>
      </c>
      <c r="GC24" s="5">
        <v>0</v>
      </c>
      <c r="GD24" s="5">
        <v>15</v>
      </c>
      <c r="GE24" s="5">
        <v>0</v>
      </c>
      <c r="GF24" s="5">
        <v>0</v>
      </c>
      <c r="GG24" s="5">
        <v>0</v>
      </c>
      <c r="GH24" s="5">
        <v>12</v>
      </c>
      <c r="GI24" s="5">
        <v>0</v>
      </c>
      <c r="GJ24" s="5">
        <v>71</v>
      </c>
      <c r="GK24" s="5">
        <v>0</v>
      </c>
      <c r="GL24" s="5">
        <v>0</v>
      </c>
      <c r="GM24" s="5">
        <v>120</v>
      </c>
      <c r="GN24" s="5">
        <v>67</v>
      </c>
      <c r="GO24" s="5">
        <v>0</v>
      </c>
      <c r="GP24" s="5">
        <v>30</v>
      </c>
      <c r="GQ24" s="5">
        <v>0</v>
      </c>
      <c r="GR24" s="5">
        <v>0</v>
      </c>
      <c r="GS24" s="5"/>
      <c r="GT24" s="5"/>
      <c r="GU24" s="5"/>
      <c r="GV24" s="5"/>
    </row>
    <row r="25" spans="1:204" ht="15.6">
      <c r="A25" s="3">
        <f t="shared" si="2"/>
        <v>46045</v>
      </c>
      <c r="B25" s="4" t="str">
        <f t="shared" si="1"/>
        <v>Fri</v>
      </c>
      <c r="C25" s="147">
        <f t="shared" si="0"/>
        <v>2704</v>
      </c>
      <c r="D25" s="5">
        <v>0</v>
      </c>
      <c r="E25" s="5">
        <v>10</v>
      </c>
      <c r="F25" s="5">
        <v>0</v>
      </c>
      <c r="G25" s="5">
        <v>0</v>
      </c>
      <c r="H25" s="5">
        <v>13</v>
      </c>
      <c r="I25" s="5">
        <v>39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24</v>
      </c>
      <c r="Q25" s="5">
        <v>40</v>
      </c>
      <c r="R25" s="5">
        <v>76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62</v>
      </c>
      <c r="Z25" s="5">
        <v>0</v>
      </c>
      <c r="AA25" s="5">
        <v>15</v>
      </c>
      <c r="AB25" s="5">
        <v>22</v>
      </c>
      <c r="AC25" s="5">
        <v>0</v>
      </c>
      <c r="AD25" s="5">
        <v>0</v>
      </c>
      <c r="AE25" s="5">
        <v>0</v>
      </c>
      <c r="AF25" s="5">
        <v>0</v>
      </c>
      <c r="AG25" s="5">
        <v>21</v>
      </c>
      <c r="AH25" s="5">
        <v>0</v>
      </c>
      <c r="AI25" s="5">
        <v>35</v>
      </c>
      <c r="AJ25" s="5">
        <v>0</v>
      </c>
      <c r="AK25" s="5">
        <v>0</v>
      </c>
      <c r="AL25" s="5">
        <v>0</v>
      </c>
      <c r="AM25" s="5">
        <v>0</v>
      </c>
      <c r="AN25" s="5">
        <v>5</v>
      </c>
      <c r="AO25" s="5">
        <v>0</v>
      </c>
      <c r="AP25" s="5">
        <v>14</v>
      </c>
      <c r="AQ25" s="5">
        <v>0</v>
      </c>
      <c r="AR25" s="5">
        <v>10</v>
      </c>
      <c r="AS25" s="5">
        <v>0</v>
      </c>
      <c r="AT25" s="5">
        <v>51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32</v>
      </c>
      <c r="BC25" s="5">
        <v>0</v>
      </c>
      <c r="BD25" s="5">
        <v>0</v>
      </c>
      <c r="BE25" s="5">
        <v>0</v>
      </c>
      <c r="BF25" s="5">
        <v>6</v>
      </c>
      <c r="BG25" s="5">
        <v>51</v>
      </c>
      <c r="BH25" s="5">
        <v>0</v>
      </c>
      <c r="BI25" s="5">
        <v>0</v>
      </c>
      <c r="BJ25" s="5">
        <v>29</v>
      </c>
      <c r="BK25" s="5">
        <v>0</v>
      </c>
      <c r="BL25" s="5">
        <v>22</v>
      </c>
      <c r="BM25" s="5">
        <v>0</v>
      </c>
      <c r="BN25" s="5">
        <v>0</v>
      </c>
      <c r="BO25" s="5">
        <v>34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46</v>
      </c>
      <c r="BV25" s="5">
        <v>11</v>
      </c>
      <c r="BW25" s="5">
        <v>62</v>
      </c>
      <c r="BX25" s="5">
        <v>0</v>
      </c>
      <c r="BY25" s="5">
        <v>0</v>
      </c>
      <c r="BZ25" s="5">
        <v>193</v>
      </c>
      <c r="CA25" s="5">
        <v>50</v>
      </c>
      <c r="CB25" s="5">
        <v>33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170</v>
      </c>
      <c r="CK25" s="5">
        <v>0</v>
      </c>
      <c r="CL25" s="5">
        <v>41</v>
      </c>
      <c r="CM25" s="5">
        <v>0</v>
      </c>
      <c r="CN25" s="5">
        <v>0</v>
      </c>
      <c r="CO25" s="5">
        <v>20</v>
      </c>
      <c r="CP25" s="5">
        <v>92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5</v>
      </c>
      <c r="CW25" s="5">
        <v>0</v>
      </c>
      <c r="CX25" s="5">
        <v>0</v>
      </c>
      <c r="CY25" s="5">
        <v>52</v>
      </c>
      <c r="CZ25" s="5">
        <v>5</v>
      </c>
      <c r="DA25" s="5">
        <v>0</v>
      </c>
      <c r="DB25" s="5">
        <v>0</v>
      </c>
      <c r="DC25" s="5">
        <v>0</v>
      </c>
      <c r="DD25" s="5">
        <v>50</v>
      </c>
      <c r="DE25" s="5">
        <v>55</v>
      </c>
      <c r="DF25" s="5">
        <v>0</v>
      </c>
      <c r="DG25" s="5">
        <v>10</v>
      </c>
      <c r="DH25" s="5">
        <v>0</v>
      </c>
      <c r="DI25" s="5">
        <v>81</v>
      </c>
      <c r="DJ25" s="5">
        <v>0</v>
      </c>
      <c r="DK25" s="5">
        <v>103</v>
      </c>
      <c r="DL25" s="5">
        <v>0</v>
      </c>
      <c r="DM25" s="5">
        <v>0</v>
      </c>
      <c r="DN25" s="5">
        <v>0</v>
      </c>
      <c r="DO25" s="5">
        <v>15</v>
      </c>
      <c r="DP25" s="5">
        <v>0</v>
      </c>
      <c r="DQ25" s="5">
        <v>39</v>
      </c>
      <c r="DR25" s="5">
        <v>10</v>
      </c>
      <c r="DS25" s="5">
        <v>0</v>
      </c>
      <c r="DT25" s="5">
        <v>55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30</v>
      </c>
      <c r="EA25" s="5">
        <v>0</v>
      </c>
      <c r="EB25" s="5">
        <v>0</v>
      </c>
      <c r="EC25" s="5">
        <v>0</v>
      </c>
      <c r="ED25" s="5">
        <v>92</v>
      </c>
      <c r="EE25" s="5">
        <v>23</v>
      </c>
      <c r="EF25" s="5">
        <v>48</v>
      </c>
      <c r="EG25" s="5">
        <v>0</v>
      </c>
      <c r="EH25" s="5">
        <v>0</v>
      </c>
      <c r="EI25" s="5">
        <v>42</v>
      </c>
      <c r="EJ25" s="5">
        <v>0</v>
      </c>
      <c r="EK25" s="5">
        <v>0</v>
      </c>
      <c r="EL25" s="5">
        <v>23</v>
      </c>
      <c r="EM25" s="5">
        <v>36</v>
      </c>
      <c r="EN25" s="5">
        <v>99</v>
      </c>
      <c r="EO25" s="5">
        <v>0</v>
      </c>
      <c r="EP25" s="5">
        <v>24</v>
      </c>
      <c r="EQ25" s="5">
        <v>11</v>
      </c>
      <c r="ER25" s="5">
        <v>0</v>
      </c>
      <c r="ES25" s="5">
        <v>28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0</v>
      </c>
      <c r="FC25" s="5">
        <v>0</v>
      </c>
      <c r="FD25" s="5">
        <v>0</v>
      </c>
      <c r="FE25" s="5">
        <v>0</v>
      </c>
      <c r="FF25" s="5">
        <v>4</v>
      </c>
      <c r="FG25" s="5">
        <v>0</v>
      </c>
      <c r="FH25" s="5">
        <v>0</v>
      </c>
      <c r="FI25" s="5">
        <v>12</v>
      </c>
      <c r="FJ25" s="5">
        <v>0</v>
      </c>
      <c r="FK25" s="5">
        <v>46</v>
      </c>
      <c r="FL25" s="5">
        <v>0</v>
      </c>
      <c r="FM25" s="5">
        <v>14</v>
      </c>
      <c r="FN25" s="5">
        <v>0</v>
      </c>
      <c r="FO25" s="5">
        <v>0</v>
      </c>
      <c r="FP25" s="5">
        <v>32</v>
      </c>
      <c r="FQ25" s="5">
        <v>0</v>
      </c>
      <c r="FR25" s="5">
        <v>50</v>
      </c>
      <c r="FS25" s="5">
        <v>0</v>
      </c>
      <c r="FT25" s="5">
        <v>0</v>
      </c>
      <c r="FU25" s="5">
        <v>0</v>
      </c>
      <c r="FV25" s="5">
        <v>10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25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14</v>
      </c>
      <c r="GI25" s="5">
        <v>0</v>
      </c>
      <c r="GJ25" s="5">
        <v>39</v>
      </c>
      <c r="GK25" s="5">
        <v>0</v>
      </c>
      <c r="GL25" s="5">
        <v>0</v>
      </c>
      <c r="GM25" s="5">
        <v>122</v>
      </c>
      <c r="GN25" s="5">
        <v>39</v>
      </c>
      <c r="GO25" s="5">
        <v>0</v>
      </c>
      <c r="GP25" s="5">
        <v>0</v>
      </c>
      <c r="GQ25" s="5">
        <v>0</v>
      </c>
      <c r="GR25" s="5">
        <v>32</v>
      </c>
      <c r="GS25" s="5"/>
      <c r="GT25" s="5"/>
      <c r="GU25" s="5"/>
      <c r="GV25" s="5"/>
    </row>
    <row r="26" spans="1:204" ht="15.6">
      <c r="A26" s="3">
        <f t="shared" si="2"/>
        <v>46046</v>
      </c>
      <c r="B26" s="4" t="str">
        <f t="shared" si="1"/>
        <v>Sat</v>
      </c>
      <c r="C26" s="147">
        <f t="shared" si="0"/>
        <v>290</v>
      </c>
      <c r="D26" s="5">
        <v>0</v>
      </c>
      <c r="E26" s="5">
        <v>0</v>
      </c>
      <c r="F26" s="5">
        <v>0</v>
      </c>
      <c r="G26" s="5">
        <v>0</v>
      </c>
      <c r="H26" s="5">
        <v>22</v>
      </c>
      <c r="I26" s="5">
        <v>0</v>
      </c>
      <c r="J26" s="5">
        <v>0</v>
      </c>
      <c r="K26" s="5">
        <v>0</v>
      </c>
      <c r="L26" s="5">
        <v>0</v>
      </c>
      <c r="M26" s="5">
        <v>6</v>
      </c>
      <c r="N26" s="5">
        <v>0</v>
      </c>
      <c r="O26" s="5">
        <v>0</v>
      </c>
      <c r="P26" s="5">
        <v>17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14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8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13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86</v>
      </c>
      <c r="CK26" s="5">
        <v>0</v>
      </c>
      <c r="CL26" s="5">
        <v>0</v>
      </c>
      <c r="CM26" s="5">
        <v>0</v>
      </c>
      <c r="CN26" s="5">
        <v>0</v>
      </c>
      <c r="CO26" s="5">
        <v>8</v>
      </c>
      <c r="CP26" s="5">
        <v>0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5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0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5">
        <v>0</v>
      </c>
      <c r="ED26" s="5">
        <v>29</v>
      </c>
      <c r="EE26" s="5">
        <v>0</v>
      </c>
      <c r="EF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0</v>
      </c>
      <c r="EM26" s="5">
        <v>0</v>
      </c>
      <c r="EN26" s="5">
        <v>0</v>
      </c>
      <c r="EO26" s="5">
        <v>0</v>
      </c>
      <c r="EP26" s="5">
        <v>0</v>
      </c>
      <c r="EQ26" s="5">
        <v>0</v>
      </c>
      <c r="ER26" s="5">
        <v>0</v>
      </c>
      <c r="ES26" s="5">
        <v>0</v>
      </c>
      <c r="ET26" s="5">
        <v>0</v>
      </c>
      <c r="EU26" s="5">
        <v>0</v>
      </c>
      <c r="EV26" s="5">
        <v>0</v>
      </c>
      <c r="EW26" s="5">
        <v>0</v>
      </c>
      <c r="EX26" s="5">
        <v>0</v>
      </c>
      <c r="EY26" s="5">
        <v>0</v>
      </c>
      <c r="EZ26" s="5">
        <v>0</v>
      </c>
      <c r="FA26" s="5">
        <v>0</v>
      </c>
      <c r="FB26" s="5">
        <v>0</v>
      </c>
      <c r="FC26" s="5">
        <v>0</v>
      </c>
      <c r="FD26" s="5">
        <v>0</v>
      </c>
      <c r="FE26" s="5">
        <v>0</v>
      </c>
      <c r="FF26" s="5">
        <v>0</v>
      </c>
      <c r="FG26" s="5">
        <v>0</v>
      </c>
      <c r="FH26" s="5">
        <v>0</v>
      </c>
      <c r="FI26" s="5">
        <v>20</v>
      </c>
      <c r="FJ26" s="5">
        <v>0</v>
      </c>
      <c r="FK26" s="5">
        <v>0</v>
      </c>
      <c r="FL26" s="5">
        <v>0</v>
      </c>
      <c r="FM26" s="5">
        <v>0</v>
      </c>
      <c r="FN26" s="5">
        <v>0</v>
      </c>
      <c r="FO26" s="5">
        <v>0</v>
      </c>
      <c r="FP26" s="5">
        <v>0</v>
      </c>
      <c r="FQ26" s="5">
        <v>0</v>
      </c>
      <c r="FR26" s="5">
        <v>0</v>
      </c>
      <c r="FS26" s="5">
        <v>0</v>
      </c>
      <c r="FT26" s="5">
        <v>0</v>
      </c>
      <c r="FU26" s="5">
        <v>0</v>
      </c>
      <c r="FV26" s="5">
        <v>0</v>
      </c>
      <c r="FW26" s="5">
        <v>0</v>
      </c>
      <c r="FX26" s="5">
        <v>0</v>
      </c>
      <c r="FY26" s="5">
        <v>0</v>
      </c>
      <c r="FZ26" s="5">
        <v>0</v>
      </c>
      <c r="GA26" s="5">
        <v>0</v>
      </c>
      <c r="GB26" s="5">
        <v>5</v>
      </c>
      <c r="GC26" s="5">
        <v>0</v>
      </c>
      <c r="GD26" s="5">
        <v>0</v>
      </c>
      <c r="GE26" s="5">
        <v>0</v>
      </c>
      <c r="GF26" s="5">
        <v>0</v>
      </c>
      <c r="GG26" s="5">
        <v>0</v>
      </c>
      <c r="GH26" s="5">
        <v>0</v>
      </c>
      <c r="GI26" s="5">
        <v>0</v>
      </c>
      <c r="GJ26" s="5">
        <v>57</v>
      </c>
      <c r="GK26" s="5">
        <v>0</v>
      </c>
      <c r="GL26" s="5">
        <v>0</v>
      </c>
      <c r="GM26" s="5">
        <v>0</v>
      </c>
      <c r="GN26" s="5">
        <v>0</v>
      </c>
      <c r="GO26" s="5">
        <v>0</v>
      </c>
      <c r="GP26" s="5">
        <v>0</v>
      </c>
      <c r="GQ26" s="5">
        <v>0</v>
      </c>
      <c r="GR26" s="5">
        <v>0</v>
      </c>
      <c r="GS26" s="5"/>
      <c r="GT26" s="5"/>
      <c r="GU26" s="5"/>
      <c r="GV26" s="5"/>
    </row>
    <row r="27" spans="1:204" ht="15.6">
      <c r="A27" s="3">
        <f t="shared" si="2"/>
        <v>46047</v>
      </c>
      <c r="B27" s="4" t="str">
        <f t="shared" si="1"/>
        <v>Sun</v>
      </c>
      <c r="C27" s="147">
        <f t="shared" si="0"/>
        <v>474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17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250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37</v>
      </c>
      <c r="BC27" s="5">
        <v>0</v>
      </c>
      <c r="BD27" s="5">
        <v>0</v>
      </c>
      <c r="BE27" s="5">
        <v>0</v>
      </c>
      <c r="BF27" s="5">
        <v>5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160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5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/>
      <c r="GT27" s="5"/>
      <c r="GU27" s="5"/>
      <c r="GV27" s="5"/>
    </row>
    <row r="28" spans="1:204" ht="15.6">
      <c r="A28" s="3">
        <f t="shared" si="2"/>
        <v>46048</v>
      </c>
      <c r="B28" s="4" t="str">
        <f t="shared" si="1"/>
        <v>Mon</v>
      </c>
      <c r="C28" s="147">
        <f t="shared" si="0"/>
        <v>3134</v>
      </c>
      <c r="D28" s="5">
        <v>0</v>
      </c>
      <c r="E28" s="5">
        <v>0</v>
      </c>
      <c r="F28" s="5">
        <v>0</v>
      </c>
      <c r="G28" s="5">
        <v>0</v>
      </c>
      <c r="H28" s="5">
        <v>26</v>
      </c>
      <c r="I28" s="5">
        <v>25</v>
      </c>
      <c r="J28" s="5">
        <v>0</v>
      </c>
      <c r="K28" s="5">
        <v>0</v>
      </c>
      <c r="L28" s="5">
        <v>0</v>
      </c>
      <c r="M28" s="5">
        <v>24</v>
      </c>
      <c r="N28" s="5">
        <v>0</v>
      </c>
      <c r="O28" s="5">
        <v>0</v>
      </c>
      <c r="P28" s="5">
        <v>46</v>
      </c>
      <c r="Q28" s="5">
        <v>31</v>
      </c>
      <c r="R28" s="5">
        <v>84</v>
      </c>
      <c r="S28" s="5">
        <v>0</v>
      </c>
      <c r="T28" s="5">
        <v>0</v>
      </c>
      <c r="U28" s="5">
        <v>0</v>
      </c>
      <c r="V28" s="5">
        <v>0</v>
      </c>
      <c r="W28" s="5">
        <v>50</v>
      </c>
      <c r="X28" s="5">
        <v>0</v>
      </c>
      <c r="Y28" s="5">
        <v>89</v>
      </c>
      <c r="Z28" s="5">
        <v>0</v>
      </c>
      <c r="AA28" s="5">
        <v>15</v>
      </c>
      <c r="AB28" s="5">
        <v>27</v>
      </c>
      <c r="AC28" s="5">
        <v>0</v>
      </c>
      <c r="AD28" s="5">
        <v>0</v>
      </c>
      <c r="AE28" s="5">
        <v>0</v>
      </c>
      <c r="AF28" s="5">
        <v>0</v>
      </c>
      <c r="AG28" s="5">
        <v>30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5</v>
      </c>
      <c r="AN28" s="5">
        <v>6</v>
      </c>
      <c r="AO28" s="5">
        <v>0</v>
      </c>
      <c r="AP28" s="5">
        <v>19</v>
      </c>
      <c r="AQ28" s="5">
        <v>0</v>
      </c>
      <c r="AR28" s="5">
        <v>55</v>
      </c>
      <c r="AS28" s="5">
        <v>0</v>
      </c>
      <c r="AT28" s="5">
        <v>51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63</v>
      </c>
      <c r="BC28" s="5">
        <v>0</v>
      </c>
      <c r="BD28" s="5">
        <v>0</v>
      </c>
      <c r="BE28" s="5">
        <v>0</v>
      </c>
      <c r="BF28" s="5">
        <v>25</v>
      </c>
      <c r="BG28" s="5">
        <v>27</v>
      </c>
      <c r="BH28" s="5">
        <v>0</v>
      </c>
      <c r="BI28" s="5">
        <v>0</v>
      </c>
      <c r="BJ28" s="5">
        <v>20</v>
      </c>
      <c r="BK28" s="5">
        <v>0</v>
      </c>
      <c r="BL28" s="5">
        <v>49</v>
      </c>
      <c r="BM28" s="5">
        <v>0</v>
      </c>
      <c r="BN28" s="5">
        <v>0</v>
      </c>
      <c r="BO28" s="5">
        <v>25</v>
      </c>
      <c r="BP28" s="5">
        <v>0</v>
      </c>
      <c r="BQ28" s="5">
        <v>41</v>
      </c>
      <c r="BR28" s="5">
        <v>0</v>
      </c>
      <c r="BS28" s="5">
        <v>0</v>
      </c>
      <c r="BT28" s="5">
        <v>0</v>
      </c>
      <c r="BU28" s="5">
        <v>74</v>
      </c>
      <c r="BV28" s="5">
        <v>29</v>
      </c>
      <c r="BW28" s="5">
        <v>16</v>
      </c>
      <c r="BX28" s="5">
        <v>41</v>
      </c>
      <c r="BY28" s="5">
        <v>0</v>
      </c>
      <c r="BZ28" s="5">
        <v>62</v>
      </c>
      <c r="CA28" s="5">
        <v>51</v>
      </c>
      <c r="CB28" s="5">
        <v>41</v>
      </c>
      <c r="CC28" s="5">
        <v>0</v>
      </c>
      <c r="CD28" s="5">
        <v>0</v>
      </c>
      <c r="CE28" s="5">
        <v>20</v>
      </c>
      <c r="CF28" s="5">
        <v>0</v>
      </c>
      <c r="CG28" s="5">
        <v>0</v>
      </c>
      <c r="CH28" s="5">
        <v>0</v>
      </c>
      <c r="CI28" s="5">
        <v>0</v>
      </c>
      <c r="CJ28" s="5">
        <v>134</v>
      </c>
      <c r="CK28" s="5">
        <v>0</v>
      </c>
      <c r="CL28" s="5">
        <v>45</v>
      </c>
      <c r="CM28" s="5">
        <v>0</v>
      </c>
      <c r="CN28" s="5">
        <v>0</v>
      </c>
      <c r="CO28" s="5">
        <v>21</v>
      </c>
      <c r="CP28" s="5">
        <v>46</v>
      </c>
      <c r="CQ28" s="5">
        <v>0</v>
      </c>
      <c r="CR28" s="5">
        <v>0</v>
      </c>
      <c r="CS28" s="5">
        <v>0</v>
      </c>
      <c r="CT28" s="5">
        <v>0</v>
      </c>
      <c r="CU28" s="5">
        <v>20</v>
      </c>
      <c r="CV28" s="5">
        <v>5</v>
      </c>
      <c r="CW28" s="5">
        <v>0</v>
      </c>
      <c r="CX28" s="5">
        <v>0</v>
      </c>
      <c r="CY28" s="5">
        <v>114</v>
      </c>
      <c r="CZ28" s="5">
        <v>65</v>
      </c>
      <c r="DA28" s="5">
        <v>0</v>
      </c>
      <c r="DB28" s="5">
        <v>0</v>
      </c>
      <c r="DC28" s="5">
        <v>0</v>
      </c>
      <c r="DD28" s="5">
        <v>0</v>
      </c>
      <c r="DE28" s="5">
        <v>60</v>
      </c>
      <c r="DF28" s="5">
        <v>0</v>
      </c>
      <c r="DG28" s="5">
        <v>32</v>
      </c>
      <c r="DH28" s="5">
        <v>0</v>
      </c>
      <c r="DI28" s="5">
        <v>105</v>
      </c>
      <c r="DJ28" s="5">
        <v>0</v>
      </c>
      <c r="DK28" s="5">
        <v>89</v>
      </c>
      <c r="DL28" s="5">
        <v>0</v>
      </c>
      <c r="DM28" s="5">
        <v>0</v>
      </c>
      <c r="DN28" s="5">
        <v>0</v>
      </c>
      <c r="DO28" s="5">
        <v>35</v>
      </c>
      <c r="DP28" s="5">
        <v>0</v>
      </c>
      <c r="DQ28" s="5">
        <v>29</v>
      </c>
      <c r="DR28" s="5">
        <v>60</v>
      </c>
      <c r="DS28" s="5">
        <v>0</v>
      </c>
      <c r="DT28" s="5">
        <v>43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18</v>
      </c>
      <c r="EA28" s="5">
        <v>0</v>
      </c>
      <c r="EB28" s="5">
        <v>0</v>
      </c>
      <c r="EC28" s="5">
        <v>20</v>
      </c>
      <c r="ED28" s="5">
        <v>101</v>
      </c>
      <c r="EE28" s="5">
        <v>26</v>
      </c>
      <c r="EF28" s="5">
        <v>79</v>
      </c>
      <c r="EG28" s="5">
        <v>32</v>
      </c>
      <c r="EH28" s="5">
        <v>0</v>
      </c>
      <c r="EI28" s="5">
        <v>103</v>
      </c>
      <c r="EJ28" s="5">
        <v>0</v>
      </c>
      <c r="EK28" s="5">
        <v>0</v>
      </c>
      <c r="EL28" s="5">
        <v>26</v>
      </c>
      <c r="EM28" s="5">
        <v>35</v>
      </c>
      <c r="EN28" s="5">
        <v>50</v>
      </c>
      <c r="EO28" s="5">
        <v>0</v>
      </c>
      <c r="EP28" s="5">
        <v>21</v>
      </c>
      <c r="EQ28" s="5">
        <v>10</v>
      </c>
      <c r="ER28" s="5">
        <v>0</v>
      </c>
      <c r="ES28" s="5">
        <v>30</v>
      </c>
      <c r="ET28" s="5">
        <v>64</v>
      </c>
      <c r="EU28" s="5">
        <v>0</v>
      </c>
      <c r="EV28" s="5">
        <v>0</v>
      </c>
      <c r="EW28" s="5">
        <v>0</v>
      </c>
      <c r="EX28" s="5">
        <v>0</v>
      </c>
      <c r="EY28" s="5">
        <v>0</v>
      </c>
      <c r="EZ28" s="5">
        <v>0</v>
      </c>
      <c r="FA28" s="5">
        <v>0</v>
      </c>
      <c r="FB28" s="5">
        <v>0</v>
      </c>
      <c r="FC28" s="5">
        <v>0</v>
      </c>
      <c r="FD28" s="5">
        <v>0</v>
      </c>
      <c r="FE28" s="5">
        <v>0</v>
      </c>
      <c r="FF28" s="5">
        <v>55</v>
      </c>
      <c r="FG28" s="5">
        <v>0</v>
      </c>
      <c r="FH28" s="5">
        <v>0</v>
      </c>
      <c r="FI28" s="5">
        <v>21</v>
      </c>
      <c r="FJ28" s="5">
        <v>0</v>
      </c>
      <c r="FK28" s="5">
        <v>28</v>
      </c>
      <c r="FL28" s="5">
        <v>0</v>
      </c>
      <c r="FM28" s="5">
        <v>0</v>
      </c>
      <c r="FN28" s="5">
        <v>0</v>
      </c>
      <c r="FO28" s="5">
        <v>0</v>
      </c>
      <c r="FP28" s="5">
        <v>32</v>
      </c>
      <c r="FQ28" s="5">
        <v>0</v>
      </c>
      <c r="FR28" s="5">
        <v>0</v>
      </c>
      <c r="FS28" s="5">
        <v>0</v>
      </c>
      <c r="FT28" s="5">
        <v>0</v>
      </c>
      <c r="FU28" s="5">
        <v>0</v>
      </c>
      <c r="FV28" s="5">
        <v>15</v>
      </c>
      <c r="FW28" s="5">
        <v>0</v>
      </c>
      <c r="FX28" s="5">
        <v>0</v>
      </c>
      <c r="FY28" s="5">
        <v>0</v>
      </c>
      <c r="FZ28" s="5">
        <v>0</v>
      </c>
      <c r="GA28" s="5">
        <v>0</v>
      </c>
      <c r="GB28" s="5">
        <v>60</v>
      </c>
      <c r="GC28" s="5">
        <v>0</v>
      </c>
      <c r="GD28" s="5">
        <v>16</v>
      </c>
      <c r="GE28" s="5">
        <v>0</v>
      </c>
      <c r="GF28" s="5">
        <v>0</v>
      </c>
      <c r="GG28" s="5">
        <v>0</v>
      </c>
      <c r="GH28" s="5">
        <v>15</v>
      </c>
      <c r="GI28" s="5">
        <v>0</v>
      </c>
      <c r="GJ28" s="5">
        <v>19</v>
      </c>
      <c r="GK28" s="5">
        <v>0</v>
      </c>
      <c r="GL28" s="5">
        <v>0</v>
      </c>
      <c r="GM28" s="5">
        <v>101</v>
      </c>
      <c r="GN28" s="5">
        <v>26</v>
      </c>
      <c r="GO28" s="5">
        <v>0</v>
      </c>
      <c r="GP28" s="5">
        <v>44</v>
      </c>
      <c r="GQ28" s="5">
        <v>0</v>
      </c>
      <c r="GR28" s="5">
        <v>17</v>
      </c>
      <c r="GS28" s="5"/>
      <c r="GT28" s="5"/>
      <c r="GU28" s="5"/>
      <c r="GV28" s="5"/>
    </row>
    <row r="29" spans="1:204" ht="15.6">
      <c r="A29" s="3">
        <f t="shared" si="2"/>
        <v>46049</v>
      </c>
      <c r="B29" s="4" t="str">
        <f t="shared" si="1"/>
        <v>Tue</v>
      </c>
      <c r="C29" s="147">
        <f t="shared" si="0"/>
        <v>3425</v>
      </c>
      <c r="D29" s="5">
        <v>0</v>
      </c>
      <c r="E29" s="5">
        <v>14</v>
      </c>
      <c r="F29" s="5">
        <v>0</v>
      </c>
      <c r="G29" s="5">
        <v>0</v>
      </c>
      <c r="H29" s="5">
        <v>24</v>
      </c>
      <c r="I29" s="5">
        <v>30</v>
      </c>
      <c r="J29" s="5">
        <v>0</v>
      </c>
      <c r="K29" s="5">
        <v>0</v>
      </c>
      <c r="L29" s="5">
        <v>0</v>
      </c>
      <c r="M29" s="5">
        <v>29</v>
      </c>
      <c r="N29" s="5">
        <v>0</v>
      </c>
      <c r="O29" s="5">
        <v>0</v>
      </c>
      <c r="P29" s="5">
        <v>32</v>
      </c>
      <c r="Q29" s="5">
        <v>22</v>
      </c>
      <c r="R29" s="5">
        <v>82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66</v>
      </c>
      <c r="Z29" s="5">
        <v>0</v>
      </c>
      <c r="AA29" s="5">
        <v>9</v>
      </c>
      <c r="AB29" s="5">
        <v>21</v>
      </c>
      <c r="AC29" s="5">
        <v>0</v>
      </c>
      <c r="AD29" s="5">
        <v>0</v>
      </c>
      <c r="AE29" s="5">
        <v>0</v>
      </c>
      <c r="AF29" s="5">
        <v>0</v>
      </c>
      <c r="AG29" s="5">
        <v>34</v>
      </c>
      <c r="AH29" s="5">
        <v>0</v>
      </c>
      <c r="AI29" s="5">
        <v>25</v>
      </c>
      <c r="AJ29" s="5">
        <v>0</v>
      </c>
      <c r="AK29" s="5">
        <v>0</v>
      </c>
      <c r="AL29" s="5">
        <v>10</v>
      </c>
      <c r="AM29" s="5">
        <v>31</v>
      </c>
      <c r="AN29" s="5">
        <v>15</v>
      </c>
      <c r="AO29" s="5">
        <v>0</v>
      </c>
      <c r="AP29" s="5">
        <v>10</v>
      </c>
      <c r="AQ29" s="5">
        <v>0</v>
      </c>
      <c r="AR29" s="5">
        <v>42</v>
      </c>
      <c r="AS29" s="5">
        <v>0</v>
      </c>
      <c r="AT29" s="5">
        <v>64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32</v>
      </c>
      <c r="BC29" s="5">
        <v>0</v>
      </c>
      <c r="BD29" s="5">
        <v>0</v>
      </c>
      <c r="BE29" s="5">
        <v>0</v>
      </c>
      <c r="BF29" s="5">
        <v>29</v>
      </c>
      <c r="BG29" s="5">
        <v>28</v>
      </c>
      <c r="BH29" s="5">
        <v>0</v>
      </c>
      <c r="BI29" s="5">
        <v>0</v>
      </c>
      <c r="BJ29" s="5">
        <v>20</v>
      </c>
      <c r="BK29" s="5">
        <v>0</v>
      </c>
      <c r="BL29" s="5">
        <v>39</v>
      </c>
      <c r="BM29" s="5">
        <v>0</v>
      </c>
      <c r="BN29" s="5">
        <v>0</v>
      </c>
      <c r="BO29" s="5">
        <v>22</v>
      </c>
      <c r="BP29" s="5">
        <v>0</v>
      </c>
      <c r="BQ29" s="5">
        <v>19</v>
      </c>
      <c r="BR29" s="5">
        <v>0</v>
      </c>
      <c r="BS29" s="5">
        <v>0</v>
      </c>
      <c r="BT29" s="5">
        <v>0</v>
      </c>
      <c r="BU29" s="5">
        <v>45</v>
      </c>
      <c r="BV29" s="5">
        <v>12</v>
      </c>
      <c r="BW29" s="5">
        <v>77</v>
      </c>
      <c r="BX29" s="5">
        <v>48</v>
      </c>
      <c r="BY29" s="5">
        <v>0</v>
      </c>
      <c r="BZ29" s="5">
        <v>216</v>
      </c>
      <c r="CA29" s="5">
        <v>49</v>
      </c>
      <c r="CB29" s="5">
        <v>48</v>
      </c>
      <c r="CC29" s="5">
        <v>0</v>
      </c>
      <c r="CD29" s="5">
        <v>0</v>
      </c>
      <c r="CE29" s="5">
        <v>30</v>
      </c>
      <c r="CF29" s="5">
        <v>0</v>
      </c>
      <c r="CG29" s="5">
        <v>0</v>
      </c>
      <c r="CH29" s="5">
        <v>0</v>
      </c>
      <c r="CI29" s="5">
        <v>0</v>
      </c>
      <c r="CJ29" s="5">
        <v>173</v>
      </c>
      <c r="CK29" s="5">
        <v>0</v>
      </c>
      <c r="CL29" s="5">
        <v>50</v>
      </c>
      <c r="CM29" s="5">
        <v>0</v>
      </c>
      <c r="CN29" s="5">
        <v>0</v>
      </c>
      <c r="CO29" s="5">
        <v>10</v>
      </c>
      <c r="CP29" s="5">
        <v>70</v>
      </c>
      <c r="CQ29" s="5">
        <v>0</v>
      </c>
      <c r="CR29" s="5">
        <v>0</v>
      </c>
      <c r="CS29" s="5">
        <v>0</v>
      </c>
      <c r="CT29" s="5">
        <v>0</v>
      </c>
      <c r="CU29" s="5">
        <v>50</v>
      </c>
      <c r="CV29" s="5">
        <v>0</v>
      </c>
      <c r="CW29" s="5">
        <v>0</v>
      </c>
      <c r="CX29" s="5">
        <v>0</v>
      </c>
      <c r="CY29" s="5">
        <v>91</v>
      </c>
      <c r="CZ29" s="5">
        <v>100</v>
      </c>
      <c r="DA29" s="5">
        <v>0</v>
      </c>
      <c r="DB29" s="5">
        <v>0</v>
      </c>
      <c r="DC29" s="5">
        <v>0</v>
      </c>
      <c r="DD29" s="5">
        <v>0</v>
      </c>
      <c r="DE29" s="5">
        <v>100</v>
      </c>
      <c r="DF29" s="5">
        <v>0</v>
      </c>
      <c r="DG29" s="5">
        <v>2</v>
      </c>
      <c r="DH29" s="5">
        <v>0</v>
      </c>
      <c r="DI29" s="5">
        <v>114</v>
      </c>
      <c r="DJ29" s="5">
        <v>0</v>
      </c>
      <c r="DK29" s="5">
        <v>206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43</v>
      </c>
      <c r="DR29" s="5">
        <v>71</v>
      </c>
      <c r="DS29" s="5">
        <v>0</v>
      </c>
      <c r="DT29" s="5">
        <v>61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41</v>
      </c>
      <c r="EA29" s="5">
        <v>0</v>
      </c>
      <c r="EB29" s="5">
        <v>0</v>
      </c>
      <c r="EC29" s="5">
        <v>35</v>
      </c>
      <c r="ED29" s="5">
        <v>109</v>
      </c>
      <c r="EE29" s="5">
        <v>10</v>
      </c>
      <c r="EF29" s="5">
        <v>20</v>
      </c>
      <c r="EG29" s="5">
        <v>5</v>
      </c>
      <c r="EH29" s="5">
        <v>0</v>
      </c>
      <c r="EI29" s="5">
        <v>42</v>
      </c>
      <c r="EJ29" s="5">
        <v>0</v>
      </c>
      <c r="EK29" s="5">
        <v>0</v>
      </c>
      <c r="EL29" s="5">
        <v>29</v>
      </c>
      <c r="EM29" s="5">
        <v>55</v>
      </c>
      <c r="EN29" s="5">
        <v>0</v>
      </c>
      <c r="EO29" s="5">
        <v>0</v>
      </c>
      <c r="EP29" s="5">
        <v>19</v>
      </c>
      <c r="EQ29" s="5">
        <v>28</v>
      </c>
      <c r="ER29" s="5">
        <v>0</v>
      </c>
      <c r="ES29" s="5">
        <v>16</v>
      </c>
      <c r="ET29" s="5">
        <v>60</v>
      </c>
      <c r="EU29" s="5">
        <v>0</v>
      </c>
      <c r="EV29" s="5">
        <v>0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49</v>
      </c>
      <c r="FG29" s="5">
        <v>0</v>
      </c>
      <c r="FH29" s="5">
        <v>0</v>
      </c>
      <c r="FI29" s="5">
        <v>46</v>
      </c>
      <c r="FJ29" s="5">
        <v>0</v>
      </c>
      <c r="FK29" s="5">
        <v>34</v>
      </c>
      <c r="FL29" s="5">
        <v>0</v>
      </c>
      <c r="FM29" s="5">
        <v>18</v>
      </c>
      <c r="FN29" s="5">
        <v>46</v>
      </c>
      <c r="FO29" s="5">
        <v>0</v>
      </c>
      <c r="FP29" s="5">
        <v>43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9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74</v>
      </c>
      <c r="GC29" s="5">
        <v>0</v>
      </c>
      <c r="GD29" s="5">
        <v>10</v>
      </c>
      <c r="GE29" s="5">
        <v>0</v>
      </c>
      <c r="GF29" s="5">
        <v>0</v>
      </c>
      <c r="GG29" s="5">
        <v>49</v>
      </c>
      <c r="GH29" s="5">
        <v>6</v>
      </c>
      <c r="GI29" s="5">
        <v>0</v>
      </c>
      <c r="GJ29" s="5">
        <v>14</v>
      </c>
      <c r="GK29" s="5">
        <v>0</v>
      </c>
      <c r="GL29" s="5">
        <v>0</v>
      </c>
      <c r="GM29" s="5">
        <v>72</v>
      </c>
      <c r="GN29" s="5">
        <v>31</v>
      </c>
      <c r="GO29" s="5">
        <v>0</v>
      </c>
      <c r="GP29" s="5">
        <v>40</v>
      </c>
      <c r="GQ29" s="5">
        <v>0</v>
      </c>
      <c r="GR29" s="5">
        <v>0</v>
      </c>
      <c r="GS29" s="5"/>
      <c r="GT29" s="5"/>
      <c r="GU29" s="5"/>
      <c r="GV29" s="5"/>
    </row>
    <row r="30" spans="1:204" ht="15.6">
      <c r="A30" s="3">
        <f t="shared" si="2"/>
        <v>46050</v>
      </c>
      <c r="B30" s="4" t="str">
        <f t="shared" si="1"/>
        <v>Wed</v>
      </c>
      <c r="C30" s="147">
        <f t="shared" si="0"/>
        <v>2684</v>
      </c>
      <c r="D30" s="5">
        <v>0</v>
      </c>
      <c r="E30" s="5">
        <v>10</v>
      </c>
      <c r="F30" s="5">
        <v>0</v>
      </c>
      <c r="G30" s="5">
        <v>0</v>
      </c>
      <c r="H30" s="5">
        <v>20</v>
      </c>
      <c r="I30" s="5">
        <v>59</v>
      </c>
      <c r="J30" s="5">
        <v>0</v>
      </c>
      <c r="K30" s="5">
        <v>0</v>
      </c>
      <c r="L30" s="5">
        <v>0</v>
      </c>
      <c r="M30" s="5">
        <v>13</v>
      </c>
      <c r="N30" s="5">
        <v>0</v>
      </c>
      <c r="O30" s="5">
        <v>0</v>
      </c>
      <c r="P30" s="5">
        <v>25</v>
      </c>
      <c r="Q30" s="5">
        <v>22</v>
      </c>
      <c r="R30" s="5">
        <v>108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46</v>
      </c>
      <c r="Z30" s="5">
        <v>0</v>
      </c>
      <c r="AA30" s="5">
        <v>9</v>
      </c>
      <c r="AB30" s="5">
        <v>30</v>
      </c>
      <c r="AC30" s="5">
        <v>0</v>
      </c>
      <c r="AD30" s="5">
        <v>0</v>
      </c>
      <c r="AE30" s="5">
        <v>0</v>
      </c>
      <c r="AF30" s="5">
        <v>0</v>
      </c>
      <c r="AG30" s="5">
        <v>24</v>
      </c>
      <c r="AH30" s="5">
        <v>0</v>
      </c>
      <c r="AI30" s="5">
        <v>34</v>
      </c>
      <c r="AJ30" s="5">
        <v>0</v>
      </c>
      <c r="AK30" s="5">
        <v>0</v>
      </c>
      <c r="AL30" s="5">
        <v>40</v>
      </c>
      <c r="AM30" s="5">
        <v>0</v>
      </c>
      <c r="AN30" s="5">
        <v>37</v>
      </c>
      <c r="AO30" s="5">
        <v>0</v>
      </c>
      <c r="AP30" s="5">
        <v>20</v>
      </c>
      <c r="AQ30" s="5">
        <v>9</v>
      </c>
      <c r="AR30" s="5">
        <v>29</v>
      </c>
      <c r="AS30" s="5">
        <v>0</v>
      </c>
      <c r="AT30" s="5">
        <v>54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37</v>
      </c>
      <c r="BC30" s="5">
        <v>0</v>
      </c>
      <c r="BD30" s="5">
        <v>0</v>
      </c>
      <c r="BE30" s="5">
        <v>0</v>
      </c>
      <c r="BF30" s="5">
        <v>18</v>
      </c>
      <c r="BG30" s="5">
        <v>29</v>
      </c>
      <c r="BH30" s="5">
        <v>0</v>
      </c>
      <c r="BI30" s="5">
        <v>66</v>
      </c>
      <c r="BJ30" s="5">
        <v>25</v>
      </c>
      <c r="BK30" s="5">
        <v>0</v>
      </c>
      <c r="BL30" s="5">
        <v>20</v>
      </c>
      <c r="BM30" s="5">
        <v>0</v>
      </c>
      <c r="BN30" s="5">
        <v>0</v>
      </c>
      <c r="BO30" s="5">
        <v>25</v>
      </c>
      <c r="BP30" s="5">
        <v>0</v>
      </c>
      <c r="BQ30" s="5">
        <v>52</v>
      </c>
      <c r="BR30" s="5">
        <v>0</v>
      </c>
      <c r="BS30" s="5">
        <v>0</v>
      </c>
      <c r="BT30" s="5">
        <v>0</v>
      </c>
      <c r="BU30" s="5">
        <v>45</v>
      </c>
      <c r="BV30" s="5">
        <v>12</v>
      </c>
      <c r="BW30" s="5">
        <v>56</v>
      </c>
      <c r="BX30" s="5">
        <v>0</v>
      </c>
      <c r="BY30" s="5">
        <v>0</v>
      </c>
      <c r="BZ30" s="5">
        <v>0</v>
      </c>
      <c r="CA30" s="5">
        <v>62</v>
      </c>
      <c r="CB30" s="5">
        <v>63</v>
      </c>
      <c r="CC30" s="5">
        <v>0</v>
      </c>
      <c r="CD30" s="5">
        <v>0</v>
      </c>
      <c r="CE30" s="5">
        <v>27</v>
      </c>
      <c r="CF30" s="5">
        <v>0</v>
      </c>
      <c r="CG30" s="5">
        <v>0</v>
      </c>
      <c r="CH30" s="5">
        <v>0</v>
      </c>
      <c r="CI30" s="5">
        <v>0</v>
      </c>
      <c r="CJ30" s="5">
        <v>163</v>
      </c>
      <c r="CK30" s="5">
        <v>0</v>
      </c>
      <c r="CL30" s="5">
        <v>32</v>
      </c>
      <c r="CM30" s="5">
        <v>0</v>
      </c>
      <c r="CN30" s="5">
        <v>0</v>
      </c>
      <c r="CO30" s="5">
        <v>36</v>
      </c>
      <c r="CP30" s="5">
        <v>70</v>
      </c>
      <c r="CQ30" s="5">
        <v>0</v>
      </c>
      <c r="CR30" s="5">
        <v>0</v>
      </c>
      <c r="CS30" s="5">
        <v>0</v>
      </c>
      <c r="CT30" s="5">
        <v>0</v>
      </c>
      <c r="CU30" s="5">
        <v>47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21</v>
      </c>
      <c r="DH30" s="5">
        <v>0</v>
      </c>
      <c r="DI30" s="5">
        <v>102</v>
      </c>
      <c r="DJ30" s="5">
        <v>0</v>
      </c>
      <c r="DK30" s="5">
        <v>46</v>
      </c>
      <c r="DL30" s="5">
        <v>0</v>
      </c>
      <c r="DM30" s="5">
        <v>4</v>
      </c>
      <c r="DN30" s="5">
        <v>0</v>
      </c>
      <c r="DO30" s="5">
        <v>0</v>
      </c>
      <c r="DP30" s="5">
        <v>0</v>
      </c>
      <c r="DQ30" s="5">
        <v>42</v>
      </c>
      <c r="DR30" s="5">
        <v>66</v>
      </c>
      <c r="DS30" s="5">
        <v>0</v>
      </c>
      <c r="DT30" s="5">
        <v>62</v>
      </c>
      <c r="DU30" s="5">
        <v>0</v>
      </c>
      <c r="DV30" s="5">
        <v>0</v>
      </c>
      <c r="DW30" s="5">
        <v>4</v>
      </c>
      <c r="DX30" s="5">
        <v>0</v>
      </c>
      <c r="DY30" s="5">
        <v>0</v>
      </c>
      <c r="DZ30" s="5">
        <v>72</v>
      </c>
      <c r="EA30" s="5">
        <v>0</v>
      </c>
      <c r="EB30" s="5">
        <v>0</v>
      </c>
      <c r="EC30" s="5">
        <v>10</v>
      </c>
      <c r="ED30" s="5">
        <v>99</v>
      </c>
      <c r="EE30" s="5">
        <v>20</v>
      </c>
      <c r="EF30" s="5">
        <v>37</v>
      </c>
      <c r="EG30" s="5">
        <v>1</v>
      </c>
      <c r="EH30" s="5">
        <v>0</v>
      </c>
      <c r="EI30" s="5">
        <v>40</v>
      </c>
      <c r="EJ30" s="5">
        <v>0</v>
      </c>
      <c r="EK30" s="5">
        <v>0</v>
      </c>
      <c r="EL30" s="5">
        <v>44</v>
      </c>
      <c r="EM30" s="5">
        <v>20</v>
      </c>
      <c r="EN30" s="5">
        <v>0</v>
      </c>
      <c r="EO30" s="5">
        <v>0</v>
      </c>
      <c r="EP30" s="5">
        <v>5</v>
      </c>
      <c r="EQ30" s="5">
        <v>0</v>
      </c>
      <c r="ER30" s="5">
        <v>0</v>
      </c>
      <c r="ES30" s="5">
        <v>20</v>
      </c>
      <c r="ET30" s="5">
        <v>0</v>
      </c>
      <c r="EU30" s="5">
        <v>0</v>
      </c>
      <c r="EV30" s="5">
        <v>0</v>
      </c>
      <c r="EW30" s="5">
        <v>0</v>
      </c>
      <c r="EX30" s="5">
        <v>0</v>
      </c>
      <c r="EY30" s="5">
        <v>0</v>
      </c>
      <c r="EZ30" s="5">
        <v>0</v>
      </c>
      <c r="FA30" s="5">
        <v>0</v>
      </c>
      <c r="FB30" s="5">
        <v>0</v>
      </c>
      <c r="FC30" s="5">
        <v>0</v>
      </c>
      <c r="FD30" s="5">
        <v>0</v>
      </c>
      <c r="FE30" s="5">
        <v>0</v>
      </c>
      <c r="FF30" s="5">
        <v>46</v>
      </c>
      <c r="FG30" s="5">
        <v>0</v>
      </c>
      <c r="FH30" s="5">
        <v>0</v>
      </c>
      <c r="FI30" s="5">
        <v>14</v>
      </c>
      <c r="FJ30" s="5">
        <v>0</v>
      </c>
      <c r="FK30" s="5">
        <v>28</v>
      </c>
      <c r="FL30" s="5">
        <v>0</v>
      </c>
      <c r="FM30" s="5">
        <v>0</v>
      </c>
      <c r="FN30" s="5">
        <v>60</v>
      </c>
      <c r="FO30" s="5">
        <v>0</v>
      </c>
      <c r="FP30" s="5">
        <v>48</v>
      </c>
      <c r="FQ30" s="5">
        <v>0</v>
      </c>
      <c r="FR30" s="5">
        <v>0</v>
      </c>
      <c r="FS30" s="5">
        <v>0</v>
      </c>
      <c r="FT30" s="5">
        <v>0</v>
      </c>
      <c r="FU30" s="5">
        <v>0</v>
      </c>
      <c r="FV30" s="5">
        <v>10</v>
      </c>
      <c r="FW30" s="5">
        <v>0</v>
      </c>
      <c r="FX30" s="5">
        <v>0</v>
      </c>
      <c r="FY30" s="5">
        <v>0</v>
      </c>
      <c r="FZ30" s="5">
        <v>0</v>
      </c>
      <c r="GA30" s="5">
        <v>0</v>
      </c>
      <c r="GB30" s="5">
        <v>1</v>
      </c>
      <c r="GC30" s="5">
        <v>0</v>
      </c>
      <c r="GD30" s="5">
        <v>21</v>
      </c>
      <c r="GE30" s="5">
        <v>0</v>
      </c>
      <c r="GF30" s="5">
        <v>0</v>
      </c>
      <c r="GG30" s="5">
        <v>27</v>
      </c>
      <c r="GH30" s="5">
        <v>17</v>
      </c>
      <c r="GI30" s="5">
        <v>0</v>
      </c>
      <c r="GJ30" s="5">
        <v>28</v>
      </c>
      <c r="GK30" s="5">
        <v>0</v>
      </c>
      <c r="GL30" s="5">
        <v>0</v>
      </c>
      <c r="GM30" s="5">
        <v>104</v>
      </c>
      <c r="GN30" s="5">
        <v>34</v>
      </c>
      <c r="GO30" s="5">
        <v>0</v>
      </c>
      <c r="GP30" s="5">
        <v>25</v>
      </c>
      <c r="GQ30" s="5">
        <v>0</v>
      </c>
      <c r="GR30" s="5">
        <v>32</v>
      </c>
      <c r="GS30" s="5"/>
      <c r="GT30" s="5"/>
      <c r="GU30" s="5"/>
      <c r="GV30" s="5"/>
    </row>
    <row r="31" spans="1:204" ht="15.6">
      <c r="A31" s="3">
        <f t="shared" si="2"/>
        <v>46051</v>
      </c>
      <c r="B31" s="4" t="str">
        <f t="shared" si="1"/>
        <v>Thu</v>
      </c>
      <c r="C31" s="147">
        <f t="shared" si="0"/>
        <v>2660</v>
      </c>
      <c r="D31" s="5">
        <v>0</v>
      </c>
      <c r="E31" s="5">
        <v>0</v>
      </c>
      <c r="F31" s="5">
        <v>6</v>
      </c>
      <c r="G31" s="5">
        <v>0</v>
      </c>
      <c r="H31" s="5">
        <v>26</v>
      </c>
      <c r="I31" s="5">
        <v>37</v>
      </c>
      <c r="J31" s="5">
        <v>0</v>
      </c>
      <c r="K31" s="5">
        <v>9</v>
      </c>
      <c r="L31" s="5">
        <v>0</v>
      </c>
      <c r="M31" s="5">
        <v>32</v>
      </c>
      <c r="N31" s="5">
        <v>0</v>
      </c>
      <c r="O31" s="5">
        <v>0</v>
      </c>
      <c r="P31" s="5">
        <v>15</v>
      </c>
      <c r="Q31" s="5">
        <v>57</v>
      </c>
      <c r="R31" s="5">
        <v>110</v>
      </c>
      <c r="S31" s="5">
        <v>0</v>
      </c>
      <c r="T31" s="5">
        <v>0</v>
      </c>
      <c r="U31" s="5">
        <v>0</v>
      </c>
      <c r="V31" s="5">
        <v>0</v>
      </c>
      <c r="W31" s="5">
        <v>6</v>
      </c>
      <c r="X31" s="5">
        <v>2</v>
      </c>
      <c r="Y31" s="5">
        <v>87</v>
      </c>
      <c r="Z31" s="5">
        <v>0</v>
      </c>
      <c r="AA31" s="5">
        <v>17</v>
      </c>
      <c r="AB31" s="5">
        <v>32</v>
      </c>
      <c r="AC31" s="5">
        <v>0</v>
      </c>
      <c r="AD31" s="5">
        <v>0</v>
      </c>
      <c r="AE31" s="5">
        <v>0</v>
      </c>
      <c r="AF31" s="5">
        <v>10</v>
      </c>
      <c r="AG31" s="5">
        <v>21</v>
      </c>
      <c r="AH31" s="5">
        <v>0</v>
      </c>
      <c r="AI31" s="5">
        <v>9</v>
      </c>
      <c r="AJ31" s="5">
        <v>0</v>
      </c>
      <c r="AK31" s="5">
        <v>0</v>
      </c>
      <c r="AL31" s="5">
        <v>0</v>
      </c>
      <c r="AM31" s="5">
        <v>12</v>
      </c>
      <c r="AN31" s="5">
        <v>5</v>
      </c>
      <c r="AO31" s="5">
        <v>0</v>
      </c>
      <c r="AP31" s="5">
        <v>10</v>
      </c>
      <c r="AQ31" s="5">
        <v>6</v>
      </c>
      <c r="AR31" s="5">
        <v>0</v>
      </c>
      <c r="AS31" s="5">
        <v>0</v>
      </c>
      <c r="AT31" s="5">
        <v>13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49</v>
      </c>
      <c r="BC31" s="5">
        <v>0</v>
      </c>
      <c r="BD31" s="5">
        <v>0</v>
      </c>
      <c r="BE31" s="5">
        <v>0</v>
      </c>
      <c r="BF31" s="5">
        <v>40</v>
      </c>
      <c r="BG31" s="5">
        <v>32</v>
      </c>
      <c r="BH31" s="5">
        <v>0</v>
      </c>
      <c r="BI31" s="5">
        <v>0</v>
      </c>
      <c r="BJ31" s="5">
        <v>21</v>
      </c>
      <c r="BK31" s="5">
        <v>4</v>
      </c>
      <c r="BL31" s="5">
        <v>31</v>
      </c>
      <c r="BM31" s="5">
        <v>10</v>
      </c>
      <c r="BN31" s="5">
        <v>0</v>
      </c>
      <c r="BO31" s="5">
        <v>25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40</v>
      </c>
      <c r="BV31" s="5">
        <v>12</v>
      </c>
      <c r="BW31" s="5">
        <v>38</v>
      </c>
      <c r="BX31" s="5">
        <v>0</v>
      </c>
      <c r="BY31" s="5">
        <v>4</v>
      </c>
      <c r="BZ31" s="5">
        <v>0</v>
      </c>
      <c r="CA31" s="5">
        <v>34</v>
      </c>
      <c r="CB31" s="5">
        <v>80</v>
      </c>
      <c r="CC31" s="5">
        <v>0</v>
      </c>
      <c r="CD31" s="5">
        <v>0</v>
      </c>
      <c r="CE31" s="5">
        <v>23</v>
      </c>
      <c r="CF31" s="5">
        <v>0</v>
      </c>
      <c r="CG31" s="5">
        <v>1</v>
      </c>
      <c r="CH31" s="5">
        <v>0</v>
      </c>
      <c r="CI31" s="5">
        <v>0</v>
      </c>
      <c r="CJ31" s="5">
        <v>156</v>
      </c>
      <c r="CK31" s="5">
        <v>15</v>
      </c>
      <c r="CL31" s="5">
        <v>24</v>
      </c>
      <c r="CM31" s="5">
        <v>0</v>
      </c>
      <c r="CN31" s="5">
        <v>0</v>
      </c>
      <c r="CO31" s="5">
        <v>0</v>
      </c>
      <c r="CP31" s="5">
        <v>71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5">
        <v>0</v>
      </c>
      <c r="CW31" s="5">
        <v>5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5</v>
      </c>
      <c r="DD31" s="5">
        <v>0</v>
      </c>
      <c r="DE31" s="5">
        <v>0</v>
      </c>
      <c r="DF31" s="5">
        <v>0</v>
      </c>
      <c r="DG31" s="5">
        <v>20</v>
      </c>
      <c r="DH31" s="5">
        <v>0</v>
      </c>
      <c r="DI31" s="5">
        <v>120</v>
      </c>
      <c r="DJ31" s="5">
        <v>10</v>
      </c>
      <c r="DK31" s="5">
        <v>108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15</v>
      </c>
      <c r="DR31" s="5">
        <v>73</v>
      </c>
      <c r="DS31" s="5">
        <v>0</v>
      </c>
      <c r="DT31" s="5">
        <v>58</v>
      </c>
      <c r="DU31" s="5">
        <v>0</v>
      </c>
      <c r="DV31" s="5">
        <v>0</v>
      </c>
      <c r="DW31" s="5">
        <v>5</v>
      </c>
      <c r="DX31" s="5">
        <v>0</v>
      </c>
      <c r="DY31" s="5">
        <v>0</v>
      </c>
      <c r="DZ31" s="5">
        <v>76</v>
      </c>
      <c r="EA31" s="5">
        <v>1</v>
      </c>
      <c r="EB31" s="5">
        <v>0</v>
      </c>
      <c r="EC31" s="5">
        <v>32</v>
      </c>
      <c r="ED31" s="5">
        <v>69</v>
      </c>
      <c r="EE31" s="5">
        <v>9</v>
      </c>
      <c r="EF31" s="5">
        <v>50</v>
      </c>
      <c r="EG31" s="5">
        <v>30</v>
      </c>
      <c r="EH31" s="5">
        <v>0</v>
      </c>
      <c r="EI31" s="5">
        <v>85</v>
      </c>
      <c r="EJ31" s="5">
        <v>0</v>
      </c>
      <c r="EK31" s="5">
        <v>0</v>
      </c>
      <c r="EL31" s="5">
        <v>16</v>
      </c>
      <c r="EM31" s="5">
        <v>35</v>
      </c>
      <c r="EN31" s="5">
        <v>0</v>
      </c>
      <c r="EO31" s="5">
        <v>0</v>
      </c>
      <c r="EP31" s="5">
        <v>34</v>
      </c>
      <c r="EQ31" s="5">
        <v>16</v>
      </c>
      <c r="ER31" s="5">
        <v>0</v>
      </c>
      <c r="ES31" s="5">
        <v>18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4</v>
      </c>
      <c r="FH31" s="5">
        <v>0</v>
      </c>
      <c r="FI31" s="5">
        <v>10</v>
      </c>
      <c r="FJ31" s="5">
        <v>12</v>
      </c>
      <c r="FK31" s="5">
        <v>29</v>
      </c>
      <c r="FL31" s="5">
        <v>4</v>
      </c>
      <c r="FM31" s="5">
        <v>13</v>
      </c>
      <c r="FN31" s="5">
        <v>64</v>
      </c>
      <c r="FO31" s="5">
        <v>0</v>
      </c>
      <c r="FP31" s="5">
        <v>40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14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94</v>
      </c>
      <c r="GH31" s="5">
        <v>12</v>
      </c>
      <c r="GI31" s="5">
        <v>0</v>
      </c>
      <c r="GJ31" s="5">
        <v>53</v>
      </c>
      <c r="GK31" s="5">
        <v>0</v>
      </c>
      <c r="GL31" s="5">
        <v>0</v>
      </c>
      <c r="GM31" s="5">
        <v>102</v>
      </c>
      <c r="GN31" s="5">
        <v>20</v>
      </c>
      <c r="GO31" s="5">
        <v>0</v>
      </c>
      <c r="GP31" s="5">
        <v>44</v>
      </c>
      <c r="GQ31" s="5">
        <v>0</v>
      </c>
      <c r="GR31" s="5">
        <v>23</v>
      </c>
      <c r="GS31" s="5"/>
      <c r="GT31" s="5"/>
      <c r="GU31" s="5"/>
      <c r="GV31" s="5"/>
    </row>
    <row r="32" spans="1:204" ht="15.6">
      <c r="A32" s="3">
        <f t="shared" si="2"/>
        <v>46052</v>
      </c>
      <c r="B32" s="4" t="str">
        <f t="shared" si="1"/>
        <v>Fri</v>
      </c>
      <c r="C32" s="147">
        <f t="shared" si="0"/>
        <v>2413</v>
      </c>
      <c r="D32" s="5">
        <v>0</v>
      </c>
      <c r="E32" s="5">
        <v>2</v>
      </c>
      <c r="F32" s="5">
        <v>10</v>
      </c>
      <c r="G32" s="5">
        <v>0</v>
      </c>
      <c r="H32" s="5">
        <v>29</v>
      </c>
      <c r="I32" s="5">
        <v>60</v>
      </c>
      <c r="J32" s="5">
        <v>0</v>
      </c>
      <c r="K32" s="5">
        <v>12</v>
      </c>
      <c r="L32" s="5">
        <v>0</v>
      </c>
      <c r="M32" s="5">
        <v>18</v>
      </c>
      <c r="N32" s="5">
        <v>0</v>
      </c>
      <c r="O32" s="5">
        <v>0</v>
      </c>
      <c r="P32" s="5">
        <v>31</v>
      </c>
      <c r="Q32" s="5">
        <v>32</v>
      </c>
      <c r="R32" s="5">
        <v>75</v>
      </c>
      <c r="S32" s="5">
        <v>0</v>
      </c>
      <c r="T32" s="5">
        <v>0</v>
      </c>
      <c r="U32" s="5">
        <v>0</v>
      </c>
      <c r="V32" s="5">
        <v>0</v>
      </c>
      <c r="W32" s="5">
        <v>8</v>
      </c>
      <c r="X32" s="5">
        <v>0</v>
      </c>
      <c r="Y32" s="5">
        <v>55</v>
      </c>
      <c r="Z32" s="5">
        <v>0</v>
      </c>
      <c r="AA32" s="5">
        <v>11</v>
      </c>
      <c r="AB32" s="5">
        <v>38</v>
      </c>
      <c r="AC32" s="5">
        <v>0</v>
      </c>
      <c r="AD32" s="5">
        <v>0</v>
      </c>
      <c r="AE32" s="5">
        <v>0</v>
      </c>
      <c r="AF32" s="5">
        <v>15</v>
      </c>
      <c r="AG32" s="5">
        <v>35</v>
      </c>
      <c r="AH32" s="5">
        <v>0</v>
      </c>
      <c r="AI32" s="5">
        <v>59</v>
      </c>
      <c r="AJ32" s="5">
        <v>0</v>
      </c>
      <c r="AK32" s="5">
        <v>0</v>
      </c>
      <c r="AL32" s="5">
        <v>0</v>
      </c>
      <c r="AM32" s="5">
        <v>109</v>
      </c>
      <c r="AN32" s="5">
        <v>19</v>
      </c>
      <c r="AO32" s="5">
        <v>0</v>
      </c>
      <c r="AP32" s="5">
        <v>17</v>
      </c>
      <c r="AQ32" s="5">
        <v>14</v>
      </c>
      <c r="AR32" s="5">
        <v>0</v>
      </c>
      <c r="AS32" s="5">
        <v>0</v>
      </c>
      <c r="AT32" s="5">
        <v>65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45</v>
      </c>
      <c r="BC32" s="5">
        <v>0</v>
      </c>
      <c r="BD32" s="5">
        <v>0</v>
      </c>
      <c r="BE32" s="5">
        <v>0</v>
      </c>
      <c r="BF32" s="5">
        <v>34</v>
      </c>
      <c r="BG32" s="5">
        <v>39</v>
      </c>
      <c r="BH32" s="5">
        <v>0</v>
      </c>
      <c r="BI32" s="5">
        <v>0</v>
      </c>
      <c r="BJ32" s="5">
        <v>20</v>
      </c>
      <c r="BK32" s="5">
        <v>0</v>
      </c>
      <c r="BL32" s="5">
        <v>40</v>
      </c>
      <c r="BM32" s="5">
        <v>0</v>
      </c>
      <c r="BN32" s="5">
        <v>0</v>
      </c>
      <c r="BO32" s="5">
        <v>32</v>
      </c>
      <c r="BP32" s="5">
        <v>0</v>
      </c>
      <c r="BQ32" s="5">
        <v>55</v>
      </c>
      <c r="BR32" s="5">
        <v>0</v>
      </c>
      <c r="BS32" s="5">
        <v>0</v>
      </c>
      <c r="BT32" s="5">
        <v>0</v>
      </c>
      <c r="BU32" s="5">
        <v>30</v>
      </c>
      <c r="BV32" s="5">
        <v>25</v>
      </c>
      <c r="BW32" s="5">
        <v>47</v>
      </c>
      <c r="BX32" s="5">
        <v>0</v>
      </c>
      <c r="BY32" s="5">
        <v>0</v>
      </c>
      <c r="BZ32" s="5">
        <v>0</v>
      </c>
      <c r="CA32" s="5">
        <v>50</v>
      </c>
      <c r="CB32" s="5">
        <v>48</v>
      </c>
      <c r="CC32" s="5">
        <v>0</v>
      </c>
      <c r="CD32" s="5">
        <v>0</v>
      </c>
      <c r="CE32" s="5">
        <v>16</v>
      </c>
      <c r="CF32" s="5">
        <v>0</v>
      </c>
      <c r="CG32" s="5">
        <v>4</v>
      </c>
      <c r="CH32" s="5">
        <v>0</v>
      </c>
      <c r="CI32" s="5">
        <v>0</v>
      </c>
      <c r="CJ32" s="5">
        <v>135</v>
      </c>
      <c r="CK32" s="5">
        <v>15</v>
      </c>
      <c r="CL32" s="5">
        <v>21</v>
      </c>
      <c r="CM32" s="5">
        <v>0</v>
      </c>
      <c r="CN32" s="5">
        <v>0</v>
      </c>
      <c r="CO32" s="5">
        <v>0</v>
      </c>
      <c r="CP32" s="5">
        <v>63</v>
      </c>
      <c r="CQ32" s="5">
        <v>0</v>
      </c>
      <c r="CR32" s="5">
        <v>0</v>
      </c>
      <c r="CS32" s="5">
        <v>0</v>
      </c>
      <c r="CT32" s="5">
        <v>0</v>
      </c>
      <c r="CU32" s="5">
        <v>0</v>
      </c>
      <c r="CV32" s="5">
        <v>0</v>
      </c>
      <c r="CW32" s="5">
        <v>5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26</v>
      </c>
      <c r="DH32" s="5">
        <v>0</v>
      </c>
      <c r="DI32" s="5">
        <v>51</v>
      </c>
      <c r="DJ32" s="5">
        <v>4</v>
      </c>
      <c r="DK32" s="5">
        <v>125</v>
      </c>
      <c r="DL32" s="5">
        <v>0</v>
      </c>
      <c r="DM32" s="5">
        <v>0</v>
      </c>
      <c r="DN32" s="5">
        <v>0</v>
      </c>
      <c r="DO32" s="5">
        <v>0</v>
      </c>
      <c r="DP32" s="5">
        <v>0</v>
      </c>
      <c r="DQ32" s="5">
        <v>30</v>
      </c>
      <c r="DR32" s="5">
        <v>60</v>
      </c>
      <c r="DS32" s="5">
        <v>0</v>
      </c>
      <c r="DT32" s="5">
        <v>30</v>
      </c>
      <c r="DU32" s="5">
        <v>0</v>
      </c>
      <c r="DV32" s="5">
        <v>0</v>
      </c>
      <c r="DW32" s="5">
        <v>5</v>
      </c>
      <c r="DX32" s="5">
        <v>0</v>
      </c>
      <c r="DY32" s="5">
        <v>0</v>
      </c>
      <c r="DZ32" s="5">
        <v>79</v>
      </c>
      <c r="EA32" s="5">
        <v>5</v>
      </c>
      <c r="EB32" s="5">
        <v>0</v>
      </c>
      <c r="EC32" s="5">
        <v>0</v>
      </c>
      <c r="ED32" s="5">
        <v>38</v>
      </c>
      <c r="EE32" s="5">
        <v>11</v>
      </c>
      <c r="EF32" s="5">
        <v>61</v>
      </c>
      <c r="EG32" s="5">
        <v>10</v>
      </c>
      <c r="EH32" s="5">
        <v>0</v>
      </c>
      <c r="EI32" s="5">
        <v>18</v>
      </c>
      <c r="EJ32" s="5">
        <v>0</v>
      </c>
      <c r="EK32" s="5">
        <v>0</v>
      </c>
      <c r="EL32" s="5">
        <v>0</v>
      </c>
      <c r="EM32" s="5">
        <v>30</v>
      </c>
      <c r="EN32" s="5">
        <v>0</v>
      </c>
      <c r="EO32" s="5">
        <v>0</v>
      </c>
      <c r="EP32" s="5">
        <v>0</v>
      </c>
      <c r="EQ32" s="5">
        <v>0</v>
      </c>
      <c r="ER32" s="5">
        <v>0</v>
      </c>
      <c r="ES32" s="5">
        <v>20</v>
      </c>
      <c r="ET32" s="5">
        <v>0</v>
      </c>
      <c r="EU32" s="5">
        <v>0</v>
      </c>
      <c r="EV32" s="5">
        <v>0</v>
      </c>
      <c r="EW32" s="5">
        <v>0</v>
      </c>
      <c r="EX32" s="5">
        <v>0</v>
      </c>
      <c r="EY32" s="5">
        <v>0</v>
      </c>
      <c r="EZ32" s="5">
        <v>0</v>
      </c>
      <c r="FA32" s="5">
        <v>0</v>
      </c>
      <c r="FB32" s="5">
        <v>0</v>
      </c>
      <c r="FC32" s="5">
        <v>0</v>
      </c>
      <c r="FD32" s="5">
        <v>0</v>
      </c>
      <c r="FE32" s="5">
        <v>0</v>
      </c>
      <c r="FF32" s="5">
        <v>0</v>
      </c>
      <c r="FG32" s="5">
        <v>9</v>
      </c>
      <c r="FH32" s="5">
        <v>0</v>
      </c>
      <c r="FI32" s="5">
        <v>0</v>
      </c>
      <c r="FJ32" s="5">
        <v>14</v>
      </c>
      <c r="FK32" s="5">
        <v>29</v>
      </c>
      <c r="FL32" s="5">
        <v>5</v>
      </c>
      <c r="FM32" s="5">
        <v>0</v>
      </c>
      <c r="FN32" s="5">
        <v>39</v>
      </c>
      <c r="FO32" s="5">
        <v>0</v>
      </c>
      <c r="FP32" s="5">
        <v>30</v>
      </c>
      <c r="FQ32" s="5">
        <v>0</v>
      </c>
      <c r="FR32" s="5">
        <v>0</v>
      </c>
      <c r="FS32" s="5">
        <v>0</v>
      </c>
      <c r="FT32" s="5">
        <v>0</v>
      </c>
      <c r="FU32" s="5">
        <v>0</v>
      </c>
      <c r="FV32" s="5">
        <v>0</v>
      </c>
      <c r="FW32" s="5">
        <v>5</v>
      </c>
      <c r="FX32" s="5">
        <v>15</v>
      </c>
      <c r="FY32" s="5">
        <v>0</v>
      </c>
      <c r="FZ32" s="5">
        <v>0</v>
      </c>
      <c r="GA32" s="5">
        <v>0</v>
      </c>
      <c r="GB32" s="5">
        <v>0</v>
      </c>
      <c r="GC32" s="5">
        <v>0</v>
      </c>
      <c r="GD32" s="5">
        <v>31</v>
      </c>
      <c r="GE32" s="5">
        <v>0</v>
      </c>
      <c r="GF32" s="5">
        <v>0</v>
      </c>
      <c r="GG32" s="5">
        <v>41</v>
      </c>
      <c r="GH32" s="5">
        <v>0</v>
      </c>
      <c r="GI32" s="5">
        <v>0</v>
      </c>
      <c r="GJ32" s="5">
        <v>50</v>
      </c>
      <c r="GK32" s="5">
        <v>0</v>
      </c>
      <c r="GL32" s="5">
        <v>0</v>
      </c>
      <c r="GM32" s="5">
        <v>63</v>
      </c>
      <c r="GN32" s="5">
        <v>0</v>
      </c>
      <c r="GO32" s="5">
        <v>0</v>
      </c>
      <c r="GP32" s="5">
        <v>17</v>
      </c>
      <c r="GQ32" s="5">
        <v>0</v>
      </c>
      <c r="GR32" s="5">
        <v>24</v>
      </c>
      <c r="GS32" s="5"/>
      <c r="GT32" s="5"/>
      <c r="GU32" s="5"/>
      <c r="GV32" s="5"/>
    </row>
    <row r="33" spans="1:204" ht="15.6">
      <c r="A33" s="3">
        <f t="shared" si="2"/>
        <v>46053</v>
      </c>
      <c r="B33" s="4" t="str">
        <f t="shared" ref="B33" si="3">TEXT(A33,"DDD")</f>
        <v>Sat</v>
      </c>
      <c r="C33" s="147">
        <f>SUM(D33:GV33)</f>
        <v>752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44</v>
      </c>
      <c r="J33" s="5">
        <v>0</v>
      </c>
      <c r="K33" s="5">
        <v>0</v>
      </c>
      <c r="L33" s="5">
        <v>0</v>
      </c>
      <c r="M33" s="5">
        <v>12</v>
      </c>
      <c r="N33" s="5">
        <v>0</v>
      </c>
      <c r="O33" s="5">
        <v>0</v>
      </c>
      <c r="P33" s="5">
        <v>6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25</v>
      </c>
      <c r="X33" s="5">
        <v>0</v>
      </c>
      <c r="Y33" s="5">
        <v>45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34</v>
      </c>
      <c r="AN33" s="5">
        <v>30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50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169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30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152</v>
      </c>
      <c r="DL33" s="5">
        <v>0</v>
      </c>
      <c r="DM33" s="5">
        <v>16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72</v>
      </c>
      <c r="EA33" s="5">
        <v>0</v>
      </c>
      <c r="EB33" s="5">
        <v>0</v>
      </c>
      <c r="EC33" s="5">
        <v>0</v>
      </c>
      <c r="ED33" s="5">
        <v>10</v>
      </c>
      <c r="EE33" s="5">
        <v>24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33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/>
      <c r="GT33" s="5"/>
      <c r="GU33" s="5"/>
      <c r="GV33" s="5"/>
    </row>
    <row r="34" spans="1:204" ht="18">
      <c r="A34" s="218" t="s">
        <v>209</v>
      </c>
      <c r="B34" s="218"/>
      <c r="C34" s="6">
        <f>SUM(C3:C33)</f>
        <v>63168</v>
      </c>
      <c r="D34" s="148">
        <f>SUM(D3:D33)</f>
        <v>0</v>
      </c>
      <c r="E34" s="148">
        <f t="shared" ref="E34:BP34" si="4">SUM(E3:E33)</f>
        <v>304</v>
      </c>
      <c r="F34" s="148">
        <f t="shared" si="4"/>
        <v>16</v>
      </c>
      <c r="G34" s="148">
        <f t="shared" si="4"/>
        <v>0</v>
      </c>
      <c r="H34" s="148">
        <f t="shared" si="4"/>
        <v>637</v>
      </c>
      <c r="I34" s="148">
        <f t="shared" si="4"/>
        <v>1223</v>
      </c>
      <c r="J34" s="148">
        <f t="shared" si="4"/>
        <v>0</v>
      </c>
      <c r="K34" s="148">
        <f t="shared" si="4"/>
        <v>21</v>
      </c>
      <c r="L34" s="148">
        <f t="shared" si="4"/>
        <v>0</v>
      </c>
      <c r="M34" s="148">
        <f t="shared" si="4"/>
        <v>186</v>
      </c>
      <c r="N34" s="148">
        <f t="shared" si="4"/>
        <v>0</v>
      </c>
      <c r="O34" s="148">
        <f t="shared" si="4"/>
        <v>0</v>
      </c>
      <c r="P34" s="148">
        <f t="shared" si="4"/>
        <v>714</v>
      </c>
      <c r="Q34" s="148">
        <f t="shared" si="4"/>
        <v>667</v>
      </c>
      <c r="R34" s="148">
        <f t="shared" si="4"/>
        <v>2118</v>
      </c>
      <c r="S34" s="148">
        <f t="shared" si="4"/>
        <v>0</v>
      </c>
      <c r="T34" s="148">
        <f t="shared" si="4"/>
        <v>0</v>
      </c>
      <c r="U34" s="148">
        <f t="shared" si="4"/>
        <v>0</v>
      </c>
      <c r="V34" s="148">
        <f t="shared" si="4"/>
        <v>300</v>
      </c>
      <c r="W34" s="148">
        <f t="shared" si="4"/>
        <v>213</v>
      </c>
      <c r="X34" s="148">
        <f t="shared" si="4"/>
        <v>2</v>
      </c>
      <c r="Y34" s="148">
        <f t="shared" si="4"/>
        <v>1565</v>
      </c>
      <c r="Z34" s="148">
        <f t="shared" si="4"/>
        <v>0</v>
      </c>
      <c r="AA34" s="148">
        <f t="shared" si="4"/>
        <v>403</v>
      </c>
      <c r="AB34" s="148">
        <f t="shared" si="4"/>
        <v>497</v>
      </c>
      <c r="AC34" s="148">
        <f t="shared" si="4"/>
        <v>0</v>
      </c>
      <c r="AD34" s="148">
        <f t="shared" si="4"/>
        <v>0</v>
      </c>
      <c r="AE34" s="148">
        <f t="shared" si="4"/>
        <v>0</v>
      </c>
      <c r="AF34" s="148">
        <f t="shared" si="4"/>
        <v>25</v>
      </c>
      <c r="AG34" s="148">
        <f t="shared" si="4"/>
        <v>793</v>
      </c>
      <c r="AH34" s="148">
        <f t="shared" si="4"/>
        <v>0</v>
      </c>
      <c r="AI34" s="148">
        <f t="shared" si="4"/>
        <v>239</v>
      </c>
      <c r="AJ34" s="148">
        <f t="shared" si="4"/>
        <v>0</v>
      </c>
      <c r="AK34" s="148">
        <f t="shared" si="4"/>
        <v>0</v>
      </c>
      <c r="AL34" s="148">
        <f t="shared" si="4"/>
        <v>155</v>
      </c>
      <c r="AM34" s="148">
        <f t="shared" si="4"/>
        <v>441</v>
      </c>
      <c r="AN34" s="148">
        <f t="shared" si="4"/>
        <v>300</v>
      </c>
      <c r="AO34" s="148">
        <f t="shared" si="4"/>
        <v>0</v>
      </c>
      <c r="AP34" s="148">
        <f t="shared" si="4"/>
        <v>293</v>
      </c>
      <c r="AQ34" s="148">
        <f t="shared" si="4"/>
        <v>106</v>
      </c>
      <c r="AR34" s="148">
        <f t="shared" si="4"/>
        <v>541</v>
      </c>
      <c r="AS34" s="148">
        <f t="shared" si="4"/>
        <v>0</v>
      </c>
      <c r="AT34" s="148">
        <f t="shared" si="4"/>
        <v>567</v>
      </c>
      <c r="AU34" s="148">
        <f t="shared" si="4"/>
        <v>0</v>
      </c>
      <c r="AV34" s="148">
        <f t="shared" si="4"/>
        <v>0</v>
      </c>
      <c r="AW34" s="148">
        <f t="shared" si="4"/>
        <v>0</v>
      </c>
      <c r="AX34" s="148">
        <f t="shared" si="4"/>
        <v>0</v>
      </c>
      <c r="AY34" s="148">
        <f t="shared" si="4"/>
        <v>0</v>
      </c>
      <c r="AZ34" s="148">
        <f t="shared" si="4"/>
        <v>252</v>
      </c>
      <c r="BA34" s="148">
        <f t="shared" si="4"/>
        <v>0</v>
      </c>
      <c r="BB34" s="148">
        <f t="shared" si="4"/>
        <v>1153</v>
      </c>
      <c r="BC34" s="148">
        <f t="shared" si="4"/>
        <v>0</v>
      </c>
      <c r="BD34" s="148">
        <f t="shared" si="4"/>
        <v>0</v>
      </c>
      <c r="BE34" s="148">
        <f t="shared" si="4"/>
        <v>0</v>
      </c>
      <c r="BF34" s="148">
        <f t="shared" si="4"/>
        <v>207</v>
      </c>
      <c r="BG34" s="148">
        <f t="shared" si="4"/>
        <v>716</v>
      </c>
      <c r="BH34" s="148">
        <f t="shared" si="4"/>
        <v>0</v>
      </c>
      <c r="BI34" s="148">
        <f t="shared" si="4"/>
        <v>66</v>
      </c>
      <c r="BJ34" s="148">
        <f t="shared" si="4"/>
        <v>365</v>
      </c>
      <c r="BK34" s="148">
        <f t="shared" si="4"/>
        <v>4</v>
      </c>
      <c r="BL34" s="148">
        <f t="shared" si="4"/>
        <v>808</v>
      </c>
      <c r="BM34" s="148">
        <f t="shared" si="4"/>
        <v>10</v>
      </c>
      <c r="BN34" s="148">
        <f t="shared" si="4"/>
        <v>0</v>
      </c>
      <c r="BO34" s="148">
        <f t="shared" si="4"/>
        <v>518</v>
      </c>
      <c r="BP34" s="148">
        <f t="shared" si="4"/>
        <v>334</v>
      </c>
      <c r="BQ34" s="148">
        <f t="shared" ref="BQ34:EB34" si="5">SUM(BQ3:BQ33)</f>
        <v>522</v>
      </c>
      <c r="BR34" s="148">
        <f t="shared" si="5"/>
        <v>0</v>
      </c>
      <c r="BS34" s="148">
        <f t="shared" si="5"/>
        <v>0</v>
      </c>
      <c r="BT34" s="148">
        <f t="shared" si="5"/>
        <v>0</v>
      </c>
      <c r="BU34" s="148">
        <f t="shared" si="5"/>
        <v>927</v>
      </c>
      <c r="BV34" s="148">
        <f t="shared" si="5"/>
        <v>358</v>
      </c>
      <c r="BW34" s="148">
        <f t="shared" si="5"/>
        <v>897</v>
      </c>
      <c r="BX34" s="148">
        <f t="shared" si="5"/>
        <v>411</v>
      </c>
      <c r="BY34" s="148">
        <f t="shared" si="5"/>
        <v>4</v>
      </c>
      <c r="BZ34" s="148">
        <f t="shared" si="5"/>
        <v>1743</v>
      </c>
      <c r="CA34" s="148">
        <f t="shared" si="5"/>
        <v>993</v>
      </c>
      <c r="CB34" s="148">
        <f t="shared" si="5"/>
        <v>995</v>
      </c>
      <c r="CC34" s="148">
        <f t="shared" si="5"/>
        <v>0</v>
      </c>
      <c r="CD34" s="148">
        <f t="shared" si="5"/>
        <v>325</v>
      </c>
      <c r="CE34" s="148">
        <f t="shared" si="5"/>
        <v>266</v>
      </c>
      <c r="CF34" s="148">
        <f t="shared" si="5"/>
        <v>0</v>
      </c>
      <c r="CG34" s="148">
        <f t="shared" si="5"/>
        <v>5</v>
      </c>
      <c r="CH34" s="148">
        <f t="shared" si="5"/>
        <v>0</v>
      </c>
      <c r="CI34" s="148">
        <f t="shared" si="5"/>
        <v>0</v>
      </c>
      <c r="CJ34" s="148">
        <f t="shared" si="5"/>
        <v>3295</v>
      </c>
      <c r="CK34" s="148">
        <f t="shared" si="5"/>
        <v>30</v>
      </c>
      <c r="CL34" s="148">
        <f t="shared" si="5"/>
        <v>801</v>
      </c>
      <c r="CM34" s="148">
        <f t="shared" si="5"/>
        <v>0</v>
      </c>
      <c r="CN34" s="148">
        <f t="shared" si="5"/>
        <v>0</v>
      </c>
      <c r="CO34" s="148">
        <f t="shared" si="5"/>
        <v>115</v>
      </c>
      <c r="CP34" s="148">
        <f t="shared" si="5"/>
        <v>593</v>
      </c>
      <c r="CQ34" s="148">
        <f t="shared" si="5"/>
        <v>0</v>
      </c>
      <c r="CR34" s="148">
        <f t="shared" si="5"/>
        <v>0</v>
      </c>
      <c r="CS34" s="148">
        <f t="shared" si="5"/>
        <v>0</v>
      </c>
      <c r="CT34" s="148">
        <f t="shared" si="5"/>
        <v>0</v>
      </c>
      <c r="CU34" s="148">
        <f t="shared" si="5"/>
        <v>1172</v>
      </c>
      <c r="CV34" s="148">
        <f t="shared" si="5"/>
        <v>10</v>
      </c>
      <c r="CW34" s="148">
        <f t="shared" si="5"/>
        <v>10</v>
      </c>
      <c r="CX34" s="148">
        <f t="shared" si="5"/>
        <v>0</v>
      </c>
      <c r="CY34" s="148">
        <f t="shared" si="5"/>
        <v>1328</v>
      </c>
      <c r="CZ34" s="148">
        <f t="shared" si="5"/>
        <v>170</v>
      </c>
      <c r="DA34" s="148">
        <f t="shared" si="5"/>
        <v>0</v>
      </c>
      <c r="DB34" s="148">
        <f t="shared" si="5"/>
        <v>0</v>
      </c>
      <c r="DC34" s="148">
        <f t="shared" si="5"/>
        <v>5</v>
      </c>
      <c r="DD34" s="148">
        <f t="shared" si="5"/>
        <v>100</v>
      </c>
      <c r="DE34" s="148">
        <f t="shared" si="5"/>
        <v>720</v>
      </c>
      <c r="DF34" s="148">
        <f t="shared" si="5"/>
        <v>0</v>
      </c>
      <c r="DG34" s="148">
        <f t="shared" si="5"/>
        <v>541</v>
      </c>
      <c r="DH34" s="148">
        <f t="shared" si="5"/>
        <v>246</v>
      </c>
      <c r="DI34" s="148">
        <f t="shared" si="5"/>
        <v>1819</v>
      </c>
      <c r="DJ34" s="148">
        <f t="shared" si="5"/>
        <v>14</v>
      </c>
      <c r="DK34" s="148">
        <f t="shared" si="5"/>
        <v>3349</v>
      </c>
      <c r="DL34" s="148">
        <f t="shared" si="5"/>
        <v>0</v>
      </c>
      <c r="DM34" s="148">
        <f t="shared" si="5"/>
        <v>326</v>
      </c>
      <c r="DN34" s="148">
        <f t="shared" si="5"/>
        <v>0</v>
      </c>
      <c r="DO34" s="148">
        <f t="shared" si="5"/>
        <v>100</v>
      </c>
      <c r="DP34" s="148">
        <f t="shared" si="5"/>
        <v>165</v>
      </c>
      <c r="DQ34" s="148">
        <f t="shared" si="5"/>
        <v>692</v>
      </c>
      <c r="DR34" s="148">
        <f t="shared" si="5"/>
        <v>1269</v>
      </c>
      <c r="DS34" s="148">
        <f t="shared" si="5"/>
        <v>0</v>
      </c>
      <c r="DT34" s="148">
        <f t="shared" si="5"/>
        <v>1068</v>
      </c>
      <c r="DU34" s="148">
        <f t="shared" si="5"/>
        <v>0</v>
      </c>
      <c r="DV34" s="148">
        <f t="shared" si="5"/>
        <v>12</v>
      </c>
      <c r="DW34" s="148">
        <f t="shared" si="5"/>
        <v>14</v>
      </c>
      <c r="DX34" s="148">
        <f t="shared" si="5"/>
        <v>0</v>
      </c>
      <c r="DY34" s="148">
        <f t="shared" si="5"/>
        <v>0</v>
      </c>
      <c r="DZ34" s="148">
        <f t="shared" si="5"/>
        <v>1092</v>
      </c>
      <c r="EA34" s="148">
        <f t="shared" si="5"/>
        <v>6</v>
      </c>
      <c r="EB34" s="148">
        <f t="shared" si="5"/>
        <v>0</v>
      </c>
      <c r="EC34" s="148">
        <f t="shared" ref="EC34:GN34" si="6">SUM(EC3:EC33)</f>
        <v>225</v>
      </c>
      <c r="ED34" s="148">
        <f t="shared" si="6"/>
        <v>1708</v>
      </c>
      <c r="EE34" s="148">
        <f t="shared" si="6"/>
        <v>259</v>
      </c>
      <c r="EF34" s="148">
        <f t="shared" si="6"/>
        <v>1089</v>
      </c>
      <c r="EG34" s="148">
        <f t="shared" si="6"/>
        <v>78</v>
      </c>
      <c r="EH34" s="148">
        <f t="shared" si="6"/>
        <v>0</v>
      </c>
      <c r="EI34" s="148">
        <f t="shared" si="6"/>
        <v>1019</v>
      </c>
      <c r="EJ34" s="148">
        <f t="shared" si="6"/>
        <v>0</v>
      </c>
      <c r="EK34" s="148">
        <f t="shared" si="6"/>
        <v>0</v>
      </c>
      <c r="EL34" s="148">
        <f t="shared" si="6"/>
        <v>767</v>
      </c>
      <c r="EM34" s="148">
        <f t="shared" si="6"/>
        <v>694</v>
      </c>
      <c r="EN34" s="148">
        <f t="shared" si="6"/>
        <v>644</v>
      </c>
      <c r="EO34" s="148">
        <f t="shared" si="6"/>
        <v>0</v>
      </c>
      <c r="EP34" s="148">
        <f t="shared" si="6"/>
        <v>372</v>
      </c>
      <c r="EQ34" s="148">
        <f t="shared" si="6"/>
        <v>236</v>
      </c>
      <c r="ER34" s="148">
        <f t="shared" si="6"/>
        <v>0</v>
      </c>
      <c r="ES34" s="148">
        <f t="shared" si="6"/>
        <v>236</v>
      </c>
      <c r="ET34" s="148">
        <f t="shared" si="6"/>
        <v>761</v>
      </c>
      <c r="EU34" s="148">
        <f t="shared" si="6"/>
        <v>0</v>
      </c>
      <c r="EV34" s="148">
        <f t="shared" si="6"/>
        <v>0</v>
      </c>
      <c r="EW34" s="148">
        <f t="shared" si="6"/>
        <v>0</v>
      </c>
      <c r="EX34" s="148">
        <f t="shared" si="6"/>
        <v>0</v>
      </c>
      <c r="EY34" s="148">
        <f t="shared" si="6"/>
        <v>0</v>
      </c>
      <c r="EZ34" s="148">
        <f t="shared" si="6"/>
        <v>0</v>
      </c>
      <c r="FA34" s="148">
        <f t="shared" si="6"/>
        <v>0</v>
      </c>
      <c r="FB34" s="148">
        <f t="shared" si="6"/>
        <v>0</v>
      </c>
      <c r="FC34" s="148">
        <f t="shared" si="6"/>
        <v>0</v>
      </c>
      <c r="FD34" s="148">
        <f t="shared" si="6"/>
        <v>0</v>
      </c>
      <c r="FE34" s="148">
        <f t="shared" si="6"/>
        <v>110</v>
      </c>
      <c r="FF34" s="148">
        <f t="shared" si="6"/>
        <v>637</v>
      </c>
      <c r="FG34" s="148">
        <f t="shared" si="6"/>
        <v>13</v>
      </c>
      <c r="FH34" s="148">
        <f t="shared" si="6"/>
        <v>0</v>
      </c>
      <c r="FI34" s="148">
        <f t="shared" si="6"/>
        <v>458</v>
      </c>
      <c r="FJ34" s="148">
        <f t="shared" si="6"/>
        <v>26</v>
      </c>
      <c r="FK34" s="148">
        <f t="shared" si="6"/>
        <v>669</v>
      </c>
      <c r="FL34" s="148">
        <f t="shared" si="6"/>
        <v>9</v>
      </c>
      <c r="FM34" s="148">
        <f t="shared" si="6"/>
        <v>156</v>
      </c>
      <c r="FN34" s="148">
        <f t="shared" si="6"/>
        <v>440</v>
      </c>
      <c r="FO34" s="148">
        <f t="shared" si="6"/>
        <v>0</v>
      </c>
      <c r="FP34" s="148">
        <f t="shared" si="6"/>
        <v>882</v>
      </c>
      <c r="FQ34" s="148">
        <f t="shared" si="6"/>
        <v>0</v>
      </c>
      <c r="FR34" s="148">
        <f t="shared" si="6"/>
        <v>100</v>
      </c>
      <c r="FS34" s="148">
        <f t="shared" si="6"/>
        <v>0</v>
      </c>
      <c r="FT34" s="148">
        <f t="shared" si="6"/>
        <v>0</v>
      </c>
      <c r="FU34" s="148">
        <f t="shared" si="6"/>
        <v>0</v>
      </c>
      <c r="FV34" s="148">
        <f t="shared" si="6"/>
        <v>141</v>
      </c>
      <c r="FW34" s="148">
        <f t="shared" si="6"/>
        <v>5</v>
      </c>
      <c r="FX34" s="148">
        <f t="shared" si="6"/>
        <v>29</v>
      </c>
      <c r="FY34" s="148">
        <f t="shared" si="6"/>
        <v>0</v>
      </c>
      <c r="FZ34" s="148">
        <f t="shared" si="6"/>
        <v>0</v>
      </c>
      <c r="GA34" s="148">
        <f t="shared" si="6"/>
        <v>0</v>
      </c>
      <c r="GB34" s="148">
        <f t="shared" si="6"/>
        <v>700</v>
      </c>
      <c r="GC34" s="148">
        <f t="shared" si="6"/>
        <v>0</v>
      </c>
      <c r="GD34" s="148">
        <f t="shared" si="6"/>
        <v>698</v>
      </c>
      <c r="GE34" s="148">
        <f t="shared" si="6"/>
        <v>0</v>
      </c>
      <c r="GF34" s="148">
        <f t="shared" si="6"/>
        <v>0</v>
      </c>
      <c r="GG34" s="148">
        <f t="shared" si="6"/>
        <v>847</v>
      </c>
      <c r="GH34" s="148">
        <f t="shared" si="6"/>
        <v>245</v>
      </c>
      <c r="GI34" s="148">
        <f t="shared" si="6"/>
        <v>0</v>
      </c>
      <c r="GJ34" s="148">
        <f t="shared" si="6"/>
        <v>1390</v>
      </c>
      <c r="GK34" s="148">
        <f t="shared" si="6"/>
        <v>0</v>
      </c>
      <c r="GL34" s="148">
        <f t="shared" si="6"/>
        <v>0</v>
      </c>
      <c r="GM34" s="148">
        <f t="shared" si="6"/>
        <v>2216</v>
      </c>
      <c r="GN34" s="148">
        <f t="shared" si="6"/>
        <v>706</v>
      </c>
      <c r="GO34" s="148">
        <f t="shared" ref="GO34:GV34" si="7">SUM(GO3:GO33)</f>
        <v>0</v>
      </c>
      <c r="GP34" s="148">
        <f t="shared" si="7"/>
        <v>747</v>
      </c>
      <c r="GQ34" s="148">
        <f t="shared" si="7"/>
        <v>0</v>
      </c>
      <c r="GR34" s="148">
        <f t="shared" si="7"/>
        <v>589</v>
      </c>
      <c r="GS34" s="148">
        <f t="shared" si="7"/>
        <v>0</v>
      </c>
      <c r="GT34" s="148">
        <f t="shared" si="7"/>
        <v>0</v>
      </c>
      <c r="GU34" s="148">
        <f t="shared" si="7"/>
        <v>0</v>
      </c>
      <c r="GV34" s="148">
        <f t="shared" si="7"/>
        <v>0</v>
      </c>
    </row>
    <row r="35" spans="1:204">
      <c r="A35" s="118"/>
      <c r="B35" s="118"/>
      <c r="C35" s="118">
        <f>C34+'Payroll Verisma'!C34</f>
        <v>118326</v>
      </c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52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  <c r="DB35" s="145"/>
      <c r="DC35" s="145"/>
      <c r="DD35" s="145"/>
      <c r="DE35" s="145"/>
      <c r="DF35" s="145"/>
      <c r="DG35" s="145"/>
      <c r="DH35" s="145"/>
      <c r="DI35" s="145"/>
      <c r="DJ35" s="145"/>
      <c r="DK35" s="145"/>
      <c r="DL35" s="145"/>
      <c r="DM35" s="145"/>
      <c r="DN35" s="145"/>
      <c r="DO35" s="145"/>
      <c r="DP35" s="145"/>
      <c r="DQ35" s="145"/>
      <c r="DR35" s="145"/>
      <c r="DS35" s="145"/>
      <c r="DT35" s="145"/>
      <c r="DU35" s="145"/>
      <c r="DV35" s="145"/>
      <c r="DW35" s="145"/>
      <c r="DX35" s="145"/>
      <c r="DY35" s="145"/>
      <c r="DZ35" s="145"/>
      <c r="EA35" s="145"/>
      <c r="EB35" s="145"/>
      <c r="EC35" s="145"/>
      <c r="ED35" s="145"/>
      <c r="EE35" s="145"/>
      <c r="EF35" s="145"/>
      <c r="EG35" s="145"/>
      <c r="EH35" s="145"/>
      <c r="EI35" s="145"/>
      <c r="EJ35" s="145"/>
      <c r="EK35" s="145"/>
      <c r="EL35" s="145"/>
      <c r="EM35" s="145"/>
      <c r="EN35" s="145"/>
      <c r="EO35" s="145"/>
      <c r="EP35" s="145"/>
      <c r="EQ35" s="145"/>
      <c r="ER35" s="145"/>
      <c r="ES35" s="145"/>
      <c r="ET35" s="145"/>
      <c r="EU35" s="145"/>
      <c r="EV35" s="145"/>
      <c r="EW35" s="145"/>
      <c r="EX35" s="145"/>
      <c r="EY35" s="145"/>
      <c r="EZ35" s="145"/>
      <c r="FA35" s="145"/>
      <c r="FB35" s="145"/>
      <c r="FC35" s="145"/>
    </row>
    <row r="36" spans="1:204">
      <c r="A36" s="118"/>
      <c r="B36" s="118"/>
      <c r="C36" s="118">
        <v>69659</v>
      </c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  <c r="AA36" s="118"/>
      <c r="AB36" s="118"/>
      <c r="AC36" s="118"/>
      <c r="AD36" s="118"/>
      <c r="AE36" s="118"/>
      <c r="AF36" s="118"/>
      <c r="AG36" s="118"/>
      <c r="AH36" s="118"/>
      <c r="AI36" s="118"/>
      <c r="AJ36" s="118"/>
      <c r="AK36" s="118"/>
      <c r="AL36" s="118"/>
      <c r="AM36" s="118"/>
      <c r="AN36" s="118"/>
      <c r="AO36" s="118"/>
      <c r="AP36" s="118"/>
      <c r="AQ36" s="118"/>
      <c r="AR36" s="118"/>
      <c r="AS36" s="118"/>
      <c r="AT36" s="118"/>
      <c r="AU36" s="118"/>
      <c r="AV36" s="118"/>
      <c r="AW36" s="118"/>
      <c r="AX36" s="118"/>
      <c r="AY36" s="118"/>
      <c r="AZ36" s="118"/>
      <c r="BA36" s="118"/>
      <c r="BB36" s="118"/>
      <c r="BC36" s="118"/>
      <c r="BD36" s="118"/>
      <c r="BE36" s="118"/>
      <c r="BF36" s="118"/>
      <c r="BG36" s="118"/>
      <c r="BH36" s="118"/>
      <c r="BI36" s="118"/>
      <c r="BJ36" s="118"/>
      <c r="BK36" s="118"/>
      <c r="BL36" s="118"/>
      <c r="BM36" s="118"/>
      <c r="BN36" s="118"/>
      <c r="BO36" s="118"/>
      <c r="BP36" s="118"/>
      <c r="BQ36" s="118"/>
      <c r="BR36" s="118"/>
      <c r="BS36" s="118"/>
      <c r="BT36" s="118"/>
      <c r="BU36" s="118"/>
      <c r="BV36" s="118"/>
      <c r="BW36" s="118"/>
      <c r="BX36" s="118"/>
      <c r="BY36" s="118"/>
      <c r="BZ36" s="118"/>
      <c r="CA36" s="118"/>
      <c r="CB36" s="118"/>
      <c r="CC36" s="118"/>
      <c r="CD36" s="118"/>
      <c r="CE36" s="118"/>
      <c r="CF36" s="118"/>
      <c r="CG36" s="118"/>
      <c r="CH36" s="118"/>
      <c r="CI36" s="118"/>
      <c r="CJ36" s="118"/>
      <c r="CK36" s="118"/>
      <c r="CL36" s="118"/>
      <c r="CM36" s="118"/>
      <c r="CN36" s="118"/>
      <c r="CO36" s="118"/>
      <c r="CP36" s="118"/>
      <c r="CQ36" s="118"/>
      <c r="CR36" s="118"/>
      <c r="CS36" s="118"/>
      <c r="CT36" s="118"/>
      <c r="CU36" s="118"/>
      <c r="CV36" s="118"/>
      <c r="CW36" s="118"/>
      <c r="CX36" s="118"/>
      <c r="CY36" s="118"/>
      <c r="CZ36" s="118"/>
      <c r="DA36" s="118"/>
      <c r="DB36" s="118"/>
      <c r="DC36" s="118"/>
      <c r="DD36" s="118"/>
      <c r="DE36" s="118"/>
      <c r="DF36" s="118"/>
      <c r="DG36" s="118"/>
      <c r="DH36" s="118"/>
      <c r="DI36" s="118"/>
      <c r="DJ36" s="118"/>
      <c r="DK36" s="118"/>
      <c r="DL36" s="118"/>
      <c r="DM36" s="118"/>
      <c r="DN36" s="118"/>
      <c r="DO36" s="118"/>
      <c r="DP36" s="118"/>
      <c r="DQ36" s="118"/>
      <c r="DR36" s="118"/>
      <c r="DS36" s="118"/>
      <c r="DT36" s="118"/>
      <c r="DU36" s="118"/>
      <c r="DV36" s="118"/>
      <c r="DW36" s="118"/>
      <c r="DX36" s="118"/>
      <c r="DY36" s="118"/>
      <c r="DZ36" s="118"/>
      <c r="EA36" s="118"/>
      <c r="EB36" s="118"/>
      <c r="EC36" s="118"/>
      <c r="ED36" s="118"/>
      <c r="EE36" s="118"/>
      <c r="EF36" s="118"/>
      <c r="EG36" s="118"/>
      <c r="EH36" s="118"/>
      <c r="EI36" s="118"/>
      <c r="EJ36" s="118"/>
      <c r="EK36" s="118"/>
      <c r="EL36" s="118"/>
      <c r="EM36" s="118"/>
      <c r="EN36" s="118"/>
      <c r="EO36" s="118"/>
      <c r="EP36" s="118"/>
      <c r="EQ36" s="118"/>
      <c r="ER36" s="118"/>
      <c r="ES36" s="118"/>
      <c r="ET36" s="118"/>
      <c r="EU36" s="118"/>
      <c r="EV36" s="118"/>
      <c r="EW36" s="118"/>
      <c r="EX36" s="118"/>
      <c r="EY36" s="118"/>
      <c r="EZ36" s="118"/>
      <c r="FA36" s="118"/>
      <c r="FB36" s="118"/>
      <c r="FC36" s="118"/>
      <c r="FQ36">
        <v>3126</v>
      </c>
    </row>
    <row r="37" spans="1:204">
      <c r="A37" s="118"/>
      <c r="B37" s="118"/>
      <c r="C37" s="118">
        <f>C34-C36</f>
        <v>-6491</v>
      </c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8"/>
      <c r="AX37" s="118"/>
      <c r="AY37" s="118"/>
      <c r="AZ37" s="118"/>
      <c r="BA37" s="118"/>
      <c r="BB37" s="118"/>
      <c r="BC37" s="118"/>
      <c r="BD37" s="118"/>
      <c r="BE37" s="118"/>
      <c r="BF37" s="118"/>
      <c r="BG37" s="118"/>
      <c r="BH37" s="118"/>
      <c r="BI37" s="118"/>
      <c r="BJ37" s="118"/>
      <c r="BK37" s="118"/>
      <c r="BL37" s="118"/>
      <c r="BM37" s="118"/>
      <c r="BN37" s="118"/>
      <c r="BO37" s="118"/>
      <c r="BP37" s="118"/>
      <c r="BQ37" s="118"/>
      <c r="BR37" s="118"/>
      <c r="BS37" s="118"/>
      <c r="BT37" s="118"/>
      <c r="BU37" s="118"/>
      <c r="BV37" s="118"/>
      <c r="BW37" s="118"/>
      <c r="BX37" s="118"/>
      <c r="BY37" s="118"/>
      <c r="BZ37" s="118"/>
      <c r="CA37" s="118"/>
      <c r="CB37" s="118"/>
      <c r="CC37" s="118"/>
      <c r="CD37" s="118"/>
      <c r="CE37" s="118"/>
      <c r="CF37" s="118"/>
      <c r="CG37" s="118"/>
      <c r="CH37" s="118"/>
      <c r="CI37" s="118"/>
      <c r="CJ37" s="118"/>
      <c r="CK37" s="118"/>
      <c r="CL37" s="118"/>
      <c r="CM37" s="118"/>
      <c r="CN37" s="118"/>
      <c r="CO37" s="118"/>
      <c r="CP37" s="118"/>
      <c r="CQ37" s="118"/>
      <c r="CR37" s="118"/>
      <c r="CS37" s="118"/>
      <c r="CT37" s="118"/>
      <c r="CU37" s="118"/>
      <c r="CV37" s="118"/>
      <c r="CW37" s="118"/>
      <c r="CX37" s="118"/>
      <c r="CY37" s="118"/>
      <c r="CZ37" s="118"/>
      <c r="DA37" s="118"/>
      <c r="DB37" s="118"/>
      <c r="DC37" s="118"/>
      <c r="DD37" s="118"/>
      <c r="DE37" s="118"/>
      <c r="DF37" s="118"/>
      <c r="DG37" s="118"/>
      <c r="DH37" s="118"/>
      <c r="DI37" s="118"/>
      <c r="DJ37" s="118"/>
      <c r="DK37" s="118"/>
      <c r="DL37" s="118"/>
      <c r="DM37" s="118"/>
      <c r="DN37" s="118"/>
      <c r="DO37" s="118"/>
      <c r="DP37" s="118"/>
      <c r="DQ37" s="118"/>
      <c r="DR37" s="118"/>
      <c r="DS37" s="118"/>
      <c r="DT37" s="118"/>
      <c r="DU37" s="118"/>
      <c r="DV37" s="118"/>
      <c r="DW37" s="118"/>
      <c r="DX37" s="118"/>
      <c r="DY37" s="118"/>
      <c r="DZ37" s="118"/>
      <c r="EA37" s="118"/>
      <c r="EB37" s="118"/>
      <c r="EC37" s="118"/>
      <c r="ED37" s="118"/>
      <c r="EE37" s="118"/>
      <c r="EF37" s="118"/>
      <c r="EG37" s="118"/>
      <c r="EH37" s="118"/>
      <c r="EI37" s="118"/>
      <c r="EJ37" s="118"/>
      <c r="EK37" s="118"/>
      <c r="EL37" s="118"/>
      <c r="EM37" s="118"/>
      <c r="EN37" s="118"/>
      <c r="EO37" s="118"/>
      <c r="EP37" s="118"/>
      <c r="EQ37" s="118"/>
      <c r="ER37" s="118"/>
      <c r="ES37" s="118"/>
      <c r="ET37" s="118"/>
      <c r="EU37" s="118"/>
      <c r="EV37" s="118"/>
      <c r="EW37" s="118"/>
      <c r="EX37" s="118"/>
      <c r="EY37" s="118"/>
      <c r="EZ37" s="118"/>
      <c r="FA37" s="118"/>
      <c r="FB37" s="118"/>
      <c r="FC37" s="118"/>
    </row>
  </sheetData>
  <mergeCells count="4">
    <mergeCell ref="A1:A2"/>
    <mergeCell ref="B1:B2"/>
    <mergeCell ref="C1:C2"/>
    <mergeCell ref="A34:B34"/>
  </mergeCells>
  <conditionalFormatting sqref="D3:GV33">
    <cfRule type="cellIs" dxfId="32" priority="2" operator="greaterThan">
      <formula>0</formula>
    </cfRule>
    <cfRule type="cellIs" dxfId="31" priority="3" operator="lessThan">
      <formula>1</formula>
    </cfRule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25936E1-D5CF-441B-8508-CBCAC4432284}">
            <xm:f>NOT(ISERROR(SEARCH("-",D3)))</xm:f>
            <xm:f>"-"</xm:f>
            <x14:dxf>
              <fill>
                <patternFill>
                  <bgColor rgb="FFFFFF00"/>
                </patternFill>
              </fill>
            </x14:dxf>
          </x14:cfRule>
          <xm:sqref>D3:GV33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3D3F0-D427-4CEA-ABCB-842FB01D2DD5}">
  <dimension ref="A1:GR25"/>
  <sheetViews>
    <sheetView zoomScale="110" zoomScaleNormal="110" workbookViewId="0">
      <pane xSplit="2" ySplit="2" topLeftCell="BN16" activePane="bottomRight" state="frozen"/>
      <selection pane="bottomRight" activeCell="BN16" sqref="BN16"/>
      <selection pane="bottomLeft" activeCell="A3" sqref="A3"/>
      <selection pane="topRight" activeCell="C1" sqref="C1"/>
    </sheetView>
  </sheetViews>
  <sheetFormatPr defaultColWidth="16.7109375" defaultRowHeight="12"/>
  <cols>
    <col min="1" max="1" width="16.5703125" style="138" bestFit="1" customWidth="1"/>
    <col min="2" max="2" width="11" style="138" bestFit="1" customWidth="1"/>
    <col min="3" max="3" width="9.28515625" style="138" bestFit="1" customWidth="1"/>
    <col min="4" max="4" width="11.5703125" style="138" bestFit="1" customWidth="1"/>
    <col min="5" max="6" width="10.140625" style="138" bestFit="1" customWidth="1"/>
    <col min="7" max="7" width="8.28515625" style="138" bestFit="1" customWidth="1"/>
    <col min="8" max="8" width="9.28515625" style="138" bestFit="1" customWidth="1"/>
    <col min="9" max="9" width="12" style="138" bestFit="1" customWidth="1"/>
    <col min="10" max="10" width="14.28515625" style="138" bestFit="1" customWidth="1"/>
    <col min="11" max="11" width="9.85546875" style="138" bestFit="1" customWidth="1"/>
    <col min="12" max="12" width="10" style="138" bestFit="1" customWidth="1"/>
    <col min="13" max="13" width="10.42578125" style="138" bestFit="1" customWidth="1"/>
    <col min="14" max="14" width="10.140625" style="138" bestFit="1" customWidth="1"/>
    <col min="15" max="15" width="13.7109375" style="138" bestFit="1" customWidth="1"/>
    <col min="16" max="16" width="9" style="138" bestFit="1" customWidth="1"/>
    <col min="17" max="17" width="10.5703125" style="138" bestFit="1" customWidth="1"/>
    <col min="18" max="18" width="10.7109375" style="138" bestFit="1" customWidth="1"/>
    <col min="19" max="19" width="15.5703125" style="138" bestFit="1" customWidth="1"/>
    <col min="20" max="20" width="12" style="138" bestFit="1" customWidth="1"/>
    <col min="21" max="21" width="20.28515625" style="138" bestFit="1" customWidth="1"/>
    <col min="22" max="22" width="11.140625" style="138" bestFit="1" customWidth="1"/>
    <col min="23" max="23" width="11.85546875" style="138" bestFit="1" customWidth="1"/>
    <col min="24" max="24" width="17.85546875" style="138" bestFit="1" customWidth="1"/>
    <col min="25" max="25" width="11.42578125" style="138" bestFit="1" customWidth="1"/>
    <col min="26" max="26" width="12.140625" style="138" bestFit="1" customWidth="1"/>
    <col min="27" max="27" width="12.5703125" style="138" bestFit="1" customWidth="1"/>
    <col min="28" max="28" width="16.7109375" style="138" bestFit="1" customWidth="1"/>
    <col min="29" max="29" width="10.42578125" style="138" bestFit="1" customWidth="1"/>
    <col min="30" max="30" width="12.28515625" style="138" bestFit="1" customWidth="1"/>
    <col min="31" max="31" width="8.7109375" style="138" bestFit="1" customWidth="1"/>
    <col min="32" max="32" width="14.7109375" style="138" bestFit="1" customWidth="1"/>
    <col min="33" max="33" width="14.28515625" style="138" bestFit="1" customWidth="1"/>
    <col min="34" max="34" width="10.28515625" style="138" bestFit="1" customWidth="1"/>
    <col min="35" max="35" width="19.28515625" style="138" bestFit="1" customWidth="1"/>
    <col min="36" max="36" width="16" style="138" bestFit="1" customWidth="1"/>
    <col min="37" max="37" width="7.85546875" style="138" bestFit="1" customWidth="1"/>
    <col min="38" max="38" width="17.28515625" style="138" bestFit="1" customWidth="1"/>
    <col min="39" max="39" width="8.140625" style="138" bestFit="1" customWidth="1"/>
    <col min="40" max="40" width="11.140625" style="138" bestFit="1" customWidth="1"/>
    <col min="41" max="41" width="12.7109375" style="138" bestFit="1" customWidth="1"/>
    <col min="42" max="42" width="8.7109375" style="138" bestFit="1" customWidth="1"/>
    <col min="43" max="43" width="11.140625" style="138" bestFit="1" customWidth="1"/>
    <col min="44" max="44" width="9.28515625" style="138" bestFit="1" customWidth="1"/>
    <col min="45" max="45" width="8" style="138" bestFit="1" customWidth="1"/>
    <col min="46" max="46" width="7.85546875" style="138" bestFit="1" customWidth="1"/>
    <col min="47" max="47" width="12.5703125" style="138" bestFit="1" customWidth="1"/>
    <col min="48" max="48" width="13.42578125" style="138" bestFit="1" customWidth="1"/>
    <col min="49" max="49" width="24.28515625" style="138" bestFit="1" customWidth="1"/>
    <col min="50" max="50" width="12" style="138" bestFit="1" customWidth="1"/>
    <col min="51" max="51" width="13" style="138" bestFit="1" customWidth="1"/>
    <col min="52" max="52" width="11.5703125" style="138" bestFit="1" customWidth="1"/>
    <col min="53" max="53" width="10.28515625" style="138" bestFit="1" customWidth="1"/>
    <col min="54" max="54" width="9.28515625" style="138" bestFit="1" customWidth="1"/>
    <col min="55" max="55" width="9.7109375" style="138" bestFit="1" customWidth="1"/>
    <col min="56" max="56" width="18.42578125" style="138" bestFit="1" customWidth="1"/>
    <col min="57" max="57" width="7.85546875" style="138" bestFit="1" customWidth="1"/>
    <col min="58" max="58" width="10.85546875" style="138" bestFit="1" customWidth="1"/>
    <col min="59" max="59" width="7" style="138" bestFit="1" customWidth="1"/>
    <col min="60" max="60" width="17.7109375" style="138" bestFit="1" customWidth="1"/>
    <col min="61" max="62" width="11.85546875" style="138" bestFit="1" customWidth="1"/>
    <col min="63" max="63" width="10.7109375" style="138" bestFit="1" customWidth="1"/>
    <col min="64" max="64" width="15" style="138" bestFit="1" customWidth="1"/>
    <col min="65" max="65" width="9.28515625" style="138" bestFit="1" customWidth="1"/>
    <col min="66" max="66" width="17.5703125" style="138" bestFit="1" customWidth="1"/>
    <col min="67" max="67" width="17.28515625" style="138" bestFit="1" customWidth="1"/>
    <col min="68" max="69" width="11.85546875" style="138" bestFit="1" customWidth="1"/>
    <col min="70" max="70" width="9.42578125" style="138" bestFit="1" customWidth="1"/>
    <col min="71" max="71" width="12.140625" style="138" bestFit="1" customWidth="1"/>
    <col min="72" max="72" width="16.5703125" style="138" bestFit="1" customWidth="1"/>
    <col min="73" max="73" width="8.140625" style="138" bestFit="1" customWidth="1"/>
    <col min="74" max="74" width="13.42578125" style="138" bestFit="1" customWidth="1"/>
    <col min="75" max="75" width="19.5703125" style="138" bestFit="1" customWidth="1"/>
    <col min="76" max="76" width="11.7109375" style="138" bestFit="1" customWidth="1"/>
    <col min="77" max="77" width="9.42578125" style="138" bestFit="1" customWidth="1"/>
    <col min="78" max="78" width="10.7109375" style="138" bestFit="1" customWidth="1"/>
    <col min="79" max="79" width="9.7109375" style="138" bestFit="1" customWidth="1"/>
    <col min="80" max="80" width="11" style="138" bestFit="1" customWidth="1"/>
    <col min="81" max="81" width="15.28515625" style="138" bestFit="1" customWidth="1"/>
    <col min="82" max="83" width="9.85546875" style="138" bestFit="1" customWidth="1"/>
    <col min="84" max="84" width="10.5703125" style="138" bestFit="1" customWidth="1"/>
    <col min="85" max="85" width="16.42578125" style="138" bestFit="1" customWidth="1"/>
    <col min="86" max="86" width="9.28515625" style="138" bestFit="1" customWidth="1"/>
    <col min="87" max="87" width="11.42578125" style="138" bestFit="1" customWidth="1"/>
    <col min="88" max="88" width="12.85546875" style="138" bestFit="1" customWidth="1"/>
    <col min="89" max="90" width="9.28515625" style="138" bestFit="1" customWidth="1"/>
    <col min="91" max="91" width="18.42578125" style="138" bestFit="1" customWidth="1"/>
    <col min="92" max="92" width="20.42578125" style="138" bestFit="1" customWidth="1"/>
    <col min="93" max="93" width="10" style="138" bestFit="1" customWidth="1"/>
    <col min="94" max="94" width="11.140625" style="138" bestFit="1" customWidth="1"/>
    <col min="95" max="95" width="12.5703125" style="138" bestFit="1" customWidth="1"/>
    <col min="96" max="96" width="18.7109375" style="138" bestFit="1" customWidth="1"/>
    <col min="97" max="97" width="20.28515625" style="138" bestFit="1" customWidth="1"/>
    <col min="98" max="98" width="10.7109375" style="138" bestFit="1" customWidth="1"/>
    <col min="99" max="99" width="10.28515625" style="138" bestFit="1" customWidth="1"/>
    <col min="100" max="100" width="19.7109375" style="138" bestFit="1" customWidth="1"/>
    <col min="101" max="101" width="18.5703125" style="138" bestFit="1" customWidth="1"/>
    <col min="102" max="102" width="9.28515625" style="138" bestFit="1" customWidth="1"/>
    <col min="103" max="103" width="10" style="138" bestFit="1" customWidth="1"/>
    <col min="104" max="104" width="14.85546875" style="138" bestFit="1" customWidth="1"/>
    <col min="105" max="105" width="12.28515625" style="138" bestFit="1" customWidth="1"/>
    <col min="106" max="106" width="9.28515625" style="138" bestFit="1" customWidth="1"/>
    <col min="107" max="107" width="14.85546875" style="138" bestFit="1" customWidth="1"/>
    <col min="108" max="108" width="17.7109375" style="138" bestFit="1" customWidth="1"/>
    <col min="109" max="109" width="13.140625" style="138" bestFit="1" customWidth="1"/>
    <col min="110" max="110" width="11.140625" style="138" bestFit="1" customWidth="1"/>
    <col min="111" max="111" width="20.140625" style="138" bestFit="1" customWidth="1"/>
    <col min="112" max="112" width="13.5703125" style="138" bestFit="1" customWidth="1"/>
    <col min="113" max="113" width="17.7109375" style="138" bestFit="1" customWidth="1"/>
    <col min="114" max="114" width="9.28515625" style="138" bestFit="1" customWidth="1"/>
    <col min="115" max="115" width="12.140625" style="138" bestFit="1" customWidth="1"/>
    <col min="116" max="116" width="15.7109375" style="138" bestFit="1" customWidth="1"/>
    <col min="117" max="117" width="13.28515625" style="138" bestFit="1" customWidth="1"/>
    <col min="118" max="118" width="10.28515625" style="138" bestFit="1" customWidth="1"/>
    <col min="119" max="119" width="14.7109375" style="138" bestFit="1" customWidth="1"/>
    <col min="120" max="120" width="24" style="138" bestFit="1" customWidth="1"/>
    <col min="121" max="121" width="15.85546875" style="138" bestFit="1" customWidth="1"/>
    <col min="122" max="122" width="17.42578125" style="138" bestFit="1" customWidth="1"/>
    <col min="123" max="123" width="14" style="138" bestFit="1" customWidth="1"/>
    <col min="124" max="124" width="17.85546875" style="138" bestFit="1" customWidth="1"/>
    <col min="125" max="125" width="8.28515625" style="138" bestFit="1" customWidth="1"/>
    <col min="126" max="126" width="9.28515625" style="138" bestFit="1" customWidth="1"/>
    <col min="127" max="127" width="12.28515625" style="138" bestFit="1" customWidth="1"/>
    <col min="128" max="128" width="11.28515625" style="138" bestFit="1" customWidth="1"/>
    <col min="129" max="129" width="9.28515625" style="138" bestFit="1" customWidth="1"/>
    <col min="130" max="130" width="10.85546875" style="138" bestFit="1" customWidth="1"/>
    <col min="131" max="131" width="15.7109375" style="138" bestFit="1" customWidth="1"/>
    <col min="132" max="132" width="10.7109375" style="138" bestFit="1" customWidth="1"/>
    <col min="133" max="133" width="20.42578125" style="138" bestFit="1" customWidth="1"/>
    <col min="134" max="134" width="11.28515625" style="138" bestFit="1" customWidth="1"/>
    <col min="135" max="135" width="9.85546875" style="138" bestFit="1" customWidth="1"/>
    <col min="136" max="136" width="7.7109375" style="138" bestFit="1" customWidth="1"/>
    <col min="137" max="137" width="9.42578125" style="138" bestFit="1" customWidth="1"/>
    <col min="138" max="138" width="9.140625" style="138" bestFit="1" customWidth="1"/>
    <col min="139" max="139" width="8.42578125" style="138" bestFit="1" customWidth="1"/>
    <col min="140" max="140" width="14.85546875" style="138" bestFit="1" customWidth="1"/>
    <col min="141" max="141" width="13.85546875" style="138" bestFit="1" customWidth="1"/>
    <col min="142" max="142" width="10.85546875" style="138" bestFit="1" customWidth="1"/>
    <col min="143" max="143" width="11" style="138" bestFit="1" customWidth="1"/>
    <col min="144" max="144" width="11.5703125" style="138" bestFit="1" customWidth="1"/>
    <col min="145" max="145" width="13.28515625" style="138" bestFit="1" customWidth="1"/>
    <col min="146" max="146" width="9.7109375" style="138" bestFit="1" customWidth="1"/>
    <col min="147" max="147" width="11.7109375" style="138" bestFit="1" customWidth="1"/>
    <col min="148" max="148" width="16" style="138" bestFit="1" customWidth="1"/>
    <col min="149" max="149" width="11.28515625" style="138" bestFit="1" customWidth="1"/>
    <col min="150" max="150" width="13.5703125" style="138" bestFit="1" customWidth="1"/>
    <col min="151" max="151" width="15.28515625" style="138" bestFit="1" customWidth="1"/>
    <col min="152" max="152" width="12.7109375" style="138" bestFit="1" customWidth="1"/>
    <col min="153" max="153" width="14.85546875" style="138" bestFit="1" customWidth="1"/>
    <col min="154" max="154" width="10.28515625" style="138" bestFit="1" customWidth="1"/>
    <col min="155" max="155" width="12.42578125" style="138" bestFit="1" customWidth="1"/>
    <col min="156" max="156" width="14.85546875" style="138" bestFit="1" customWidth="1"/>
    <col min="157" max="157" width="11.7109375" style="138" bestFit="1" customWidth="1"/>
    <col min="158" max="158" width="9.85546875" style="138" bestFit="1" customWidth="1"/>
    <col min="159" max="159" width="9.7109375" style="138" bestFit="1" customWidth="1"/>
    <col min="160" max="160" width="8.7109375" style="138" bestFit="1" customWidth="1"/>
    <col min="161" max="161" width="10" style="138" bestFit="1" customWidth="1"/>
    <col min="162" max="162" width="14.85546875" style="138" bestFit="1" customWidth="1"/>
    <col min="163" max="163" width="11.5703125" style="138" bestFit="1" customWidth="1"/>
    <col min="164" max="164" width="11.7109375" style="138" bestFit="1" customWidth="1"/>
    <col min="165" max="165" width="10.7109375" style="138" bestFit="1" customWidth="1"/>
    <col min="166" max="166" width="7.85546875" style="138" bestFit="1" customWidth="1"/>
    <col min="167" max="167" width="9.5703125" style="138" bestFit="1" customWidth="1"/>
    <col min="168" max="168" width="10.85546875" style="138" bestFit="1" customWidth="1"/>
    <col min="169" max="169" width="19.7109375" style="138" bestFit="1" customWidth="1"/>
    <col min="170" max="170" width="13.28515625" style="138" bestFit="1" customWidth="1"/>
    <col min="171" max="171" width="14.28515625" style="138" bestFit="1" customWidth="1"/>
    <col min="172" max="172" width="18.7109375" style="138" bestFit="1" customWidth="1"/>
    <col min="173" max="173" width="11.140625" style="138" bestFit="1" customWidth="1"/>
    <col min="174" max="174" width="15" style="138" bestFit="1" customWidth="1"/>
    <col min="175" max="175" width="10.28515625" style="138" bestFit="1" customWidth="1"/>
    <col min="176" max="176" width="8.42578125" style="138" bestFit="1" customWidth="1"/>
    <col min="177" max="178" width="9.28515625" style="138" bestFit="1" customWidth="1"/>
    <col min="179" max="179" width="18.42578125" style="138" bestFit="1" customWidth="1"/>
    <col min="180" max="180" width="9.28515625" style="138" bestFit="1" customWidth="1"/>
    <col min="181" max="181" width="9.7109375" style="138" bestFit="1" customWidth="1"/>
    <col min="182" max="182" width="9.42578125" style="138" bestFit="1" customWidth="1"/>
    <col min="183" max="183" width="9.28515625" style="138" bestFit="1" customWidth="1"/>
    <col min="184" max="184" width="10.7109375" style="138" bestFit="1" customWidth="1"/>
    <col min="185" max="185" width="7.85546875" style="138" bestFit="1" customWidth="1"/>
    <col min="186" max="186" width="18.5703125" style="138" bestFit="1" customWidth="1"/>
    <col min="187" max="187" width="14.5703125" style="138" bestFit="1" customWidth="1"/>
    <col min="188" max="188" width="21.7109375" style="138" bestFit="1" customWidth="1"/>
    <col min="189" max="189" width="17.7109375" style="138" bestFit="1" customWidth="1"/>
    <col min="190" max="190" width="16.140625" style="138" bestFit="1" customWidth="1"/>
    <col min="191" max="191" width="11.140625" style="138" bestFit="1" customWidth="1"/>
    <col min="192" max="192" width="9" style="138" bestFit="1" customWidth="1"/>
    <col min="193" max="193" width="9.42578125" style="138" bestFit="1" customWidth="1"/>
    <col min="194" max="194" width="9.28515625" style="138" bestFit="1" customWidth="1"/>
    <col min="195" max="195" width="10.7109375" style="138" bestFit="1" customWidth="1"/>
    <col min="196" max="196" width="15.7109375" style="138" bestFit="1" customWidth="1"/>
    <col min="197" max="197" width="16.5703125" style="138" bestFit="1" customWidth="1"/>
    <col min="198" max="198" width="10.28515625" style="138" bestFit="1" customWidth="1"/>
    <col min="199" max="199" width="14.28515625" style="138" bestFit="1" customWidth="1"/>
    <col min="200" max="200" width="9.28515625" style="138" bestFit="1" customWidth="1"/>
    <col min="201" max="16384" width="16.7109375" style="138"/>
  </cols>
  <sheetData>
    <row r="1" spans="1:200" ht="12.6" thickBot="1">
      <c r="A1" s="137" t="s">
        <v>2</v>
      </c>
      <c r="B1" s="137" t="s">
        <v>3</v>
      </c>
      <c r="C1" s="145" t="s">
        <v>4</v>
      </c>
      <c r="D1" s="145" t="s">
        <v>5</v>
      </c>
      <c r="E1" s="145" t="s">
        <v>6</v>
      </c>
      <c r="F1" s="145" t="s">
        <v>7</v>
      </c>
      <c r="G1" s="145" t="s">
        <v>8</v>
      </c>
      <c r="H1" s="145" t="s">
        <v>9</v>
      </c>
      <c r="I1" s="145" t="s">
        <v>10</v>
      </c>
      <c r="J1" s="145" t="s">
        <v>11</v>
      </c>
      <c r="K1" s="145" t="s">
        <v>12</v>
      </c>
      <c r="L1" s="145" t="s">
        <v>13</v>
      </c>
      <c r="M1" s="145" t="s">
        <v>14</v>
      </c>
      <c r="N1" s="145" t="s">
        <v>15</v>
      </c>
      <c r="O1" s="145" t="s">
        <v>16</v>
      </c>
      <c r="P1" s="145" t="s">
        <v>17</v>
      </c>
      <c r="Q1" s="145" t="s">
        <v>18</v>
      </c>
      <c r="R1" s="145" t="s">
        <v>19</v>
      </c>
      <c r="S1" s="145" t="s">
        <v>20</v>
      </c>
      <c r="T1" s="145" t="s">
        <v>21</v>
      </c>
      <c r="U1" s="145" t="s">
        <v>22</v>
      </c>
      <c r="V1" s="145" t="s">
        <v>23</v>
      </c>
      <c r="W1" s="145" t="s">
        <v>24</v>
      </c>
      <c r="X1" s="145" t="s">
        <v>25</v>
      </c>
      <c r="Y1" s="145" t="s">
        <v>26</v>
      </c>
      <c r="Z1" s="145" t="s">
        <v>27</v>
      </c>
      <c r="AA1" s="145" t="s">
        <v>28</v>
      </c>
      <c r="AB1" s="145" t="s">
        <v>29</v>
      </c>
      <c r="AC1" s="152" t="s">
        <v>30</v>
      </c>
      <c r="AD1" s="145" t="s">
        <v>31</v>
      </c>
      <c r="AE1" s="145" t="s">
        <v>32</v>
      </c>
      <c r="AF1" s="145" t="s">
        <v>33</v>
      </c>
      <c r="AG1" s="145" t="s">
        <v>34</v>
      </c>
      <c r="AH1" s="145" t="s">
        <v>35</v>
      </c>
      <c r="AI1" s="145" t="s">
        <v>36</v>
      </c>
      <c r="AJ1" s="145" t="s">
        <v>37</v>
      </c>
      <c r="AK1" s="145" t="s">
        <v>38</v>
      </c>
      <c r="AL1" s="145" t="s">
        <v>39</v>
      </c>
      <c r="AM1" s="145" t="s">
        <v>40</v>
      </c>
      <c r="AN1" s="145" t="s">
        <v>41</v>
      </c>
      <c r="AO1" s="145" t="s">
        <v>42</v>
      </c>
      <c r="AP1" s="145" t="s">
        <v>43</v>
      </c>
      <c r="AQ1" s="145" t="s">
        <v>44</v>
      </c>
      <c r="AR1" s="145" t="s">
        <v>45</v>
      </c>
      <c r="AS1" s="145" t="s">
        <v>46</v>
      </c>
      <c r="AT1" s="145" t="s">
        <v>47</v>
      </c>
      <c r="AU1" s="145" t="s">
        <v>48</v>
      </c>
      <c r="AV1" s="145" t="s">
        <v>49</v>
      </c>
      <c r="AW1" s="145" t="s">
        <v>50</v>
      </c>
      <c r="AX1" s="145" t="s">
        <v>51</v>
      </c>
      <c r="AY1" s="145" t="s">
        <v>52</v>
      </c>
      <c r="AZ1" s="145" t="s">
        <v>53</v>
      </c>
      <c r="BA1" s="145" t="s">
        <v>54</v>
      </c>
      <c r="BB1" s="145" t="s">
        <v>55</v>
      </c>
      <c r="BC1" s="145" t="s">
        <v>56</v>
      </c>
      <c r="BD1" s="145" t="s">
        <v>57</v>
      </c>
      <c r="BE1" s="145" t="s">
        <v>58</v>
      </c>
      <c r="BF1" s="145" t="s">
        <v>59</v>
      </c>
      <c r="BG1" s="145" t="s">
        <v>60</v>
      </c>
      <c r="BH1" s="145" t="s">
        <v>61</v>
      </c>
      <c r="BI1" s="145" t="s">
        <v>62</v>
      </c>
      <c r="BJ1" s="145" t="s">
        <v>63</v>
      </c>
      <c r="BK1" s="145" t="s">
        <v>64</v>
      </c>
      <c r="BL1" s="145" t="s">
        <v>65</v>
      </c>
      <c r="BM1" s="145" t="s">
        <v>66</v>
      </c>
      <c r="BN1" s="145" t="s">
        <v>67</v>
      </c>
      <c r="BO1" s="145" t="s">
        <v>68</v>
      </c>
      <c r="BP1" s="145" t="s">
        <v>69</v>
      </c>
      <c r="BQ1" s="145" t="s">
        <v>70</v>
      </c>
      <c r="BR1" s="145" t="s">
        <v>71</v>
      </c>
      <c r="BS1" s="145" t="s">
        <v>72</v>
      </c>
      <c r="BT1" s="145" t="s">
        <v>73</v>
      </c>
      <c r="BU1" s="145" t="s">
        <v>74</v>
      </c>
      <c r="BV1" s="145" t="s">
        <v>75</v>
      </c>
      <c r="BW1" s="145" t="s">
        <v>76</v>
      </c>
      <c r="BX1" s="145" t="s">
        <v>77</v>
      </c>
      <c r="BY1" s="145" t="s">
        <v>78</v>
      </c>
      <c r="BZ1" s="145" t="s">
        <v>79</v>
      </c>
      <c r="CA1" s="145" t="s">
        <v>80</v>
      </c>
      <c r="CB1" s="145" t="s">
        <v>81</v>
      </c>
      <c r="CC1" s="145" t="s">
        <v>82</v>
      </c>
      <c r="CD1" s="145" t="s">
        <v>83</v>
      </c>
      <c r="CE1" s="145" t="s">
        <v>84</v>
      </c>
      <c r="CF1" s="145" t="s">
        <v>85</v>
      </c>
      <c r="CG1" s="145" t="s">
        <v>86</v>
      </c>
      <c r="CH1" s="145" t="s">
        <v>87</v>
      </c>
      <c r="CI1" s="145" t="s">
        <v>88</v>
      </c>
      <c r="CJ1" s="145" t="s">
        <v>89</v>
      </c>
      <c r="CK1" s="145" t="s">
        <v>90</v>
      </c>
      <c r="CL1" s="145" t="s">
        <v>91</v>
      </c>
      <c r="CM1" s="145" t="s">
        <v>92</v>
      </c>
      <c r="CN1" s="145" t="s">
        <v>93</v>
      </c>
      <c r="CO1" s="145" t="s">
        <v>94</v>
      </c>
      <c r="CP1" s="145" t="s">
        <v>95</v>
      </c>
      <c r="CQ1" s="145" t="s">
        <v>96</v>
      </c>
      <c r="CR1" s="145" t="s">
        <v>97</v>
      </c>
      <c r="CS1" s="145" t="s">
        <v>98</v>
      </c>
      <c r="CT1" s="145" t="s">
        <v>99</v>
      </c>
      <c r="CU1" s="145" t="s">
        <v>100</v>
      </c>
      <c r="CV1" s="145" t="s">
        <v>101</v>
      </c>
      <c r="CW1" s="145" t="s">
        <v>102</v>
      </c>
      <c r="CX1" s="145" t="s">
        <v>103</v>
      </c>
      <c r="CY1" s="145" t="s">
        <v>104</v>
      </c>
      <c r="CZ1" s="145" t="s">
        <v>105</v>
      </c>
      <c r="DA1" s="145" t="s">
        <v>106</v>
      </c>
      <c r="DB1" s="145" t="s">
        <v>107</v>
      </c>
      <c r="DC1" s="145" t="s">
        <v>108</v>
      </c>
      <c r="DD1" s="145" t="s">
        <v>109</v>
      </c>
      <c r="DE1" s="145" t="s">
        <v>110</v>
      </c>
      <c r="DF1" s="145" t="s">
        <v>111</v>
      </c>
      <c r="DG1" s="145" t="s">
        <v>112</v>
      </c>
      <c r="DH1" s="145" t="s">
        <v>113</v>
      </c>
      <c r="DI1" s="145" t="s">
        <v>114</v>
      </c>
      <c r="DJ1" s="145" t="s">
        <v>115</v>
      </c>
      <c r="DK1" s="145" t="s">
        <v>116</v>
      </c>
      <c r="DL1" s="145" t="s">
        <v>117</v>
      </c>
      <c r="DM1" s="145" t="s">
        <v>118</v>
      </c>
      <c r="DN1" s="145" t="s">
        <v>119</v>
      </c>
      <c r="DO1" s="145" t="s">
        <v>120</v>
      </c>
      <c r="DP1" s="145" t="s">
        <v>121</v>
      </c>
      <c r="DQ1" s="145" t="s">
        <v>122</v>
      </c>
      <c r="DR1" s="145" t="s">
        <v>123</v>
      </c>
      <c r="DS1" s="145" t="s">
        <v>124</v>
      </c>
      <c r="DT1" s="145" t="s">
        <v>125</v>
      </c>
      <c r="DU1" s="145" t="s">
        <v>126</v>
      </c>
      <c r="DV1" s="145" t="s">
        <v>127</v>
      </c>
      <c r="DW1" s="145" t="s">
        <v>128</v>
      </c>
      <c r="DX1" s="145" t="s">
        <v>129</v>
      </c>
      <c r="DY1" s="145" t="s">
        <v>130</v>
      </c>
      <c r="DZ1" s="145" t="s">
        <v>131</v>
      </c>
      <c r="EA1" s="145" t="s">
        <v>132</v>
      </c>
      <c r="EB1" s="145" t="s">
        <v>133</v>
      </c>
      <c r="EC1" s="145" t="s">
        <v>134</v>
      </c>
      <c r="ED1" s="145" t="s">
        <v>135</v>
      </c>
      <c r="EE1" s="145" t="s">
        <v>136</v>
      </c>
      <c r="EF1" s="145" t="s">
        <v>137</v>
      </c>
      <c r="EG1" s="145" t="s">
        <v>138</v>
      </c>
      <c r="EH1" s="145" t="s">
        <v>139</v>
      </c>
      <c r="EI1" s="145" t="s">
        <v>140</v>
      </c>
      <c r="EJ1" s="145" t="s">
        <v>141</v>
      </c>
      <c r="EK1" s="145" t="s">
        <v>142</v>
      </c>
      <c r="EL1" s="145" t="s">
        <v>143</v>
      </c>
      <c r="EM1" s="145" t="s">
        <v>144</v>
      </c>
      <c r="EN1" s="145" t="s">
        <v>145</v>
      </c>
      <c r="EO1" s="145" t="s">
        <v>146</v>
      </c>
      <c r="EP1" s="145" t="s">
        <v>147</v>
      </c>
      <c r="EQ1" s="145" t="s">
        <v>148</v>
      </c>
      <c r="ER1" s="145" t="s">
        <v>149</v>
      </c>
      <c r="ES1" s="145" t="s">
        <v>150</v>
      </c>
      <c r="ET1" s="145" t="s">
        <v>151</v>
      </c>
      <c r="EU1" s="145" t="s">
        <v>152</v>
      </c>
      <c r="EV1" s="145" t="s">
        <v>153</v>
      </c>
      <c r="EW1" s="145" t="s">
        <v>154</v>
      </c>
      <c r="EX1" s="145" t="s">
        <v>155</v>
      </c>
      <c r="EY1" s="145" t="s">
        <v>156</v>
      </c>
      <c r="EZ1" s="145" t="s">
        <v>157</v>
      </c>
      <c r="FA1" s="145" t="s">
        <v>158</v>
      </c>
      <c r="FB1" s="145" t="s">
        <v>159</v>
      </c>
      <c r="FC1" s="145" t="s">
        <v>160</v>
      </c>
      <c r="FD1" s="145" t="s">
        <v>161</v>
      </c>
      <c r="FE1" s="145" t="s">
        <v>162</v>
      </c>
      <c r="FF1" s="145" t="s">
        <v>163</v>
      </c>
      <c r="FG1" s="145" t="s">
        <v>164</v>
      </c>
      <c r="FH1" s="145" t="s">
        <v>165</v>
      </c>
      <c r="FI1" s="145" t="s">
        <v>166</v>
      </c>
      <c r="FJ1" s="145" t="s">
        <v>167</v>
      </c>
      <c r="FK1" s="145" t="s">
        <v>168</v>
      </c>
      <c r="FL1" s="145" t="s">
        <v>169</v>
      </c>
      <c r="FM1" s="145" t="s">
        <v>170</v>
      </c>
      <c r="FN1" s="145" t="s">
        <v>171</v>
      </c>
      <c r="FO1" s="145" t="s">
        <v>172</v>
      </c>
      <c r="FP1" s="145" t="s">
        <v>173</v>
      </c>
      <c r="FQ1" s="145" t="s">
        <v>174</v>
      </c>
      <c r="FR1" s="145" t="s">
        <v>175</v>
      </c>
      <c r="FS1" s="145" t="s">
        <v>176</v>
      </c>
      <c r="FT1" s="145" t="s">
        <v>177</v>
      </c>
      <c r="FU1" s="145" t="s">
        <v>178</v>
      </c>
      <c r="FV1" s="145" t="s">
        <v>179</v>
      </c>
      <c r="FW1" s="145" t="s">
        <v>180</v>
      </c>
      <c r="FX1" s="145" t="s">
        <v>181</v>
      </c>
      <c r="FY1" s="145" t="s">
        <v>182</v>
      </c>
      <c r="FZ1" s="145" t="s">
        <v>183</v>
      </c>
      <c r="GA1" s="145" t="s">
        <v>184</v>
      </c>
      <c r="GB1" s="145" t="s">
        <v>185</v>
      </c>
      <c r="GC1" s="145" t="s">
        <v>186</v>
      </c>
      <c r="GD1" s="145" t="s">
        <v>187</v>
      </c>
      <c r="GE1" s="145" t="s">
        <v>188</v>
      </c>
      <c r="GF1" s="145" t="s">
        <v>189</v>
      </c>
      <c r="GG1" s="145" t="s">
        <v>190</v>
      </c>
      <c r="GH1" s="145" t="s">
        <v>191</v>
      </c>
      <c r="GI1" s="145" t="s">
        <v>192</v>
      </c>
      <c r="GJ1" s="145" t="s">
        <v>193</v>
      </c>
      <c r="GK1" s="145" t="s">
        <v>194</v>
      </c>
      <c r="GL1" s="145" t="s">
        <v>195</v>
      </c>
      <c r="GM1" s="145" t="s">
        <v>196</v>
      </c>
      <c r="GN1" s="145" t="s">
        <v>197</v>
      </c>
      <c r="GO1" s="145" t="s">
        <v>198</v>
      </c>
      <c r="GP1" s="145" t="s">
        <v>199</v>
      </c>
      <c r="GQ1" s="145" t="s">
        <v>200</v>
      </c>
      <c r="GR1" s="145" t="s">
        <v>201</v>
      </c>
    </row>
    <row r="2" spans="1:200" ht="12.6" thickBot="1">
      <c r="A2" s="164" t="s">
        <v>211</v>
      </c>
      <c r="B2" s="163">
        <f t="shared" ref="B2:B11" si="0">SUM(C2:GR2)</f>
        <v>52690.200000000004</v>
      </c>
      <c r="C2" s="139">
        <f>IFERROR(HLOOKUP(C1,Payroll!D1:FC19,19,0),0)</f>
        <v>0</v>
      </c>
      <c r="D2" s="139">
        <f>IFERROR(HLOOKUP(D1,Payroll!E1:FC19,19,0),0)</f>
        <v>270.5</v>
      </c>
      <c r="E2" s="139">
        <f>IFERROR(HLOOKUP(E1,Payroll!F1:FC19,19,0),0)</f>
        <v>8</v>
      </c>
      <c r="F2" s="139">
        <f>IFERROR(HLOOKUP(F1,Payroll!G1:FC19,19,0),0)</f>
        <v>8</v>
      </c>
      <c r="G2" s="139">
        <f>IFERROR(HLOOKUP(G1,Payroll!H1:FC19,19,0),0)</f>
        <v>318.5</v>
      </c>
      <c r="H2" s="139">
        <f>IFERROR(HLOOKUP(H1,Payroll!I1:FC19,19,0),0)</f>
        <v>377</v>
      </c>
      <c r="I2" s="139">
        <f>IFERROR(HLOOKUP(I1,Payroll!J1:FC19,19,0),0)</f>
        <v>0</v>
      </c>
      <c r="J2" s="139">
        <f>IFERROR(HLOOKUP(J1,Payroll!K1:FC19,19,0),0)</f>
        <v>10.5</v>
      </c>
      <c r="K2" s="139">
        <f>IFERROR(HLOOKUP(K1,Payroll!L1:FC19,19,0),0)</f>
        <v>0</v>
      </c>
      <c r="L2" s="139">
        <f>IFERROR(HLOOKUP(L1,Payroll!M1:FC19,19,0),0)</f>
        <v>0</v>
      </c>
      <c r="M2" s="139">
        <f>IFERROR(HLOOKUP(M1,Payroll!N1:FC19,19,0),0)</f>
        <v>447</v>
      </c>
      <c r="N2" s="139">
        <f>IFERROR(HLOOKUP(N1,Payroll!O1:FC19,19,0),0)</f>
        <v>336</v>
      </c>
      <c r="O2" s="139">
        <f>IFERROR(HLOOKUP(O1,Payroll!P1:FC19,19,0),0)</f>
        <v>0</v>
      </c>
      <c r="P2" s="139">
        <f>IFERROR(HLOOKUP(P1,Payroll!Q1:FC19,19,0),0)</f>
        <v>333.5</v>
      </c>
      <c r="Q2" s="139">
        <f>IFERROR(HLOOKUP(Q1,Payroll!R1:FC19,19,0),0)</f>
        <v>1059</v>
      </c>
      <c r="R2" s="139">
        <f>IFERROR(HLOOKUP(R1,Payroll!S1:FC19,19,0),0)</f>
        <v>454.5</v>
      </c>
      <c r="S2" s="139">
        <f>IFERROR(HLOOKUP(S1,Payroll!T1:FC19,19,0),0)</f>
        <v>1801.8</v>
      </c>
      <c r="T2" s="139">
        <f>IFERROR(HLOOKUP(T1,Payroll!U1:FC19,19,0),0)</f>
        <v>10</v>
      </c>
      <c r="U2" s="139">
        <f>IFERROR(HLOOKUP(U1,Payroll!V1:FC19,19,0),0)</f>
        <v>150</v>
      </c>
      <c r="V2" s="139">
        <f>IFERROR(HLOOKUP(V1,Payroll!W1:FC19,19,0),0)</f>
        <v>19.5</v>
      </c>
      <c r="W2" s="139">
        <f>IFERROR(HLOOKUP(W1,Payroll!X1:FC19,19,0),0)</f>
        <v>1</v>
      </c>
      <c r="X2" s="139">
        <f>IFERROR(HLOOKUP(X1,Payroll!Y1:FC19,19,0),0)</f>
        <v>190</v>
      </c>
      <c r="Y2" s="139">
        <f>IFERROR(HLOOKUP(Y1,Payroll!Z1:FC19,19,0),0)</f>
        <v>407</v>
      </c>
      <c r="Z2" s="139">
        <f>IFERROR(HLOOKUP(Z1,Payroll!AA1:FC19,19,0),0)</f>
        <v>201.5</v>
      </c>
      <c r="AA2" s="139">
        <f>IFERROR(HLOOKUP(AA1,Payroll!AB1:FC19,19,0),0)</f>
        <v>248.5</v>
      </c>
      <c r="AB2" s="139">
        <f>IFERROR(HLOOKUP(AB1,Payroll!AC1:FC19,19,0),0)</f>
        <v>0</v>
      </c>
      <c r="AC2" s="139">
        <f>IFERROR(HLOOKUP(AC1,Payroll!AD1:FC19,19,0),0)</f>
        <v>578</v>
      </c>
      <c r="AD2" s="139">
        <f>IFERROR(HLOOKUP(AD1,Payroll!AE1:FC19,19,0),0)</f>
        <v>61.5</v>
      </c>
      <c r="AE2" s="139">
        <f>IFERROR(HLOOKUP(AE1,Payroll!AF1:FC19,19,0),0)</f>
        <v>12.5</v>
      </c>
      <c r="AF2" s="139">
        <f>IFERROR(HLOOKUP(AF1,Payroll!AG1:FC19,19,0),0)</f>
        <v>396.5</v>
      </c>
      <c r="AG2" s="139">
        <f>IFERROR(HLOOKUP(AG1,Payroll!AH1:FC19,19,0),0)</f>
        <v>126</v>
      </c>
      <c r="AH2" s="139">
        <f>IFERROR(HLOOKUP(AH1,Payroll!AI1:FC19,19,0),0)</f>
        <v>119.5</v>
      </c>
      <c r="AI2" s="139">
        <f>IFERROR(HLOOKUP(AI1,Payroll!AJ1:FC19,19,0),0)</f>
        <v>0</v>
      </c>
      <c r="AJ2" s="139">
        <f>IFERROR(HLOOKUP(AJ1,Payroll!AK1:FC19,19,0),0)</f>
        <v>73</v>
      </c>
      <c r="AK2" s="139">
        <f>IFERROR(HLOOKUP(AK1,Payroll!AL1:FC19,19,0),0)</f>
        <v>0</v>
      </c>
      <c r="AL2" s="139">
        <f>IFERROR(HLOOKUP(AL1,Payroll!AM1:FC19,19,0),0)</f>
        <v>0</v>
      </c>
      <c r="AM2" s="139">
        <f>IFERROR(HLOOKUP(AM1,Payroll!AN1:FC19,19,0),0)</f>
        <v>90</v>
      </c>
      <c r="AN2" s="139">
        <f>IFERROR(HLOOKUP(AN1,Payroll!AO1:FC19,19,0),0)</f>
        <v>16.5</v>
      </c>
      <c r="AO2" s="139">
        <f>IFERROR(HLOOKUP(AO1,Payroll!AP1:FC19,19,0),0)</f>
        <v>146.5</v>
      </c>
      <c r="AP2" s="139">
        <f>IFERROR(HLOOKUP(AP1,Payroll!AQ1:FC19,19,0),0)</f>
        <v>53</v>
      </c>
      <c r="AQ2" s="139">
        <f>IFERROR(HLOOKUP(AQ1,Payroll!AR1:FC19,19,0),0)</f>
        <v>205</v>
      </c>
      <c r="AR2" s="139">
        <f>IFERROR(HLOOKUP(AR1,Payroll!AS1:FC19,19,0),0)</f>
        <v>0</v>
      </c>
      <c r="AS2" s="139">
        <f>IFERROR(HLOOKUP(AS1,Payroll!AT1:FC19,19,0),0)</f>
        <v>283.5</v>
      </c>
      <c r="AT2" s="139">
        <f>IFERROR(HLOOKUP(AT1,Payroll!AU1:FC19,19,0),0)</f>
        <v>85.5</v>
      </c>
      <c r="AU2" s="139">
        <f>IFERROR(HLOOKUP(AU1,Payroll!AV1:FC19,19,0),0)</f>
        <v>36</v>
      </c>
      <c r="AV2" s="139">
        <f>IFERROR(HLOOKUP(AV1,Payroll!AW1:FC19,19,0),0)</f>
        <v>413</v>
      </c>
      <c r="AW2" s="139">
        <f>IFERROR(HLOOKUP(AW1,Payroll!AX1:FC19,19,0),0)</f>
        <v>580.5</v>
      </c>
      <c r="AX2" s="139">
        <f>IFERROR(HLOOKUP(AX1,Payroll!AY1:FC19,19,0),0)</f>
        <v>29</v>
      </c>
      <c r="AY2" s="139">
        <f>IFERROR(HLOOKUP(AY1,Payroll!AZ1:FC19,19,0),0)</f>
        <v>126</v>
      </c>
      <c r="AZ2" s="139">
        <f>IFERROR(HLOOKUP(AZ1,Payroll!BA1:FC19,19,0),0)</f>
        <v>687</v>
      </c>
      <c r="BA2" s="139">
        <f>IFERROR(HLOOKUP(BA1,Payroll!BB1:FC19,19,0),0)</f>
        <v>451.5</v>
      </c>
      <c r="BB2" s="139">
        <f>IFERROR(HLOOKUP(BB1,Payroll!BC1:FC19,19,0),0)</f>
        <v>157</v>
      </c>
      <c r="BC2" s="139">
        <f>IFERROR(HLOOKUP(BC1,Payroll!BD1:FC19,19,0),0)</f>
        <v>868</v>
      </c>
      <c r="BD2" s="139">
        <f>IFERROR(HLOOKUP(BD1,Payroll!BE1:FC19,19,0),0)</f>
        <v>293</v>
      </c>
      <c r="BE2" s="139">
        <f>IFERROR(HLOOKUP(BE1,Payroll!BF1:FC19,19,0),0)</f>
        <v>0</v>
      </c>
      <c r="BF2" s="139">
        <f>IFERROR(HLOOKUP(BF1,Payroll!BG1:FC19,19,0),0)</f>
        <v>358</v>
      </c>
      <c r="BG2" s="139">
        <f>IFERROR(HLOOKUP(BG1,Payroll!BH1:FC19,19,0),0)</f>
        <v>51.5</v>
      </c>
      <c r="BH2" s="139">
        <f>IFERROR(HLOOKUP(BH1,Payroll!BI1:FC19,19,0),0)</f>
        <v>392</v>
      </c>
      <c r="BI2" s="139">
        <f>IFERROR(HLOOKUP(BI1,Payroll!BJ1:FC19,19,0),0)</f>
        <v>182.5</v>
      </c>
      <c r="BJ2" s="139">
        <f>IFERROR(HLOOKUP(BJ1,Payroll!BK1:FC19,19,0),0)</f>
        <v>2</v>
      </c>
      <c r="BK2" s="139">
        <f>IFERROR(HLOOKUP(BK1,Payroll!BL1:FC19,19,0),0)</f>
        <v>404</v>
      </c>
      <c r="BL2" s="139">
        <f>IFERROR(HLOOKUP(BL1,Payroll!BM1:FC19,19,0),0)</f>
        <v>5</v>
      </c>
      <c r="BM2" s="139">
        <f>IFERROR(HLOOKUP(BM1,Payroll!BN1:FC19,19,0),0)</f>
        <v>246</v>
      </c>
      <c r="BN2" s="139">
        <f>IFERROR(HLOOKUP(BN1,Payroll!BO1:FC19,19,0),0)</f>
        <v>259</v>
      </c>
      <c r="BO2" s="139">
        <f>IFERROR(HLOOKUP(BO1,Payroll!BP1:FC19,19,0),0)</f>
        <v>167</v>
      </c>
      <c r="BP2" s="139">
        <f>IFERROR(HLOOKUP(BP1,Payroll!BQ1:FC19,19,0),0)</f>
        <v>261</v>
      </c>
      <c r="BQ2" s="139">
        <f>IFERROR(HLOOKUP(BQ1,Payroll!BR1:FC19,19,0),0)</f>
        <v>0</v>
      </c>
      <c r="BR2" s="139">
        <f>IFERROR(HLOOKUP(BR1,Payroll!BS1:FC19,19,0),0)</f>
        <v>170</v>
      </c>
      <c r="BS2" s="139">
        <f>IFERROR(HLOOKUP(BS1,Payroll!BT1:FC19,19,0),0)</f>
        <v>0</v>
      </c>
      <c r="BT2" s="139">
        <f>IFERROR(HLOOKUP(BT1,Payroll!BU1:FC19,19,0),0)</f>
        <v>388.5</v>
      </c>
      <c r="BU2" s="139">
        <f>IFERROR(HLOOKUP(BU1,Payroll!BV1:FC19,19,0),0)</f>
        <v>179</v>
      </c>
      <c r="BV2" s="139">
        <f>IFERROR(HLOOKUP(BV1,Payroll!BW1:FC19,19,0),0)</f>
        <v>448.5</v>
      </c>
      <c r="BW2" s="139">
        <f>IFERROR(HLOOKUP(BW1,Payroll!BX1:FC19,19,0),0)</f>
        <v>0</v>
      </c>
      <c r="BX2" s="139">
        <f>IFERROR(HLOOKUP(BX1,Payroll!BY1:FC19,19,0),0)</f>
        <v>2</v>
      </c>
      <c r="BY2" s="139">
        <f>IFERROR(HLOOKUP(BY1,Payroll!BZ1:FC19,19,0),0)</f>
        <v>293.5</v>
      </c>
      <c r="BZ2" s="139">
        <f>IFERROR(HLOOKUP(BZ1,Payroll!CA1:FC19,19,0),0)</f>
        <v>496.5</v>
      </c>
      <c r="CA2" s="139">
        <f>IFERROR(HLOOKUP(CA1,Payroll!CB1:FC19,19,0),0)</f>
        <v>497.5</v>
      </c>
      <c r="CB2" s="139">
        <f>IFERROR(HLOOKUP(CB1,Payroll!CC1:FC19,19,0),0)</f>
        <v>240.5</v>
      </c>
      <c r="CC2" s="139">
        <f>IFERROR(HLOOKUP(CC1,Payroll!CD1:FC19,19,0),0)</f>
        <v>2215.2000000000003</v>
      </c>
      <c r="CD2" s="139">
        <f>IFERROR(HLOOKUP(CD1,Payroll!CE1:FC19,19,0),0)</f>
        <v>8</v>
      </c>
      <c r="CE2" s="139">
        <f>IFERROR(HLOOKUP(CE1,Payroll!CF1:FC19,19,0),0)</f>
        <v>85</v>
      </c>
      <c r="CF2" s="139">
        <f>IFERROR(HLOOKUP(CF1,Payroll!CG1:FC19,19,0),0)</f>
        <v>2.5</v>
      </c>
      <c r="CG2" s="139">
        <f>IFERROR(HLOOKUP(CG1,Payroll!CH1:FC19,19,0),0)</f>
        <v>482.5</v>
      </c>
      <c r="CH2" s="139">
        <f>IFERROR(HLOOKUP(CH1,Payroll!CI1:FC19,19,0),0)</f>
        <v>0</v>
      </c>
      <c r="CI2" s="139">
        <f>IFERROR(HLOOKUP(CI1,Payroll!CJ1:FC19,19,0),0)</f>
        <v>1977</v>
      </c>
      <c r="CJ2" s="139">
        <f>IFERROR(HLOOKUP(CJ1,Payroll!CK1:FC19,19,0),0)</f>
        <v>15</v>
      </c>
      <c r="CK2" s="139">
        <f>IFERROR(HLOOKUP(CK1,Payroll!CL1:FC19,19,0),0)</f>
        <v>0.5</v>
      </c>
      <c r="CL2" s="139">
        <f>IFERROR(HLOOKUP(CL1,Payroll!CM1:FC19,19,0),0)</f>
        <v>0</v>
      </c>
      <c r="CM2" s="139">
        <f>IFERROR(HLOOKUP(CM1,Payroll!CN1:FC19,19,0),0)</f>
        <v>420</v>
      </c>
      <c r="CN2" s="139">
        <f>IFERROR(HLOOKUP(CN1,Payroll!CO1:FC19,19,0),0)</f>
        <v>13</v>
      </c>
      <c r="CO2" s="139">
        <f>IFERROR(HLOOKUP(CO1,Payroll!CP1:FC19,19,0),0)</f>
        <v>296.5</v>
      </c>
      <c r="CP2" s="139">
        <f>IFERROR(HLOOKUP(CP1,Payroll!CQ1:FC19,19,0),0)</f>
        <v>0</v>
      </c>
      <c r="CQ2" s="139">
        <f>IFERROR(HLOOKUP(CQ1,Payroll!CR1:FC19,19,0),0)</f>
        <v>0</v>
      </c>
      <c r="CR2" s="139">
        <f>IFERROR(HLOOKUP(CR1,Payroll!CS1:FC19,19,0),0)</f>
        <v>53.5</v>
      </c>
      <c r="CS2" s="139">
        <f>IFERROR(HLOOKUP(CS1,Payroll!CT1:FC19,19,0),0)</f>
        <v>312</v>
      </c>
      <c r="CT2" s="139">
        <f>IFERROR(HLOOKUP(CT1,Payroll!CU1:FC19,19,0),0)</f>
        <v>10</v>
      </c>
      <c r="CU2" s="139">
        <f>IFERROR(HLOOKUP(CU1,Payroll!CV1:FC19,19,0),0)</f>
        <v>57</v>
      </c>
      <c r="CV2" s="139">
        <f>IFERROR(HLOOKUP(CV1,Payroll!CW1:FC19,19,0),0)</f>
        <v>5</v>
      </c>
      <c r="CW2" s="139">
        <f>IFERROR(HLOOKUP(CW1,Payroll!CX1:FC19,19,0),0)</f>
        <v>0</v>
      </c>
      <c r="CX2" s="139">
        <f>IFERROR(HLOOKUP(CX1,Payroll!CY1:FC19,19,0),0)</f>
        <v>54.5</v>
      </c>
      <c r="CY2" s="139">
        <f>IFERROR(HLOOKUP(CY1,Payroll!CZ1:FC19,19,0),0)</f>
        <v>283.5</v>
      </c>
      <c r="CZ2" s="139">
        <f>IFERROR(HLOOKUP(CZ1,Payroll!DA1:FC19,19,0),0)</f>
        <v>373</v>
      </c>
      <c r="DA2" s="139">
        <f>IFERROR(HLOOKUP(DA1,Payroll!DB1:FC19,19,0),0)</f>
        <v>0</v>
      </c>
      <c r="DB2" s="139">
        <f>IFERROR(HLOOKUP(DB1,Payroll!DC1:FC19,19,0),0)</f>
        <v>2.5</v>
      </c>
      <c r="DC2" s="139">
        <f>IFERROR(HLOOKUP(DC1,Payroll!DD1:FC19,19,0),0)</f>
        <v>248</v>
      </c>
      <c r="DD2" s="139">
        <f>IFERROR(HLOOKUP(DD1,Payroll!DE1:FC19,19,0),0)</f>
        <v>41</v>
      </c>
      <c r="DE2" s="139">
        <f>IFERROR(HLOOKUP(DE1,Payroll!DF1:FC19,19,0),0)</f>
        <v>0</v>
      </c>
      <c r="DF2" s="139">
        <f>IFERROR(HLOOKUP(DF1,Payroll!DG1:FC19,19,0),0)</f>
        <v>270.5</v>
      </c>
      <c r="DG2" s="139">
        <f>IFERROR(HLOOKUP(DG1,Payroll!DH1:FC19,19,0),0)</f>
        <v>123</v>
      </c>
      <c r="DH2" s="139">
        <f>IFERROR(HLOOKUP(DH1,Payroll!DI1:FC19,19,0),0)</f>
        <v>909.5</v>
      </c>
      <c r="DI2" s="139">
        <f>IFERROR(HLOOKUP(DI1,Payroll!DJ1:FC19,19,0),0)</f>
        <v>7</v>
      </c>
      <c r="DJ2" s="139">
        <f>IFERROR(HLOOKUP(DJ1,Payroll!DK1:FC19,19,0),0)</f>
        <v>2009.3999999999999</v>
      </c>
      <c r="DK2" s="139">
        <f>IFERROR(HLOOKUP(DK1,Payroll!DL1:FC19,19,0),0)</f>
        <v>126.5</v>
      </c>
      <c r="DL2" s="139">
        <f>IFERROR(HLOOKUP(DL1,Payroll!DM1:FC19,19,0),0)</f>
        <v>152.5</v>
      </c>
      <c r="DM2" s="139">
        <f>IFERROR(HLOOKUP(DM1,Payroll!DN1:FC19,19,0),0)</f>
        <v>740</v>
      </c>
      <c r="DN2" s="139">
        <f>IFERROR(HLOOKUP(DN1,Payroll!DO1:FC19,19,0),0)</f>
        <v>67</v>
      </c>
      <c r="DO2" s="139">
        <f>IFERROR(HLOOKUP(DO1,Payroll!DP1:FC19,19,0),0)</f>
        <v>162.5</v>
      </c>
      <c r="DP2" s="139">
        <f>IFERROR(HLOOKUP(DP1,Payroll!DQ1:FC19,19,0),0)</f>
        <v>346</v>
      </c>
      <c r="DQ2" s="139">
        <f>IFERROR(HLOOKUP(DQ1,Payroll!DR1:FC19,19,0),0)</f>
        <v>634.5</v>
      </c>
      <c r="DR2" s="139">
        <f>IFERROR(HLOOKUP(DR1,Payroll!DS1:FC19,19,0),0)</f>
        <v>489</v>
      </c>
      <c r="DS2" s="139">
        <f>IFERROR(HLOOKUP(DS1,Payroll!DT1:FC19,19,0),0)</f>
        <v>534</v>
      </c>
      <c r="DT2" s="139">
        <f>IFERROR(HLOOKUP(DT1,Payroll!DU1:FC19,19,0),0)</f>
        <v>192.5</v>
      </c>
      <c r="DU2" s="139">
        <f>IFERROR(HLOOKUP(DU1,Payroll!DV1:FC19,19,0),0)</f>
        <v>6</v>
      </c>
      <c r="DV2" s="139">
        <f>IFERROR(HLOOKUP(DV1,Payroll!DW1:FC19,19,0),0)</f>
        <v>7</v>
      </c>
      <c r="DW2" s="139">
        <f>IFERROR(HLOOKUP(DW1,Payroll!DX1:FC19,19,0),0)</f>
        <v>301.5</v>
      </c>
      <c r="DX2" s="139">
        <f>IFERROR(HLOOKUP(DX1,Payroll!DY1:FC19,19,0),0)</f>
        <v>399.5</v>
      </c>
      <c r="DY2" s="139">
        <f>IFERROR(HLOOKUP(DY1,Payroll!DZ1:FC19,19,0),0)</f>
        <v>591.5</v>
      </c>
      <c r="DZ2" s="139">
        <f>IFERROR(HLOOKUP(DZ1,Payroll!EA1:FC19,19,0),0)</f>
        <v>3</v>
      </c>
      <c r="EA2" s="139">
        <f>IFERROR(HLOOKUP(EA1,Payroll!EB1:FC19,19,0),0)</f>
        <v>405.5</v>
      </c>
      <c r="EB2" s="139">
        <f>IFERROR(HLOOKUP(EB1,Payroll!EC1:FC19,19,0),0)</f>
        <v>112.5</v>
      </c>
      <c r="EC2" s="139">
        <f>IFERROR(HLOOKUP(EC1,Payroll!ED1:FC19,19,0),0)</f>
        <v>757.5</v>
      </c>
      <c r="ED2" s="139">
        <f>IFERROR(HLOOKUP(ED1,Payroll!EE1:FC19,19,0),0)</f>
        <v>116</v>
      </c>
      <c r="EE2" s="139">
        <f>IFERROR(HLOOKUP(EE1,Payroll!EF1:FC19,19,0),0)</f>
        <v>544.5</v>
      </c>
      <c r="EF2" s="139">
        <f>IFERROR(HLOOKUP(EF1,Payroll!EG1:FC19,19,0),0)</f>
        <v>39</v>
      </c>
      <c r="EG2" s="139">
        <f>IFERROR(HLOOKUP(EG1,Payroll!EH1:FC19,19,0),0)</f>
        <v>78.5</v>
      </c>
      <c r="EH2" s="139">
        <f>IFERROR(HLOOKUP(EH1,Payroll!EI1:FC19,19,0),0)</f>
        <v>509.5</v>
      </c>
      <c r="EI2" s="139">
        <f>IFERROR(HLOOKUP(EI1,Payroll!EJ1:FC19,19,0),0)</f>
        <v>322.5</v>
      </c>
      <c r="EJ2" s="139">
        <f>IFERROR(HLOOKUP(EJ1,Payroll!EK1:FC19,19,0),0)</f>
        <v>364</v>
      </c>
      <c r="EK2" s="139">
        <f>IFERROR(HLOOKUP(EK1,Payroll!EL1:FC19,19,0),0)</f>
        <v>383.5</v>
      </c>
      <c r="EL2" s="139">
        <f>IFERROR(HLOOKUP(EL1,Payroll!EM1:FC19,19,0),0)</f>
        <v>347</v>
      </c>
      <c r="EM2" s="139">
        <f>IFERROR(HLOOKUP(EM1,Payroll!EN1:FC19,19,0),0)</f>
        <v>172.5</v>
      </c>
      <c r="EN2" s="139">
        <f>IFERROR(HLOOKUP(EN1,Payroll!EO1:FC19,19,0),0)</f>
        <v>364.5</v>
      </c>
      <c r="EO2" s="139">
        <f>IFERROR(HLOOKUP(EO1,Payroll!EP1:FC19,19,0),0)</f>
        <v>186</v>
      </c>
      <c r="EP2" s="139">
        <f>IFERROR(HLOOKUP(EP1,Payroll!EQ1:FC19,19,0),0)</f>
        <v>118</v>
      </c>
      <c r="EQ2" s="139">
        <f>IFERROR(HLOOKUP(EQ1,Payroll!ER1:FC19,19,0),0)</f>
        <v>194.5</v>
      </c>
      <c r="ER2" s="139">
        <f>IFERROR(HLOOKUP(ER1,Payroll!ES1:FC19,19,0),0)</f>
        <v>118</v>
      </c>
      <c r="ES2" s="139">
        <f>IFERROR(HLOOKUP(ES1,Payroll!ET1:FC19,19,0),0)</f>
        <v>209.5</v>
      </c>
      <c r="ET2" s="139">
        <f>IFERROR(HLOOKUP(ET1,Payroll!EU1:FC19,19,0),0)</f>
        <v>681</v>
      </c>
      <c r="EU2" s="139">
        <f>IFERROR(HLOOKUP(EU1,Payroll!EV1:FC19,19,0),0)</f>
        <v>682</v>
      </c>
      <c r="EV2" s="139">
        <f>IFERROR(HLOOKUP(EV1,Payroll!EW1:FC19,19,0),0)</f>
        <v>198.5</v>
      </c>
      <c r="EW2" s="139">
        <f>IFERROR(HLOOKUP(EW1,Payroll!EX1:FC19,19,0),0)</f>
        <v>265</v>
      </c>
      <c r="EX2" s="139">
        <f>IFERROR(HLOOKUP(EX1,Payroll!EY1:FC19,19,0),0)</f>
        <v>254</v>
      </c>
      <c r="EY2" s="139">
        <f>IFERROR(HLOOKUP(EY1,Payroll!EZ1:FC19,19,0),0)</f>
        <v>127</v>
      </c>
      <c r="EZ2" s="139">
        <f>IFERROR(HLOOKUP(EZ1,Payroll!FA1:FC19,19,0),0)</f>
        <v>0</v>
      </c>
      <c r="FA2" s="139">
        <f>IFERROR(HLOOKUP(FA1,Payroll!FB1:FC19,19,0),0)</f>
        <v>185</v>
      </c>
      <c r="FB2" s="139">
        <f>IFERROR(HLOOKUP(FB1,Payroll!FC1:FC19,19,0),0)</f>
        <v>0</v>
      </c>
      <c r="FC2" s="139">
        <f>IFERROR(HLOOKUP(FC1,Payroll!FD1:FD19,19,0),0)</f>
        <v>49</v>
      </c>
      <c r="FD2" s="139">
        <f>IFERROR(HLOOKUP(FD1,Payroll!FE1:FE19,19,0),0)</f>
        <v>0</v>
      </c>
      <c r="FE2" s="139">
        <f>IFERROR(HLOOKUP(FE1,Payroll!FF1:FF19,19,0),0)</f>
        <v>86</v>
      </c>
      <c r="FF2" s="139">
        <f>IFERROR(HLOOKUP(FF1,Payroll!FG1:FG19,19,0),0)</f>
        <v>6.5</v>
      </c>
      <c r="FG2" s="139">
        <f>IFERROR(HLOOKUP(FG1,Payroll!FH1:FH19,19,0),0)</f>
        <v>2704</v>
      </c>
      <c r="FH2" s="139">
        <f>IFERROR(HLOOKUP(FH1,Payroll!FI1:FI19,19,0),0)</f>
        <v>229</v>
      </c>
      <c r="FI2" s="139">
        <f>IFERROR(HLOOKUP(FI1,Payroll!FJ1:FJ19,19,0),0)</f>
        <v>13</v>
      </c>
      <c r="FJ2" s="139">
        <f>IFERROR(HLOOKUP(FJ1,Payroll!FK1:FK19,19,0),0)</f>
        <v>334.5</v>
      </c>
      <c r="FK2" s="139">
        <f>IFERROR(HLOOKUP(FK1,Payroll!FL1:FL19,19,0),0)</f>
        <v>4.5</v>
      </c>
      <c r="FL2" s="139">
        <f>IFERROR(HLOOKUP(FL1,Payroll!FM1:FM19,19,0),0)</f>
        <v>78</v>
      </c>
      <c r="FM2" s="139">
        <f>IFERROR(HLOOKUP(FM1,Payroll!FN1:FN19,19,0),0)</f>
        <v>220</v>
      </c>
      <c r="FN2" s="139">
        <f>IFERROR(HLOOKUP(FN1,Payroll!FO1:FO19,19,0),0)</f>
        <v>423</v>
      </c>
      <c r="FO2" s="139">
        <f>IFERROR(HLOOKUP(FO1,Payroll!FP1:FP19,19,0),0)</f>
        <v>441</v>
      </c>
      <c r="FP2" s="139">
        <f>IFERROR(HLOOKUP(FP1,Payroll!FQ1:FQ19,19,0),0)</f>
        <v>818</v>
      </c>
      <c r="FQ2" s="139">
        <f>IFERROR(HLOOKUP(FQ1,Payroll!FR1:FR19,19,0),0)</f>
        <v>0</v>
      </c>
      <c r="FR2" s="139">
        <f>IFERROR(HLOOKUP(FR1,Payroll!FS1:FS19,19,0),0)</f>
        <v>623.5</v>
      </c>
      <c r="FS2" s="139">
        <f>IFERROR(HLOOKUP(FS1,Payroll!FT1:FT19,19,0),0)</f>
        <v>392.5</v>
      </c>
      <c r="FT2" s="139">
        <f>IFERROR(HLOOKUP(FT1,Payroll!FU1:FU19,19,0),0)</f>
        <v>0</v>
      </c>
      <c r="FU2" s="139">
        <f>IFERROR(HLOOKUP(FU1,Payroll!FV1:FV19,19,0),0)</f>
        <v>35.5</v>
      </c>
      <c r="FV2" s="139">
        <f>IFERROR(HLOOKUP(FV1,Payroll!FW1:FW19,19,0),0)</f>
        <v>2.5</v>
      </c>
      <c r="FW2" s="139">
        <f>IFERROR(HLOOKUP(FW1,Payroll!FX1:FX19,19,0),0)</f>
        <v>14.5</v>
      </c>
      <c r="FX2" s="139">
        <f>IFERROR(HLOOKUP(FX1,Payroll!FY1:FY19,19,0),0)</f>
        <v>0</v>
      </c>
      <c r="FY2" s="139">
        <f>IFERROR(HLOOKUP(FY1,Payroll!FZ1:FZ19,19,0),0)</f>
        <v>402</v>
      </c>
      <c r="FZ2" s="139">
        <f>IFERROR(HLOOKUP(FZ1,Payroll!GA1:GA19,19,0),0)</f>
        <v>16</v>
      </c>
      <c r="GA2" s="139">
        <f>IFERROR(HLOOKUP(GA1,Payroll!GB1:GB19,19,0),0)</f>
        <v>2.5</v>
      </c>
      <c r="GB2" s="139">
        <f>IFERROR(HLOOKUP(GB1,Payroll!GC1:GC19,19,0),0)</f>
        <v>0</v>
      </c>
      <c r="GC2" s="139">
        <f>IFERROR(HLOOKUP(GC1,Payroll!GD1:GD19,19,0),0)</f>
        <v>288</v>
      </c>
      <c r="GD2" s="139">
        <f>IFERROR(HLOOKUP(GD1,Payroll!GE1:GE19,19,0),0)</f>
        <v>613.5</v>
      </c>
      <c r="GE2" s="139">
        <f>IFERROR(HLOOKUP(GE1,Payroll!GF1:GF19,19,0),0)</f>
        <v>323.5</v>
      </c>
      <c r="GF2" s="139">
        <f>IFERROR(HLOOKUP(GF1,Payroll!GG1:GG19,19,0),0)</f>
        <v>423.5</v>
      </c>
      <c r="GG2" s="139">
        <f>IFERROR(HLOOKUP(GG1,Payroll!GH1:GH19,19,0),0)</f>
        <v>122.5</v>
      </c>
      <c r="GH2" s="139">
        <f>IFERROR(HLOOKUP(GH1,Payroll!GI1:GI19,19,0),0)</f>
        <v>42.5</v>
      </c>
      <c r="GI2" s="139">
        <f>IFERROR(HLOOKUP(GI1,Payroll!GJ1:GJ19,19,0),0)</f>
        <v>695</v>
      </c>
      <c r="GJ2" s="139">
        <f>IFERROR(HLOOKUP(GJ1,Payroll!GK1:GK19,19,0),0)</f>
        <v>540.5</v>
      </c>
      <c r="GK2" s="139">
        <f>IFERROR(HLOOKUP(GK1,Payroll!GL1:GL19,19,0),0)</f>
        <v>361.5</v>
      </c>
      <c r="GL2" s="139">
        <f>IFERROR(HLOOKUP(GL1,Payroll!GM1:GM19,19,0),0)</f>
        <v>1218.8000000000002</v>
      </c>
      <c r="GM2" s="139">
        <f>IFERROR(HLOOKUP(GM1,Payroll!GN1:GN19,19,0),0)</f>
        <v>42.5</v>
      </c>
      <c r="GN2" s="139">
        <f>IFERROR(HLOOKUP(GN1,Payroll!GO1:GO19,19,0),0)</f>
        <v>481.5</v>
      </c>
      <c r="GO2" s="139">
        <f>IFERROR(HLOOKUP(GO1,Payroll!GP1:GP19,19,0),0)</f>
        <v>0</v>
      </c>
      <c r="GP2" s="139">
        <f>IFERROR(HLOOKUP(GP1,Payroll!GQ1:GQ19,19,0),0)</f>
        <v>0</v>
      </c>
      <c r="GQ2" s="139">
        <f>IFERROR(HLOOKUP(GQ1,Payroll!GR1:GR19,19,0),0)</f>
        <v>294.5</v>
      </c>
      <c r="GR2" s="139">
        <f>IFERROR(HLOOKUP(GR1,Payroll!#REF!,19,0),0)</f>
        <v>0</v>
      </c>
    </row>
    <row r="3" spans="1:200" ht="24">
      <c r="A3" s="140" t="s">
        <v>212</v>
      </c>
      <c r="B3" s="163">
        <f t="shared" si="0"/>
        <v>17500</v>
      </c>
      <c r="C3" s="141"/>
      <c r="D3" s="141">
        <v>2000</v>
      </c>
      <c r="E3" s="141"/>
      <c r="F3" s="141"/>
      <c r="G3" s="141"/>
      <c r="H3" s="141"/>
      <c r="I3" s="141">
        <v>2500</v>
      </c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1"/>
      <c r="BF3" s="141"/>
      <c r="BG3" s="141"/>
      <c r="BH3" s="141"/>
      <c r="BI3" s="141"/>
      <c r="BJ3" s="141"/>
      <c r="BK3" s="141"/>
      <c r="BL3" s="141"/>
      <c r="BM3" s="141"/>
      <c r="BN3" s="141"/>
      <c r="BO3" s="141"/>
      <c r="BP3" s="141"/>
      <c r="BQ3" s="141"/>
      <c r="BR3" s="141"/>
      <c r="BS3" s="141"/>
      <c r="BT3" s="141"/>
      <c r="BU3" s="141"/>
      <c r="BV3" s="141"/>
      <c r="BW3" s="141"/>
      <c r="BX3" s="141"/>
      <c r="BY3" s="141"/>
      <c r="BZ3" s="141"/>
      <c r="CA3" s="141"/>
      <c r="CB3" s="141"/>
      <c r="CC3" s="141">
        <v>2000</v>
      </c>
      <c r="CD3" s="141"/>
      <c r="CE3" s="141"/>
      <c r="CF3" s="141"/>
      <c r="CG3" s="141"/>
      <c r="CH3" s="141"/>
      <c r="CI3" s="141"/>
      <c r="CJ3" s="141"/>
      <c r="CK3" s="141"/>
      <c r="CL3" s="141">
        <v>2500</v>
      </c>
      <c r="CM3" s="141"/>
      <c r="CN3" s="141"/>
      <c r="CO3" s="141"/>
      <c r="CP3" s="141"/>
      <c r="CQ3" s="141"/>
      <c r="CR3" s="141"/>
      <c r="CS3" s="141"/>
      <c r="CT3" s="141"/>
      <c r="CU3" s="141"/>
      <c r="CV3" s="141"/>
      <c r="CW3" s="141"/>
      <c r="CX3" s="141"/>
      <c r="CY3" s="141"/>
      <c r="CZ3" s="141"/>
      <c r="DA3" s="141"/>
      <c r="DB3" s="141"/>
      <c r="DC3" s="141"/>
      <c r="DD3" s="141"/>
      <c r="DE3" s="141"/>
      <c r="DF3" s="141"/>
      <c r="DG3" s="141"/>
      <c r="DH3" s="141"/>
      <c r="DI3" s="141"/>
      <c r="DJ3" s="141"/>
      <c r="DK3" s="141"/>
      <c r="DL3" s="141"/>
      <c r="DM3" s="141"/>
      <c r="DN3" s="141"/>
      <c r="DO3" s="141"/>
      <c r="DP3" s="141"/>
      <c r="DQ3" s="141"/>
      <c r="DR3" s="141"/>
      <c r="DS3" s="141"/>
      <c r="DT3" s="141"/>
      <c r="DU3" s="141"/>
      <c r="DV3" s="141"/>
      <c r="DW3" s="141">
        <v>6500</v>
      </c>
      <c r="DX3" s="141"/>
      <c r="DY3" s="141"/>
      <c r="DZ3" s="141"/>
      <c r="EA3" s="141"/>
      <c r="EB3" s="141"/>
      <c r="EC3" s="141"/>
      <c r="ED3" s="141"/>
      <c r="EE3" s="141"/>
      <c r="EF3" s="141"/>
      <c r="EG3" s="141"/>
      <c r="EH3" s="141"/>
      <c r="EI3" s="141"/>
      <c r="EJ3" s="141"/>
      <c r="EK3" s="141"/>
      <c r="EL3" s="141"/>
      <c r="EM3" s="141"/>
      <c r="EN3" s="141"/>
      <c r="EO3" s="141"/>
      <c r="EP3" s="141"/>
      <c r="EQ3" s="141"/>
      <c r="ER3" s="141"/>
      <c r="ES3" s="141"/>
      <c r="ET3" s="141"/>
      <c r="EU3" s="141"/>
      <c r="EV3" s="141"/>
      <c r="EW3" s="141"/>
      <c r="EX3" s="141"/>
      <c r="EY3" s="141"/>
      <c r="EZ3" s="141"/>
      <c r="FA3" s="141"/>
      <c r="FB3" s="141"/>
      <c r="FC3" s="141"/>
      <c r="FD3" s="141"/>
      <c r="FE3" s="141"/>
      <c r="FF3" s="141"/>
      <c r="FG3" s="141"/>
      <c r="FH3" s="141"/>
      <c r="FI3" s="141"/>
      <c r="FJ3" s="141"/>
      <c r="FK3" s="141"/>
      <c r="FL3" s="141"/>
      <c r="FM3" s="141"/>
      <c r="FN3" s="141"/>
      <c r="FO3" s="141"/>
      <c r="FP3" s="141"/>
      <c r="FQ3" s="141"/>
      <c r="FR3" s="141"/>
      <c r="FS3" s="141"/>
      <c r="FT3" s="141"/>
      <c r="FU3" s="141">
        <v>1200</v>
      </c>
      <c r="FV3" s="141"/>
      <c r="FW3" s="141"/>
      <c r="FX3" s="141"/>
      <c r="FY3" s="141"/>
      <c r="FZ3" s="141"/>
      <c r="GA3" s="141"/>
      <c r="GB3" s="141"/>
      <c r="GC3" s="141"/>
      <c r="GD3" s="141"/>
      <c r="GE3" s="141"/>
      <c r="GF3" s="141"/>
      <c r="GG3" s="141"/>
      <c r="GH3" s="141"/>
      <c r="GI3" s="141"/>
      <c r="GJ3" s="141"/>
      <c r="GK3" s="141"/>
      <c r="GL3" s="141"/>
      <c r="GM3" s="141"/>
      <c r="GN3" s="141"/>
      <c r="GO3" s="141"/>
      <c r="GP3" s="141"/>
      <c r="GQ3" s="141"/>
      <c r="GR3" s="141">
        <v>800</v>
      </c>
    </row>
    <row r="4" spans="1:200">
      <c r="A4" s="143" t="s">
        <v>213</v>
      </c>
      <c r="B4" s="163">
        <f t="shared" si="0"/>
        <v>2000</v>
      </c>
      <c r="C4" s="141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2"/>
      <c r="BL4" s="142"/>
      <c r="BM4" s="142"/>
      <c r="BN4" s="142"/>
      <c r="BO4" s="142"/>
      <c r="BP4" s="142"/>
      <c r="BQ4" s="142"/>
      <c r="BR4" s="142"/>
      <c r="BS4" s="142"/>
      <c r="BT4" s="142"/>
      <c r="BU4" s="142"/>
      <c r="BV4" s="142"/>
      <c r="BW4" s="142"/>
      <c r="BX4" s="142"/>
      <c r="BY4" s="142"/>
      <c r="BZ4" s="142"/>
      <c r="CA4" s="142"/>
      <c r="CB4" s="142"/>
      <c r="CC4" s="142"/>
      <c r="CD4" s="142"/>
      <c r="CE4" s="142"/>
      <c r="CF4" s="142"/>
      <c r="CG4" s="142"/>
      <c r="CH4" s="142"/>
      <c r="CI4" s="142"/>
      <c r="CJ4" s="142"/>
      <c r="CK4" s="142"/>
      <c r="CL4" s="142"/>
      <c r="CM4" s="142"/>
      <c r="CN4" s="142"/>
      <c r="CO4" s="142"/>
      <c r="CP4" s="142"/>
      <c r="CQ4" s="142"/>
      <c r="CR4" s="142"/>
      <c r="CS4" s="142"/>
      <c r="CT4" s="142"/>
      <c r="CU4" s="142"/>
      <c r="CV4" s="142"/>
      <c r="CW4" s="142"/>
      <c r="CX4" s="142"/>
      <c r="CY4" s="142"/>
      <c r="CZ4" s="142"/>
      <c r="DA4" s="142"/>
      <c r="DB4" s="142"/>
      <c r="DC4" s="142"/>
      <c r="DD4" s="142"/>
      <c r="DE4" s="142"/>
      <c r="DF4" s="142"/>
      <c r="DG4" s="142"/>
      <c r="DH4" s="142"/>
      <c r="DI4" s="142"/>
      <c r="DJ4" s="142"/>
      <c r="DK4" s="142"/>
      <c r="DL4" s="142"/>
      <c r="DM4" s="142"/>
      <c r="DN4" s="142"/>
      <c r="DO4" s="142"/>
      <c r="DP4" s="142"/>
      <c r="DQ4" s="142"/>
      <c r="DR4" s="142"/>
      <c r="DS4" s="142"/>
      <c r="DT4" s="142"/>
      <c r="DU4" s="142"/>
      <c r="DV4" s="142"/>
      <c r="DW4" s="142"/>
      <c r="DX4" s="142"/>
      <c r="DY4" s="142"/>
      <c r="DZ4" s="142"/>
      <c r="EA4" s="142"/>
      <c r="EB4" s="142"/>
      <c r="EC4" s="142"/>
      <c r="ED4" s="142"/>
      <c r="EE4" s="142"/>
      <c r="EF4" s="142"/>
      <c r="EG4" s="142"/>
      <c r="EH4" s="142"/>
      <c r="EI4" s="142"/>
      <c r="EJ4" s="142"/>
      <c r="EK4" s="142"/>
      <c r="EL4" s="142"/>
      <c r="EM4" s="142"/>
      <c r="EN4" s="142"/>
      <c r="EO4" s="142"/>
      <c r="EP4" s="142"/>
      <c r="EQ4" s="142"/>
      <c r="ER4" s="142"/>
      <c r="ES4" s="142"/>
      <c r="ET4" s="142"/>
      <c r="EU4" s="142"/>
      <c r="EV4" s="142"/>
      <c r="EW4" s="142"/>
      <c r="EX4" s="142"/>
      <c r="EY4" s="142"/>
      <c r="EZ4" s="142"/>
      <c r="FA4" s="142"/>
      <c r="FB4" s="142"/>
      <c r="FC4" s="142">
        <v>0</v>
      </c>
      <c r="FD4" s="142">
        <v>0</v>
      </c>
      <c r="FE4" s="142">
        <v>0</v>
      </c>
      <c r="FF4" s="142">
        <v>0</v>
      </c>
      <c r="FG4" s="142">
        <v>0</v>
      </c>
      <c r="FH4" s="142">
        <v>0</v>
      </c>
      <c r="FI4" s="142">
        <v>0</v>
      </c>
      <c r="FJ4" s="142">
        <v>0</v>
      </c>
      <c r="FK4" s="142">
        <v>0</v>
      </c>
      <c r="FL4" s="142">
        <v>0</v>
      </c>
      <c r="FM4" s="142">
        <v>0</v>
      </c>
      <c r="FN4" s="142">
        <v>0</v>
      </c>
      <c r="FO4" s="142">
        <v>0</v>
      </c>
      <c r="FP4" s="142">
        <v>0</v>
      </c>
      <c r="FQ4" s="142">
        <v>0</v>
      </c>
      <c r="FR4" s="142">
        <v>0</v>
      </c>
      <c r="FS4" s="142">
        <v>0</v>
      </c>
      <c r="FT4" s="142">
        <v>0</v>
      </c>
      <c r="FU4" s="142">
        <v>0</v>
      </c>
      <c r="FV4" s="142">
        <v>0</v>
      </c>
      <c r="FW4" s="142">
        <v>0</v>
      </c>
      <c r="FX4" s="142">
        <v>0</v>
      </c>
      <c r="FY4" s="142">
        <v>0</v>
      </c>
      <c r="FZ4" s="142">
        <v>0</v>
      </c>
      <c r="GA4" s="142">
        <v>0</v>
      </c>
      <c r="GB4" s="142">
        <v>0</v>
      </c>
      <c r="GC4" s="142">
        <v>0</v>
      </c>
      <c r="GD4" s="142">
        <v>0</v>
      </c>
      <c r="GE4" s="142">
        <v>0</v>
      </c>
      <c r="GF4" s="142">
        <v>0</v>
      </c>
      <c r="GG4" s="142">
        <v>0</v>
      </c>
      <c r="GH4" s="142">
        <v>0</v>
      </c>
      <c r="GI4" s="142">
        <v>0</v>
      </c>
      <c r="GJ4" s="142">
        <v>0</v>
      </c>
      <c r="GK4" s="142">
        <v>0</v>
      </c>
      <c r="GL4" s="142">
        <v>0</v>
      </c>
      <c r="GM4" s="142">
        <v>0</v>
      </c>
      <c r="GN4" s="142">
        <v>0</v>
      </c>
      <c r="GO4" s="142">
        <v>0</v>
      </c>
      <c r="GP4" s="142">
        <v>0</v>
      </c>
      <c r="GQ4" s="142">
        <v>0</v>
      </c>
      <c r="GR4" s="142">
        <v>2000</v>
      </c>
    </row>
    <row r="5" spans="1:200" ht="24">
      <c r="A5" s="143" t="s">
        <v>214</v>
      </c>
      <c r="B5" s="163">
        <f t="shared" si="0"/>
        <v>32743.200000000001</v>
      </c>
      <c r="C5" s="141">
        <f>IFERROR(HLOOKUP(C1,'Processing Count'!$H$27:$GZ$62,34,0),0)+IFERROR(HLOOKUP(C1,'Processing Count'!$H$1:$GZ$25,25,0),0)</f>
        <v>0</v>
      </c>
      <c r="D5" s="141">
        <f>IFERROR(HLOOKUP(D1,'Processing Count'!$H$27:$GZ$62,34,0),0)+IFERROR(HLOOKUP(D1,'Processing Count'!$H$1:$GZ$25,25,0),0)</f>
        <v>77.25</v>
      </c>
      <c r="E5" s="141">
        <f>IFERROR(HLOOKUP(E1,'Processing Count'!$H$27:$GZ$62,34,0),0)+IFERROR(HLOOKUP(E1,'Processing Count'!$H$1:$GZ$25,25,0),0)</f>
        <v>0</v>
      </c>
      <c r="F5" s="141">
        <f>IFERROR(HLOOKUP(F1,'Processing Count'!$H$27:$GZ$62,34,0),0)+IFERROR(HLOOKUP(F1,'Processing Count'!$H$1:$GZ$25,25,0),0)</f>
        <v>0</v>
      </c>
      <c r="G5" s="141">
        <f>IFERROR(HLOOKUP(G1,'Processing Count'!$H$27:$GZ$62,34,0),0)+IFERROR(HLOOKUP(G1,'Processing Count'!$H$1:$GZ$25,25,0),0)</f>
        <v>0</v>
      </c>
      <c r="H5" s="141">
        <f>IFERROR(HLOOKUP(H1,'Processing Count'!$H$27:$GZ$62,34,0),0)+IFERROR(HLOOKUP(H1,'Processing Count'!$H$1:$GZ$25,25,0),0)</f>
        <v>814.25</v>
      </c>
      <c r="I5" s="141">
        <f>IFERROR(HLOOKUP(I1,'Processing Count'!$H$27:$GZ$62,34,0),0)+IFERROR(HLOOKUP(I1,'Processing Count'!$H$1:$GZ$25,25,0),0)</f>
        <v>0</v>
      </c>
      <c r="J5" s="141">
        <f>IFERROR(HLOOKUP(J1,'Processing Count'!$H$27:$GZ$62,34,0),0)+IFERROR(HLOOKUP(J1,'Processing Count'!$H$1:$GZ$25,25,0),0)</f>
        <v>0</v>
      </c>
      <c r="K5" s="141">
        <f>IFERROR(HLOOKUP(K1,'Processing Count'!$H$27:$GZ$62,34,0),0)+IFERROR(HLOOKUP(K1,'Processing Count'!$H$1:$GZ$25,25,0),0)</f>
        <v>0</v>
      </c>
      <c r="L5" s="141">
        <f>IFERROR(HLOOKUP(L1,'Processing Count'!$H$27:$GZ$62,34,0),0)+IFERROR(HLOOKUP(L1,'Processing Count'!$H$1:$GZ$25,25,0),0)</f>
        <v>238.5</v>
      </c>
      <c r="M5" s="141">
        <f>IFERROR(HLOOKUP(M1,'Processing Count'!$H$27:$GZ$62,34,0),0)+IFERROR(HLOOKUP(M1,'Processing Count'!$H$1:$GZ$25,25,0),0)</f>
        <v>0</v>
      </c>
      <c r="N5" s="141">
        <f>IFERROR(HLOOKUP(N1,'Processing Count'!$H$27:$GZ$62,34,0),0)+IFERROR(HLOOKUP(N1,'Processing Count'!$H$1:$GZ$25,25,0),0)</f>
        <v>0</v>
      </c>
      <c r="O5" s="141">
        <f>IFERROR(HLOOKUP(O1,'Processing Count'!$H$27:$GZ$62,34,0),0)+IFERROR(HLOOKUP(O1,'Processing Count'!$H$1:$GZ$25,25,0),0)</f>
        <v>1247</v>
      </c>
      <c r="P5" s="141">
        <f>IFERROR(HLOOKUP(P1,'Processing Count'!$H$27:$GZ$62,34,0),0)+IFERROR(HLOOKUP(P1,'Processing Count'!$H$1:$GZ$25,25,0),0)</f>
        <v>0</v>
      </c>
      <c r="Q5" s="141">
        <f>IFERROR(HLOOKUP(Q1,'Processing Count'!$H$27:$GZ$62,34,0),0)+IFERROR(HLOOKUP(Q1,'Processing Count'!$H$1:$GZ$25,25,0),0)</f>
        <v>0</v>
      </c>
      <c r="R5" s="141">
        <f>IFERROR(HLOOKUP(R1,'Processing Count'!$H$27:$GZ$62,34,0),0)+IFERROR(HLOOKUP(R1,'Processing Count'!$H$1:$GZ$25,25,0),0)</f>
        <v>115</v>
      </c>
      <c r="S5" s="141">
        <f>IFERROR(HLOOKUP(S1,'Processing Count'!$H$27:$GZ$62,34,0),0)+IFERROR(HLOOKUP(S1,'Processing Count'!$H$1:$GZ$25,25,0),0)</f>
        <v>147.5</v>
      </c>
      <c r="T5" s="141">
        <f>IFERROR(HLOOKUP(T1,'Processing Count'!$H$27:$GZ$62,34,0),0)+IFERROR(HLOOKUP(T1,'Processing Count'!$H$1:$GZ$25,25,0),0)</f>
        <v>315</v>
      </c>
      <c r="U5" s="141">
        <f>IFERROR(HLOOKUP(U1,'Processing Count'!$H$27:$GZ$62,34,0),0)+IFERROR(HLOOKUP(U1,'Processing Count'!$H$1:$GZ$25,25,0),0)</f>
        <v>0</v>
      </c>
      <c r="V5" s="141">
        <f>IFERROR(HLOOKUP(V1,'Processing Count'!$H$27:$GZ$62,34,0),0)+IFERROR(HLOOKUP(V1,'Processing Count'!$H$1:$GZ$25,25,0),0)</f>
        <v>223.75</v>
      </c>
      <c r="W5" s="141">
        <f>IFERROR(HLOOKUP(W1,'Processing Count'!$H$27:$GZ$62,34,0),0)+IFERROR(HLOOKUP(W1,'Processing Count'!$H$1:$GZ$25,25,0),0)</f>
        <v>0</v>
      </c>
      <c r="X5" s="141">
        <f>IFERROR(HLOOKUP(X1,'Processing Count'!$H$27:$GZ$62,34,0),0)+IFERROR(HLOOKUP(X1,'Processing Count'!$H$1:$GZ$25,25,0),0)</f>
        <v>2066.25</v>
      </c>
      <c r="Y5" s="141">
        <f>IFERROR(HLOOKUP(Y1,'Processing Count'!$H$27:$GZ$62,34,0),0)+IFERROR(HLOOKUP(Y1,'Processing Count'!$H$1:$GZ$25,25,0),0)</f>
        <v>0</v>
      </c>
      <c r="Z5" s="141">
        <f>IFERROR(HLOOKUP(Z1,'Processing Count'!$H$27:$GZ$62,34,0),0)+IFERROR(HLOOKUP(Z1,'Processing Count'!$H$1:$GZ$25,25,0),0)</f>
        <v>0</v>
      </c>
      <c r="AA5" s="141">
        <f>IFERROR(HLOOKUP(AA1,'Processing Count'!$H$27:$GZ$62,34,0),0)+IFERROR(HLOOKUP(AA1,'Processing Count'!$H$1:$GZ$25,25,0),0)</f>
        <v>0</v>
      </c>
      <c r="AB5" s="141">
        <f>IFERROR(HLOOKUP(AB1,'Processing Count'!$H$27:$GZ$62,34,0),0)+IFERROR(HLOOKUP(AB1,'Processing Count'!$H$1:$GZ$25,25,0),0)</f>
        <v>0</v>
      </c>
      <c r="AC5" s="141">
        <f>IFERROR(HLOOKUP(AC1,'Processing Count'!$H$27:$GZ$62,34,0),0)+IFERROR(HLOOKUP(AC1,'Processing Count'!$H$1:$GZ$25,25,0),0)</f>
        <v>0</v>
      </c>
      <c r="AD5" s="141">
        <f>IFERROR(HLOOKUP(AD1,'Processing Count'!$H$27:$GZ$62,34,0),0)+IFERROR(HLOOKUP(AD1,'Processing Count'!$H$1:$GZ$25,25,0),0)</f>
        <v>0</v>
      </c>
      <c r="AE5" s="141">
        <f>IFERROR(HLOOKUP(AE1,'Processing Count'!$H$27:$GZ$62,34,0),0)+IFERROR(HLOOKUP(AE1,'Processing Count'!$H$1:$GZ$25,25,0),0)</f>
        <v>0</v>
      </c>
      <c r="AF5" s="141">
        <f>IFERROR(HLOOKUP(AF1,'Processing Count'!$H$27:$GZ$62,34,0),0)+IFERROR(HLOOKUP(AF1,'Processing Count'!$H$1:$GZ$25,25,0),0)</f>
        <v>0</v>
      </c>
      <c r="AG5" s="141">
        <f>IFERROR(HLOOKUP(AG1,'Processing Count'!$H$27:$GZ$62,34,0),0)+IFERROR(HLOOKUP(AG1,'Processing Count'!$H$1:$GZ$25,25,0),0)</f>
        <v>0</v>
      </c>
      <c r="AH5" s="141">
        <f>IFERROR(HLOOKUP(AH1,'Processing Count'!$H$27:$GZ$62,34,0),0)+IFERROR(HLOOKUP(AH1,'Processing Count'!$H$1:$GZ$25,25,0),0)</f>
        <v>0</v>
      </c>
      <c r="AI5" s="141">
        <f>IFERROR(HLOOKUP(AI1,'Processing Count'!$H$27:$GZ$62,34,0),0)+IFERROR(HLOOKUP(AI1,'Processing Count'!$H$1:$GZ$25,25,0),0)</f>
        <v>0</v>
      </c>
      <c r="AJ5" s="141">
        <f>IFERROR(HLOOKUP(AJ1,'Processing Count'!$H$27:$GZ$62,34,0),0)+IFERROR(HLOOKUP(AJ1,'Processing Count'!$H$1:$GZ$25,25,0),0)</f>
        <v>0</v>
      </c>
      <c r="AK5" s="141">
        <f>IFERROR(HLOOKUP(AK1,'Processing Count'!$H$27:$GZ$62,34,0),0)+IFERROR(HLOOKUP(AK1,'Processing Count'!$H$1:$GZ$25,25,0),0)</f>
        <v>271.25</v>
      </c>
      <c r="AL5" s="141">
        <f>IFERROR(HLOOKUP(AL1,'Processing Count'!$H$27:$GZ$62,34,0),0)+IFERROR(HLOOKUP(AL1,'Processing Count'!$H$1:$GZ$25,25,0),0)</f>
        <v>405.75</v>
      </c>
      <c r="AM5" s="141">
        <f>IFERROR(HLOOKUP(AM1,'Processing Count'!$H$27:$GZ$62,34,0),0)+IFERROR(HLOOKUP(AM1,'Processing Count'!$H$1:$GZ$25,25,0),0)</f>
        <v>119.25</v>
      </c>
      <c r="AN5" s="141">
        <f>IFERROR(HLOOKUP(AN1,'Processing Count'!$H$27:$GZ$62,34,0),0)+IFERROR(HLOOKUP(AN1,'Processing Count'!$H$1:$GZ$25,25,0),0)</f>
        <v>0</v>
      </c>
      <c r="AO5" s="141">
        <f>IFERROR(HLOOKUP(AO1,'Processing Count'!$H$27:$GZ$62,34,0),0)+IFERROR(HLOOKUP(AO1,'Processing Count'!$H$1:$GZ$25,25,0),0)</f>
        <v>0</v>
      </c>
      <c r="AP5" s="141">
        <f>IFERROR(HLOOKUP(AP1,'Processing Count'!$H$27:$GZ$62,34,0),0)+IFERROR(HLOOKUP(AP1,'Processing Count'!$H$1:$GZ$25,25,0),0)</f>
        <v>0</v>
      </c>
      <c r="AQ5" s="141">
        <f>IFERROR(HLOOKUP(AQ1,'Processing Count'!$H$27:$GZ$62,34,0),0)+IFERROR(HLOOKUP(AQ1,'Processing Count'!$H$1:$GZ$25,25,0),0)</f>
        <v>157.75</v>
      </c>
      <c r="AR5" s="141">
        <f>IFERROR(HLOOKUP(AR1,'Processing Count'!$H$27:$GZ$62,34,0),0)+IFERROR(HLOOKUP(AR1,'Processing Count'!$H$1:$GZ$25,25,0),0)</f>
        <v>0</v>
      </c>
      <c r="AS5" s="141">
        <f>IFERROR(HLOOKUP(AS1,'Processing Count'!$H$27:$GZ$62,34,0),0)+IFERROR(HLOOKUP(AS1,'Processing Count'!$H$1:$GZ$25,25,0),0)</f>
        <v>0</v>
      </c>
      <c r="AT5" s="141">
        <f>IFERROR(HLOOKUP(AT1,'Processing Count'!$H$27:$GZ$62,34,0),0)+IFERROR(HLOOKUP(AT1,'Processing Count'!$H$1:$GZ$25,25,0),0)</f>
        <v>0</v>
      </c>
      <c r="AU5" s="141">
        <f>IFERROR(HLOOKUP(AU1,'Processing Count'!$H$27:$GZ$62,34,0),0)+IFERROR(HLOOKUP(AU1,'Processing Count'!$H$1:$GZ$25,25,0),0)</f>
        <v>0</v>
      </c>
      <c r="AV5" s="141">
        <f>IFERROR(HLOOKUP(AV1,'Processing Count'!$H$27:$GZ$62,34,0),0)+IFERROR(HLOOKUP(AV1,'Processing Count'!$H$1:$GZ$25,25,0),0)</f>
        <v>0</v>
      </c>
      <c r="AW5" s="141">
        <f>IFERROR(HLOOKUP(AW1,'Processing Count'!$H$27:$GZ$62,34,0),0)+IFERROR(HLOOKUP(AW1,'Processing Count'!$H$1:$GZ$25,25,0),0)</f>
        <v>0</v>
      </c>
      <c r="AX5" s="141">
        <f>IFERROR(HLOOKUP(AX1,'Processing Count'!$H$27:$GZ$62,34,0),0)+IFERROR(HLOOKUP(AX1,'Processing Count'!$H$1:$GZ$25,25,0),0)</f>
        <v>0</v>
      </c>
      <c r="AY5" s="141">
        <f>IFERROR(HLOOKUP(AY1,'Processing Count'!$H$27:$GZ$62,34,0),0)+IFERROR(HLOOKUP(AY1,'Processing Count'!$H$1:$GZ$25,25,0),0)</f>
        <v>0</v>
      </c>
      <c r="AZ5" s="141">
        <f>IFERROR(HLOOKUP(AZ1,'Processing Count'!$H$27:$GZ$62,34,0),0)+IFERROR(HLOOKUP(AZ1,'Processing Count'!$H$1:$GZ$25,25,0),0)</f>
        <v>0</v>
      </c>
      <c r="BA5" s="141">
        <f>IFERROR(HLOOKUP(BA1,'Processing Count'!$H$27:$GZ$62,34,0),0)+IFERROR(HLOOKUP(BA1,'Processing Count'!$H$1:$GZ$25,25,0),0)</f>
        <v>333.75</v>
      </c>
      <c r="BB5" s="141">
        <f>IFERROR(HLOOKUP(BB1,'Processing Count'!$H$27:$GZ$62,34,0),0)+IFERROR(HLOOKUP(BB1,'Processing Count'!$H$1:$GZ$25,25,0),0)</f>
        <v>0</v>
      </c>
      <c r="BC5" s="141">
        <f>IFERROR(HLOOKUP(BC1,'Processing Count'!$H$27:$GZ$62,34,0),0)+IFERROR(HLOOKUP(BC1,'Processing Count'!$H$1:$GZ$25,25,0),0)</f>
        <v>0</v>
      </c>
      <c r="BD5" s="141">
        <f>IFERROR(HLOOKUP(BD1,'Processing Count'!$H$27:$GZ$62,34,0),0)+IFERROR(HLOOKUP(BD1,'Processing Count'!$H$1:$GZ$25,25,0),0)</f>
        <v>0</v>
      </c>
      <c r="BE5" s="141">
        <f>IFERROR(HLOOKUP(BE1,'Processing Count'!$H$27:$GZ$62,34,0),0)+IFERROR(HLOOKUP(BE1,'Processing Count'!$H$1:$GZ$25,25,0),0)</f>
        <v>228</v>
      </c>
      <c r="BF5" s="141">
        <f>IFERROR(HLOOKUP(BF1,'Processing Count'!$H$27:$GZ$62,34,0),0)+IFERROR(HLOOKUP(BF1,'Processing Count'!$H$1:$GZ$25,25,0),0)</f>
        <v>0</v>
      </c>
      <c r="BG5" s="141">
        <f>IFERROR(HLOOKUP(BG1,'Processing Count'!$H$27:$GZ$62,34,0),0)+IFERROR(HLOOKUP(BG1,'Processing Count'!$H$1:$GZ$25,25,0),0)</f>
        <v>0</v>
      </c>
      <c r="BH5" s="141">
        <f>IFERROR(HLOOKUP(BH1,'Processing Count'!$H$27:$GZ$62,34,0),0)+IFERROR(HLOOKUP(BH1,'Processing Count'!$H$1:$GZ$25,25,0),0)</f>
        <v>149.75</v>
      </c>
      <c r="BI5" s="141">
        <f>IFERROR(HLOOKUP(BI1,'Processing Count'!$H$27:$GZ$62,34,0),0)+IFERROR(HLOOKUP(BI1,'Processing Count'!$H$1:$GZ$25,25,0),0)</f>
        <v>0</v>
      </c>
      <c r="BJ5" s="141">
        <f>IFERROR(HLOOKUP(BJ1,'Processing Count'!$H$27:$GZ$62,34,0),0)+IFERROR(HLOOKUP(BJ1,'Processing Count'!$H$1:$GZ$25,25,0),0)</f>
        <v>0</v>
      </c>
      <c r="BK5" s="141">
        <f>IFERROR(HLOOKUP(BK1,'Processing Count'!$H$27:$GZ$62,34,0),0)+IFERROR(HLOOKUP(BK1,'Processing Count'!$H$1:$GZ$25,25,0),0)</f>
        <v>0</v>
      </c>
      <c r="BL5" s="141">
        <f>IFERROR(HLOOKUP(BL1,'Processing Count'!$H$27:$GZ$62,34,0),0)+IFERROR(HLOOKUP(BL1,'Processing Count'!$H$1:$GZ$25,25,0),0)</f>
        <v>0</v>
      </c>
      <c r="BM5" s="141">
        <f>IFERROR(HLOOKUP(BM1,'Processing Count'!$H$27:$GZ$62,34,0),0)+IFERROR(HLOOKUP(BM1,'Processing Count'!$H$1:$GZ$25,25,0),0)</f>
        <v>0</v>
      </c>
      <c r="BN5" s="141">
        <f>IFERROR(HLOOKUP(BN1,'Processing Count'!$H$27:$GZ$62,34,0),0)+IFERROR(HLOOKUP(BN1,'Processing Count'!$H$1:$GZ$25,25,0),0)</f>
        <v>0</v>
      </c>
      <c r="BO5" s="141">
        <f>IFERROR(HLOOKUP(BO1,'Processing Count'!$H$27:$GZ$62,34,0),0)+IFERROR(HLOOKUP(BO1,'Processing Count'!$H$1:$GZ$25,25,0),0)</f>
        <v>0</v>
      </c>
      <c r="BP5" s="141">
        <f>IFERROR(HLOOKUP(BP1,'Processing Count'!$H$27:$GZ$62,34,0),0)+IFERROR(HLOOKUP(BP1,'Processing Count'!$H$1:$GZ$25,25,0),0)</f>
        <v>0</v>
      </c>
      <c r="BQ5" s="141">
        <f>IFERROR(HLOOKUP(BQ1,'Processing Count'!$H$27:$GZ$62,34,0),0)+IFERROR(HLOOKUP(BQ1,'Processing Count'!$H$1:$GZ$25,25,0),0)</f>
        <v>0</v>
      </c>
      <c r="BR5" s="141">
        <f>IFERROR(HLOOKUP(BR1,'Processing Count'!$H$27:$GZ$62,34,0),0)+IFERROR(HLOOKUP(BR1,'Processing Count'!$H$1:$GZ$25,25,0),0)</f>
        <v>0</v>
      </c>
      <c r="BS5" s="141">
        <f>IFERROR(HLOOKUP(BS1,'Processing Count'!$H$27:$GZ$62,34,0),0)+IFERROR(HLOOKUP(BS1,'Processing Count'!$H$1:$GZ$25,25,0),0)</f>
        <v>0</v>
      </c>
      <c r="BT5" s="141">
        <f>IFERROR(HLOOKUP(BT1,'Processing Count'!$H$27:$GZ$62,34,0),0)+IFERROR(HLOOKUP(BT1,'Processing Count'!$H$1:$GZ$25,25,0),0)</f>
        <v>204</v>
      </c>
      <c r="BU5" s="141">
        <f>IFERROR(HLOOKUP(BU1,'Processing Count'!$H$27:$GZ$62,34,0),0)+IFERROR(HLOOKUP(BU1,'Processing Count'!$H$1:$GZ$25,25,0),0)</f>
        <v>0</v>
      </c>
      <c r="BV5" s="141">
        <f>IFERROR(HLOOKUP(BV1,'Processing Count'!$H$27:$GZ$62,34,0),0)+IFERROR(HLOOKUP(BV1,'Processing Count'!$H$1:$GZ$25,25,0),0)</f>
        <v>0</v>
      </c>
      <c r="BW5" s="141">
        <f>IFERROR(HLOOKUP(BW1,'Processing Count'!$H$27:$GZ$62,34,0),0)+IFERROR(HLOOKUP(BW1,'Processing Count'!$H$1:$GZ$25,25,0),0)</f>
        <v>500.25</v>
      </c>
      <c r="BX5" s="141">
        <f>IFERROR(HLOOKUP(BX1,'Processing Count'!$H$27:$GZ$62,34,0),0)+IFERROR(HLOOKUP(BX1,'Processing Count'!$H$1:$GZ$25,25,0),0)</f>
        <v>0</v>
      </c>
      <c r="BY5" s="141">
        <f>IFERROR(HLOOKUP(BY1,'Processing Count'!$H$27:$GZ$62,34,0),0)+IFERROR(HLOOKUP(BY1,'Processing Count'!$H$1:$GZ$25,25,0),0)</f>
        <v>1536</v>
      </c>
      <c r="BZ5" s="141">
        <f>IFERROR(HLOOKUP(BZ1,'Processing Count'!$H$27:$GZ$62,34,0),0)+IFERROR(HLOOKUP(BZ1,'Processing Count'!$H$1:$GZ$25,25,0),0)</f>
        <v>0</v>
      </c>
      <c r="CA5" s="141">
        <f>IFERROR(HLOOKUP(CA1,'Processing Count'!$H$27:$GZ$62,34,0),0)+IFERROR(HLOOKUP(CA1,'Processing Count'!$H$1:$GZ$25,25,0),0)</f>
        <v>0</v>
      </c>
      <c r="CB5" s="141">
        <f>IFERROR(HLOOKUP(CB1,'Processing Count'!$H$27:$GZ$62,34,0),0)+IFERROR(HLOOKUP(CB1,'Processing Count'!$H$1:$GZ$25,25,0),0)</f>
        <v>0</v>
      </c>
      <c r="CC5" s="141">
        <f>IFERROR(HLOOKUP(CC1,'Processing Count'!$H$27:$GZ$62,34,0),0)+IFERROR(HLOOKUP(CC1,'Processing Count'!$H$1:$GZ$25,25,0),0)</f>
        <v>28</v>
      </c>
      <c r="CD5" s="141">
        <f>IFERROR(HLOOKUP(CD1,'Processing Count'!$H$27:$GZ$62,34,0),0)+IFERROR(HLOOKUP(CD1,'Processing Count'!$H$1:$GZ$25,25,0),0)</f>
        <v>431.25</v>
      </c>
      <c r="CE5" s="141">
        <f>IFERROR(HLOOKUP(CE1,'Processing Count'!$H$27:$GZ$62,34,0),0)+IFERROR(HLOOKUP(CE1,'Processing Count'!$H$1:$GZ$25,25,0),0)</f>
        <v>0</v>
      </c>
      <c r="CF5" s="141">
        <f>IFERROR(HLOOKUP(CF1,'Processing Count'!$H$27:$GZ$62,34,0),0)+IFERROR(HLOOKUP(CF1,'Processing Count'!$H$1:$GZ$25,25,0),0)</f>
        <v>0</v>
      </c>
      <c r="CG5" s="141">
        <f>IFERROR(HLOOKUP(CG1,'Processing Count'!$H$27:$GZ$62,34,0),0)+IFERROR(HLOOKUP(CG1,'Processing Count'!$H$1:$GZ$25,25,0),0)</f>
        <v>0</v>
      </c>
      <c r="CH5" s="141">
        <f>IFERROR(HLOOKUP(CH1,'Processing Count'!$H$27:$GZ$62,34,0),0)+IFERROR(HLOOKUP(CH1,'Processing Count'!$H$1:$GZ$25,25,0),0)</f>
        <v>0</v>
      </c>
      <c r="CI5" s="141">
        <f>IFERROR(HLOOKUP(CI1,'Processing Count'!$H$27:$GZ$62,34,0),0)+IFERROR(HLOOKUP(CI1,'Processing Count'!$H$1:$GZ$25,25,0),0)</f>
        <v>0</v>
      </c>
      <c r="CJ5" s="141">
        <f>IFERROR(HLOOKUP(CJ1,'Processing Count'!$H$27:$GZ$62,34,0),0)+IFERROR(HLOOKUP(CJ1,'Processing Count'!$H$1:$GZ$25,25,0),0)</f>
        <v>0</v>
      </c>
      <c r="CK5" s="141">
        <f>IFERROR(HLOOKUP(CK1,'Processing Count'!$H$27:$GZ$62,34,0),0)+IFERROR(HLOOKUP(CK1,'Processing Count'!$H$1:$GZ$25,25,0),0)</f>
        <v>1391.25</v>
      </c>
      <c r="CL5" s="141">
        <f>IFERROR(HLOOKUP(CL1,'Processing Count'!$H$27:$GZ$62,34,0),0)+IFERROR(HLOOKUP(CL1,'Processing Count'!$H$1:$GZ$25,25,0),0)</f>
        <v>0</v>
      </c>
      <c r="CM5" s="141">
        <f>IFERROR(HLOOKUP(CM1,'Processing Count'!$H$27:$GZ$62,34,0),0)+IFERROR(HLOOKUP(CM1,'Processing Count'!$H$1:$GZ$25,25,0),0)</f>
        <v>214</v>
      </c>
      <c r="CN5" s="141">
        <f>IFERROR(HLOOKUP(CN1,'Processing Count'!$H$27:$GZ$62,34,0),0)+IFERROR(HLOOKUP(CN1,'Processing Count'!$H$1:$GZ$25,25,0),0)</f>
        <v>122.75</v>
      </c>
      <c r="CO5" s="141">
        <f>IFERROR(HLOOKUP(CO1,'Processing Count'!$H$27:$GZ$62,34,0),0)+IFERROR(HLOOKUP(CO1,'Processing Count'!$H$1:$GZ$25,25,0),0)</f>
        <v>0</v>
      </c>
      <c r="CP5" s="141">
        <f>IFERROR(HLOOKUP(CP1,'Processing Count'!$H$27:$GZ$62,34,0),0)+IFERROR(HLOOKUP(CP1,'Processing Count'!$H$1:$GZ$25,25,0),0)</f>
        <v>0</v>
      </c>
      <c r="CQ5" s="141">
        <f>IFERROR(HLOOKUP(CQ1,'Processing Count'!$H$27:$GZ$62,34,0),0)+IFERROR(HLOOKUP(CQ1,'Processing Count'!$H$1:$GZ$25,25,0),0)</f>
        <v>3672</v>
      </c>
      <c r="CR5" s="141">
        <f>IFERROR(HLOOKUP(CR1,'Processing Count'!$H$27:$GZ$62,34,0),0)+IFERROR(HLOOKUP(CR1,'Processing Count'!$H$1:$GZ$25,25,0),0)</f>
        <v>0</v>
      </c>
      <c r="CS5" s="141">
        <f>IFERROR(HLOOKUP(CS1,'Processing Count'!$H$27:$GZ$62,34,0),0)+IFERROR(HLOOKUP(CS1,'Processing Count'!$H$1:$GZ$25,25,0),0)</f>
        <v>0</v>
      </c>
      <c r="CT5" s="141">
        <f>IFERROR(HLOOKUP(CT1,'Processing Count'!$H$27:$GZ$62,34,0),0)+IFERROR(HLOOKUP(CT1,'Processing Count'!$H$1:$GZ$25,25,0),0)</f>
        <v>1377</v>
      </c>
      <c r="CU5" s="141">
        <f>IFERROR(HLOOKUP(CU1,'Processing Count'!$H$27:$GZ$62,34,0),0)+IFERROR(HLOOKUP(CU1,'Processing Count'!$H$1:$GZ$25,25,0),0)</f>
        <v>9.5</v>
      </c>
      <c r="CV5" s="141">
        <f>IFERROR(HLOOKUP(CV1,'Processing Count'!$H$27:$GZ$62,34,0),0)+IFERROR(HLOOKUP(CV1,'Processing Count'!$H$1:$GZ$25,25,0),0)</f>
        <v>0</v>
      </c>
      <c r="CW5" s="141">
        <f>IFERROR(HLOOKUP(CW1,'Processing Count'!$H$27:$GZ$62,34,0),0)+IFERROR(HLOOKUP(CW1,'Processing Count'!$H$1:$GZ$25,25,0),0)</f>
        <v>0</v>
      </c>
      <c r="CX5" s="141">
        <f>IFERROR(HLOOKUP(CX1,'Processing Count'!$H$27:$GZ$62,34,0),0)+IFERROR(HLOOKUP(CX1,'Processing Count'!$H$1:$GZ$25,25,0),0)</f>
        <v>2161.0500000000002</v>
      </c>
      <c r="CY5" s="141">
        <f>IFERROR(HLOOKUP(CY1,'Processing Count'!$H$27:$GZ$62,34,0),0)+IFERROR(HLOOKUP(CY1,'Processing Count'!$H$1:$GZ$25,25,0),0)</f>
        <v>208</v>
      </c>
      <c r="CZ5" s="141">
        <f>IFERROR(HLOOKUP(CZ1,'Processing Count'!$H$27:$GZ$62,34,0),0)+IFERROR(HLOOKUP(CZ1,'Processing Count'!$H$1:$GZ$25,25,0),0)</f>
        <v>0</v>
      </c>
      <c r="DA5" s="141">
        <f>IFERROR(HLOOKUP(DA1,'Processing Count'!$H$27:$GZ$62,34,0),0)+IFERROR(HLOOKUP(DA1,'Processing Count'!$H$1:$GZ$25,25,0),0)</f>
        <v>0</v>
      </c>
      <c r="DB5" s="141">
        <f>IFERROR(HLOOKUP(DB1,'Processing Count'!$H$27:$GZ$62,34,0),0)+IFERROR(HLOOKUP(DB1,'Processing Count'!$H$1:$GZ$25,25,0),0)</f>
        <v>0</v>
      </c>
      <c r="DC5" s="141">
        <f>IFERROR(HLOOKUP(DC1,'Processing Count'!$H$27:$GZ$62,34,0),0)+IFERROR(HLOOKUP(DC1,'Processing Count'!$H$1:$GZ$25,25,0),0)</f>
        <v>122</v>
      </c>
      <c r="DD5" s="141">
        <f>IFERROR(HLOOKUP(DD1,'Processing Count'!$H$27:$GZ$62,34,0),0)+IFERROR(HLOOKUP(DD1,'Processing Count'!$H$1:$GZ$25,25,0),0)</f>
        <v>1121.25</v>
      </c>
      <c r="DE5" s="141">
        <f>IFERROR(HLOOKUP(DE1,'Processing Count'!$H$27:$GZ$62,34,0),0)+IFERROR(HLOOKUP(DE1,'Processing Count'!$H$1:$GZ$25,25,0),0)</f>
        <v>0</v>
      </c>
      <c r="DF5" s="141">
        <f>IFERROR(HLOOKUP(DF1,'Processing Count'!$H$27:$GZ$62,34,0),0)+IFERROR(HLOOKUP(DF1,'Processing Count'!$H$1:$GZ$25,25,0),0)</f>
        <v>0</v>
      </c>
      <c r="DG5" s="141">
        <f>IFERROR(HLOOKUP(DG1,'Processing Count'!$H$27:$GZ$62,34,0),0)+IFERROR(HLOOKUP(DG1,'Processing Count'!$H$1:$GZ$25,25,0),0)</f>
        <v>0</v>
      </c>
      <c r="DH5" s="141">
        <f>IFERROR(HLOOKUP(DH1,'Processing Count'!$H$27:$GZ$62,34,0),0)+IFERROR(HLOOKUP(DH1,'Processing Count'!$H$1:$GZ$25,25,0),0)</f>
        <v>0</v>
      </c>
      <c r="DI5" s="141">
        <f>IFERROR(HLOOKUP(DI1,'Processing Count'!$H$27:$GZ$62,34,0),0)+IFERROR(HLOOKUP(DI1,'Processing Count'!$H$1:$GZ$25,25,0),0)</f>
        <v>0</v>
      </c>
      <c r="DJ5" s="141">
        <f>IFERROR(HLOOKUP(DJ1,'Processing Count'!$H$27:$GZ$62,34,0),0)+IFERROR(HLOOKUP(DJ1,'Processing Count'!$H$1:$GZ$25,25,0),0)</f>
        <v>248</v>
      </c>
      <c r="DK5" s="141">
        <f>IFERROR(HLOOKUP(DK1,'Processing Count'!$H$27:$GZ$62,34,0),0)+IFERROR(HLOOKUP(DK1,'Processing Count'!$H$1:$GZ$25,25,0),0)</f>
        <v>0</v>
      </c>
      <c r="DL5" s="141">
        <f>IFERROR(HLOOKUP(DL1,'Processing Count'!$H$27:$GZ$62,34,0),0)+IFERROR(HLOOKUP(DL1,'Processing Count'!$H$1:$GZ$25,25,0),0)</f>
        <v>36</v>
      </c>
      <c r="DM5" s="141">
        <f>IFERROR(HLOOKUP(DM1,'Processing Count'!$H$27:$GZ$62,34,0),0)+IFERROR(HLOOKUP(DM1,'Processing Count'!$H$1:$GZ$25,25,0),0)</f>
        <v>0</v>
      </c>
      <c r="DN5" s="141">
        <f>IFERROR(HLOOKUP(DN1,'Processing Count'!$H$27:$GZ$62,34,0),0)+IFERROR(HLOOKUP(DN1,'Processing Count'!$H$1:$GZ$25,25,0),0)</f>
        <v>175</v>
      </c>
      <c r="DO5" s="141">
        <f>IFERROR(HLOOKUP(DO1,'Processing Count'!$H$27:$GZ$62,34,0),0)+IFERROR(HLOOKUP(DO1,'Processing Count'!$H$1:$GZ$25,25,0),0)</f>
        <v>30</v>
      </c>
      <c r="DP5" s="141">
        <f>IFERROR(HLOOKUP(DP1,'Processing Count'!$H$27:$GZ$62,34,0),0)+IFERROR(HLOOKUP(DP1,'Processing Count'!$H$1:$GZ$25,25,0),0)</f>
        <v>0</v>
      </c>
      <c r="DQ5" s="141">
        <f>IFERROR(HLOOKUP(DQ1,'Processing Count'!$H$27:$GZ$62,34,0),0)+IFERROR(HLOOKUP(DQ1,'Processing Count'!$H$1:$GZ$25,25,0),0)</f>
        <v>0</v>
      </c>
      <c r="DR5" s="141">
        <f>IFERROR(HLOOKUP(DR1,'Processing Count'!$H$27:$GZ$62,34,0),0)+IFERROR(HLOOKUP(DR1,'Processing Count'!$H$1:$GZ$25,25,0),0)</f>
        <v>0</v>
      </c>
      <c r="DS5" s="141">
        <f>IFERROR(HLOOKUP(DS1,'Processing Count'!$H$27:$GZ$62,34,0),0)+IFERROR(HLOOKUP(DS1,'Processing Count'!$H$1:$GZ$25,25,0),0)</f>
        <v>0</v>
      </c>
      <c r="DT5" s="141">
        <f>IFERROR(HLOOKUP(DT1,'Processing Count'!$H$27:$GZ$62,34,0),0)+IFERROR(HLOOKUP(DT1,'Processing Count'!$H$1:$GZ$25,25,0),0)</f>
        <v>0</v>
      </c>
      <c r="DU5" s="141">
        <f>IFERROR(HLOOKUP(DU1,'Processing Count'!$H$27:$GZ$62,34,0),0)+IFERROR(HLOOKUP(DU1,'Processing Count'!$H$1:$GZ$25,25,0),0)</f>
        <v>0</v>
      </c>
      <c r="DV5" s="141">
        <f>IFERROR(HLOOKUP(DV1,'Processing Count'!$H$27:$GZ$62,34,0),0)+IFERROR(HLOOKUP(DV1,'Processing Count'!$H$1:$GZ$25,25,0),0)</f>
        <v>0</v>
      </c>
      <c r="DW5" s="141">
        <f>IFERROR(HLOOKUP(DW1,'Processing Count'!$H$27:$GZ$62,34,0),0)+IFERROR(HLOOKUP(DW1,'Processing Count'!$H$1:$GZ$25,25,0),0)</f>
        <v>0</v>
      </c>
      <c r="DX5" s="141">
        <f>IFERROR(HLOOKUP(DX1,'Processing Count'!$H$27:$GZ$62,34,0),0)+IFERROR(HLOOKUP(DX1,'Processing Count'!$H$1:$GZ$25,25,0),0)</f>
        <v>0</v>
      </c>
      <c r="DY5" s="141">
        <f>IFERROR(HLOOKUP(DY1,'Processing Count'!$H$27:$GZ$62,34,0),0)+IFERROR(HLOOKUP(DY1,'Processing Count'!$H$1:$GZ$25,25,0),0)</f>
        <v>730.7</v>
      </c>
      <c r="DZ5" s="141">
        <f>IFERROR(HLOOKUP(DZ1,'Processing Count'!$H$27:$GZ$62,34,0),0)+IFERROR(HLOOKUP(DZ1,'Processing Count'!$H$1:$GZ$25,25,0),0)</f>
        <v>0</v>
      </c>
      <c r="EA5" s="141">
        <f>IFERROR(HLOOKUP(EA1,'Processing Count'!$H$27:$GZ$62,34,0),0)+IFERROR(HLOOKUP(EA1,'Processing Count'!$H$1:$GZ$25,25,0),0)</f>
        <v>0</v>
      </c>
      <c r="EB5" s="141">
        <f>IFERROR(HLOOKUP(EB1,'Processing Count'!$H$27:$GZ$62,34,0),0)+IFERROR(HLOOKUP(EB1,'Processing Count'!$H$1:$GZ$25,25,0),0)</f>
        <v>0</v>
      </c>
      <c r="EC5" s="141">
        <f>IFERROR(HLOOKUP(EC1,'Processing Count'!$H$27:$GZ$62,34,0),0)+IFERROR(HLOOKUP(EC1,'Processing Count'!$H$1:$GZ$25,25,0),0)</f>
        <v>206.75</v>
      </c>
      <c r="ED5" s="141">
        <f>IFERROR(HLOOKUP(ED1,'Processing Count'!$H$27:$GZ$62,34,0),0)+IFERROR(HLOOKUP(ED1,'Processing Count'!$H$1:$GZ$25,25,0),0)</f>
        <v>32.25</v>
      </c>
      <c r="EE5" s="141">
        <f>IFERROR(HLOOKUP(EE1,'Processing Count'!$H$27:$GZ$62,34,0),0)+IFERROR(HLOOKUP(EE1,'Processing Count'!$H$1:$GZ$25,25,0),0)</f>
        <v>0</v>
      </c>
      <c r="EF5" s="141">
        <f>IFERROR(HLOOKUP(EF1,'Processing Count'!$H$27:$GZ$62,34,0),0)+IFERROR(HLOOKUP(EF1,'Processing Count'!$H$1:$GZ$25,25,0),0)</f>
        <v>0</v>
      </c>
      <c r="EG5" s="141">
        <f>IFERROR(HLOOKUP(EG1,'Processing Count'!$H$27:$GZ$62,34,0),0)+IFERROR(HLOOKUP(EG1,'Processing Count'!$H$1:$GZ$25,25,0),0)</f>
        <v>0</v>
      </c>
      <c r="EH5" s="141">
        <f>IFERROR(HLOOKUP(EH1,'Processing Count'!$H$27:$GZ$62,34,0),0)+IFERROR(HLOOKUP(EH1,'Processing Count'!$H$1:$GZ$25,25,0),0)</f>
        <v>0</v>
      </c>
      <c r="EI5" s="141">
        <f>IFERROR(HLOOKUP(EI1,'Processing Count'!$H$27:$GZ$62,34,0),0)+IFERROR(HLOOKUP(EI1,'Processing Count'!$H$1:$GZ$25,25,0),0)</f>
        <v>0</v>
      </c>
      <c r="EJ5" s="141">
        <f>IFERROR(HLOOKUP(EJ1,'Processing Count'!$H$27:$GZ$62,34,0),0)+IFERROR(HLOOKUP(EJ1,'Processing Count'!$H$1:$GZ$25,25,0),0)</f>
        <v>0</v>
      </c>
      <c r="EK5" s="141">
        <f>IFERROR(HLOOKUP(EK1,'Processing Count'!$H$27:$GZ$62,34,0),0)+IFERROR(HLOOKUP(EK1,'Processing Count'!$H$1:$GZ$25,25,0),0)</f>
        <v>0</v>
      </c>
      <c r="EL5" s="141">
        <f>IFERROR(HLOOKUP(EL1,'Processing Count'!$H$27:$GZ$62,34,0),0)+IFERROR(HLOOKUP(EL1,'Processing Count'!$H$1:$GZ$25,25,0),0)</f>
        <v>0</v>
      </c>
      <c r="EM5" s="141">
        <f>IFERROR(HLOOKUP(EM1,'Processing Count'!$H$27:$GZ$62,34,0),0)+IFERROR(HLOOKUP(EM1,'Processing Count'!$H$1:$GZ$25,25,0),0)</f>
        <v>446.5</v>
      </c>
      <c r="EN5" s="141">
        <f>IFERROR(HLOOKUP(EN1,'Processing Count'!$H$27:$GZ$62,34,0),0)+IFERROR(HLOOKUP(EN1,'Processing Count'!$H$1:$GZ$25,25,0),0)</f>
        <v>0</v>
      </c>
      <c r="EO5" s="141">
        <f>IFERROR(HLOOKUP(EO1,'Processing Count'!$H$27:$GZ$62,34,0),0)+IFERROR(HLOOKUP(EO1,'Processing Count'!$H$1:$GZ$25,25,0),0)</f>
        <v>0</v>
      </c>
      <c r="EP5" s="141">
        <f>IFERROR(HLOOKUP(EP1,'Processing Count'!$H$27:$GZ$62,34,0),0)+IFERROR(HLOOKUP(EP1,'Processing Count'!$H$1:$GZ$25,25,0),0)</f>
        <v>0</v>
      </c>
      <c r="EQ5" s="141">
        <f>IFERROR(HLOOKUP(EQ1,'Processing Count'!$H$27:$GZ$62,34,0),0)+IFERROR(HLOOKUP(EQ1,'Processing Count'!$H$1:$GZ$25,25,0),0)</f>
        <v>0</v>
      </c>
      <c r="ER5" s="141">
        <f>IFERROR(HLOOKUP(ER1,'Processing Count'!$H$27:$GZ$62,34,0),0)+IFERROR(HLOOKUP(ER1,'Processing Count'!$H$1:$GZ$25,25,0),0)</f>
        <v>0</v>
      </c>
      <c r="ES5" s="141">
        <f>IFERROR(HLOOKUP(ES1,'Processing Count'!$H$27:$GZ$62,34,0),0)+IFERROR(HLOOKUP(ES1,'Processing Count'!$H$1:$GZ$25,25,0),0)</f>
        <v>361.5</v>
      </c>
      <c r="ET5" s="141">
        <f>IFERROR(HLOOKUP(ET1,'Processing Count'!$H$27:$GZ$62,34,0),0)+IFERROR(HLOOKUP(ET1,'Processing Count'!$H$1:$GZ$25,25,0),0)</f>
        <v>0</v>
      </c>
      <c r="EU5" s="141">
        <f>IFERROR(HLOOKUP(EU1,'Processing Count'!$H$27:$GZ$62,34,0),0)+IFERROR(HLOOKUP(EU1,'Processing Count'!$H$1:$GZ$25,25,0),0)</f>
        <v>46</v>
      </c>
      <c r="EV5" s="141">
        <f>IFERROR(HLOOKUP(EV1,'Processing Count'!$H$27:$GZ$62,34,0),0)+IFERROR(HLOOKUP(EV1,'Processing Count'!$H$1:$GZ$25,25,0),0)</f>
        <v>94</v>
      </c>
      <c r="EW5" s="141">
        <f>IFERROR(HLOOKUP(EW1,'Processing Count'!$H$27:$GZ$62,34,0),0)+IFERROR(HLOOKUP(EW1,'Processing Count'!$H$1:$GZ$25,25,0),0)</f>
        <v>0</v>
      </c>
      <c r="EX5" s="141">
        <f>IFERROR(HLOOKUP(EX1,'Processing Count'!$H$27:$GZ$62,34,0),0)+IFERROR(HLOOKUP(EX1,'Processing Count'!$H$1:$GZ$25,25,0),0)</f>
        <v>0</v>
      </c>
      <c r="EY5" s="141">
        <f>IFERROR(HLOOKUP(EY1,'Processing Count'!$H$27:$GZ$62,34,0),0)+IFERROR(HLOOKUP(EY1,'Processing Count'!$H$1:$GZ$25,25,0),0)</f>
        <v>0</v>
      </c>
      <c r="EZ5" s="141">
        <f>IFERROR(HLOOKUP(EZ1,'Processing Count'!$H$27:$GZ$62,34,0),0)+IFERROR(HLOOKUP(EZ1,'Processing Count'!$H$1:$GZ$25,25,0),0)</f>
        <v>0</v>
      </c>
      <c r="FA5" s="141">
        <f>IFERROR(HLOOKUP(FA1,'Processing Count'!$H$27:$GZ$62,34,0),0)+IFERROR(HLOOKUP(FA1,'Processing Count'!$H$1:$GZ$25,25,0),0)</f>
        <v>0</v>
      </c>
      <c r="FB5" s="141">
        <f>IFERROR(HLOOKUP(FB1,'Processing Count'!$H$27:$GZ$62,34,0),0)+IFERROR(HLOOKUP(FB1,'Processing Count'!$H$1:$GZ$25,25,0),0)</f>
        <v>0</v>
      </c>
      <c r="FC5" s="141">
        <f>IFERROR(HLOOKUP(FC1,'Processing Count'!$H$27:$GZ$62,34,0),0)+IFERROR(HLOOKUP(FC1,'Processing Count'!$H$1:$GZ$25,25,0),0)</f>
        <v>0</v>
      </c>
      <c r="FD5" s="141">
        <f>IFERROR(HLOOKUP(FD1,'Processing Count'!$H$27:$GZ$62,34,0),0)+IFERROR(HLOOKUP(FD1,'Processing Count'!$H$1:$GZ$25,25,0),0)</f>
        <v>190</v>
      </c>
      <c r="FE5" s="141">
        <f>IFERROR(HLOOKUP(FE1,'Processing Count'!$H$27:$GZ$62,34,0),0)+IFERROR(HLOOKUP(FE1,'Processing Count'!$H$1:$GZ$25,25,0),0)</f>
        <v>1087.7</v>
      </c>
      <c r="FF5" s="141">
        <f>IFERROR(HLOOKUP(FF1,'Processing Count'!$H$27:$GZ$62,34,0),0)+IFERROR(HLOOKUP(FF1,'Processing Count'!$H$1:$GZ$25,25,0),0)</f>
        <v>0</v>
      </c>
      <c r="FG5" s="141">
        <f>IFERROR(HLOOKUP(FG1,'Processing Count'!$H$27:$GZ$62,34,0),0)+IFERROR(HLOOKUP(FG1,'Processing Count'!$H$1:$GZ$25,25,0),0)</f>
        <v>0</v>
      </c>
      <c r="FH5" s="141">
        <f>IFERROR(HLOOKUP(FH1,'Processing Count'!$H$27:$GZ$62,34,0),0)+IFERROR(HLOOKUP(FH1,'Processing Count'!$H$1:$GZ$25,25,0),0)</f>
        <v>0</v>
      </c>
      <c r="FI5" s="141">
        <f>IFERROR(HLOOKUP(FI1,'Processing Count'!$H$27:$GZ$62,34,0),0)+IFERROR(HLOOKUP(FI1,'Processing Count'!$H$1:$GZ$25,25,0),0)</f>
        <v>0</v>
      </c>
      <c r="FJ5" s="141">
        <f>IFERROR(HLOOKUP(FJ1,'Processing Count'!$H$27:$GZ$62,34,0),0)+IFERROR(HLOOKUP(FJ1,'Processing Count'!$H$1:$GZ$25,25,0),0)</f>
        <v>0</v>
      </c>
      <c r="FK5" s="141">
        <f>IFERROR(HLOOKUP(FK1,'Processing Count'!$H$27:$GZ$62,34,0),0)+IFERROR(HLOOKUP(FK1,'Processing Count'!$H$1:$GZ$25,25,0),0)</f>
        <v>0</v>
      </c>
      <c r="FL5" s="141">
        <f>IFERROR(HLOOKUP(FL1,'Processing Count'!$H$27:$GZ$62,34,0),0)+IFERROR(HLOOKUP(FL1,'Processing Count'!$H$1:$GZ$25,25,0),0)</f>
        <v>0</v>
      </c>
      <c r="FM5" s="141">
        <f>IFERROR(HLOOKUP(FM1,'Processing Count'!$H$27:$GZ$62,34,0),0)+IFERROR(HLOOKUP(FM1,'Processing Count'!$H$1:$GZ$25,25,0),0)</f>
        <v>0</v>
      </c>
      <c r="FN5" s="141">
        <f>IFERROR(HLOOKUP(FN1,'Processing Count'!$H$27:$GZ$62,34,0),0)+IFERROR(HLOOKUP(FN1,'Processing Count'!$H$1:$GZ$25,25,0),0)</f>
        <v>0</v>
      </c>
      <c r="FO5" s="141">
        <f>IFERROR(HLOOKUP(FO1,'Processing Count'!$H$27:$GZ$62,34,0),0)+IFERROR(HLOOKUP(FO1,'Processing Count'!$H$1:$GZ$25,25,0),0)</f>
        <v>0</v>
      </c>
      <c r="FP5" s="141">
        <f>IFERROR(HLOOKUP(FP1,'Processing Count'!$H$27:$GZ$62,34,0),0)+IFERROR(HLOOKUP(FP1,'Processing Count'!$H$1:$GZ$25,25,0),0)</f>
        <v>0</v>
      </c>
      <c r="FQ5" s="141">
        <f>IFERROR(HLOOKUP(FQ1,'Processing Count'!$H$27:$GZ$62,34,0),0)+IFERROR(HLOOKUP(FQ1,'Processing Count'!$H$1:$GZ$25,25,0),0)</f>
        <v>142</v>
      </c>
      <c r="FR5" s="141">
        <f>IFERROR(HLOOKUP(FR1,'Processing Count'!$H$27:$GZ$62,34,0),0)+IFERROR(HLOOKUP(FR1,'Processing Count'!$H$1:$GZ$25,25,0),0)</f>
        <v>432</v>
      </c>
      <c r="FS5" s="141">
        <f>IFERROR(HLOOKUP(FS1,'Processing Count'!$H$27:$GZ$62,34,0),0)+IFERROR(HLOOKUP(FS1,'Processing Count'!$H$1:$GZ$25,25,0),0)</f>
        <v>0</v>
      </c>
      <c r="FT5" s="141">
        <f>IFERROR(HLOOKUP(FT1,'Processing Count'!$H$27:$GZ$62,34,0),0)+IFERROR(HLOOKUP(FT1,'Processing Count'!$H$1:$GZ$25,25,0),0)</f>
        <v>0</v>
      </c>
      <c r="FU5" s="141">
        <f>IFERROR(HLOOKUP(FU1,'Processing Count'!$H$27:$GZ$62,34,0),0)+IFERROR(HLOOKUP(FU1,'Processing Count'!$H$1:$GZ$25,25,0),0)</f>
        <v>79.25</v>
      </c>
      <c r="FV5" s="141">
        <f>IFERROR(HLOOKUP(FV1,'Processing Count'!$H$27:$GZ$62,34,0),0)+IFERROR(HLOOKUP(FV1,'Processing Count'!$H$1:$GZ$25,25,0),0)</f>
        <v>0</v>
      </c>
      <c r="FW5" s="141">
        <f>IFERROR(HLOOKUP(FW1,'Processing Count'!$H$27:$GZ$62,34,0),0)+IFERROR(HLOOKUP(FW1,'Processing Count'!$H$1:$GZ$25,25,0),0)</f>
        <v>0</v>
      </c>
      <c r="FX5" s="141">
        <f>IFERROR(HLOOKUP(FX1,'Processing Count'!$H$27:$GZ$62,34,0),0)+IFERROR(HLOOKUP(FX1,'Processing Count'!$H$1:$GZ$25,25,0),0)</f>
        <v>4710</v>
      </c>
      <c r="FY5" s="141">
        <f>IFERROR(HLOOKUP(FY1,'Processing Count'!$H$27:$GZ$62,34,0),0)+IFERROR(HLOOKUP(FY1,'Processing Count'!$H$1:$GZ$25,25,0),0)</f>
        <v>0</v>
      </c>
      <c r="FZ5" s="141">
        <f>IFERROR(HLOOKUP(FZ1,'Processing Count'!$H$27:$GZ$62,34,0),0)+IFERROR(HLOOKUP(FZ1,'Processing Count'!$H$1:$GZ$25,25,0),0)</f>
        <v>0</v>
      </c>
      <c r="GA5" s="141">
        <f>IFERROR(HLOOKUP(GA1,'Processing Count'!$H$27:$GZ$62,34,0),0)+IFERROR(HLOOKUP(GA1,'Processing Count'!$H$1:$GZ$25,25,0),0)</f>
        <v>1138</v>
      </c>
      <c r="GB5" s="141">
        <f>IFERROR(HLOOKUP(GB1,'Processing Count'!$H$27:$GZ$62,34,0),0)+IFERROR(HLOOKUP(GB1,'Processing Count'!$H$1:$GZ$25,25,0),0)</f>
        <v>0</v>
      </c>
      <c r="GC5" s="141">
        <f>IFERROR(HLOOKUP(GC1,'Processing Count'!$H$27:$GZ$62,34,0),0)+IFERROR(HLOOKUP(GC1,'Processing Count'!$H$1:$GZ$25,25,0),0)</f>
        <v>145.30000000000001</v>
      </c>
      <c r="GD5" s="141">
        <f>IFERROR(HLOOKUP(GD1,'Processing Count'!$H$27:$GZ$62,34,0),0)+IFERROR(HLOOKUP(GD1,'Processing Count'!$H$1:$GZ$25,25,0),0)</f>
        <v>0</v>
      </c>
      <c r="GE5" s="141">
        <f>IFERROR(HLOOKUP(GE1,'Processing Count'!$H$27:$GZ$62,34,0),0)+IFERROR(HLOOKUP(GE1,'Processing Count'!$H$1:$GZ$25,25,0),0)</f>
        <v>0</v>
      </c>
      <c r="GF5" s="141">
        <f>IFERROR(HLOOKUP(GF1,'Processing Count'!$H$27:$GZ$62,34,0),0)+IFERROR(HLOOKUP(GF1,'Processing Count'!$H$1:$GZ$25,25,0),0)</f>
        <v>0</v>
      </c>
      <c r="GG5" s="141">
        <f>IFERROR(HLOOKUP(GG1,'Processing Count'!$H$27:$GZ$62,34,0),0)+IFERROR(HLOOKUP(GG1,'Processing Count'!$H$1:$GZ$25,25,0),0)</f>
        <v>0</v>
      </c>
      <c r="GH5" s="141">
        <f>IFERROR(HLOOKUP(GH1,'Processing Count'!$H$27:$GZ$62,34,0),0)+IFERROR(HLOOKUP(GH1,'Processing Count'!$H$1:$GZ$25,25,0),0)</f>
        <v>0</v>
      </c>
      <c r="GI5" s="141">
        <f>IFERROR(HLOOKUP(GI1,'Processing Count'!$H$27:$GZ$62,34,0),0)+IFERROR(HLOOKUP(GI1,'Processing Count'!$H$1:$GZ$25,25,0),0)</f>
        <v>0</v>
      </c>
      <c r="GJ5" s="141">
        <f>IFERROR(HLOOKUP(GJ1,'Processing Count'!$H$27:$GZ$62,34,0),0)+IFERROR(HLOOKUP(GJ1,'Processing Count'!$H$1:$GZ$25,25,0),0)</f>
        <v>0</v>
      </c>
      <c r="GK5" s="141">
        <f>IFERROR(HLOOKUP(GK1,'Processing Count'!$H$27:$GZ$62,34,0),0)+IFERROR(HLOOKUP(GK1,'Processing Count'!$H$1:$GZ$25,25,0),0)</f>
        <v>0</v>
      </c>
      <c r="GL5" s="141">
        <f>IFERROR(HLOOKUP(GL1,'Processing Count'!$H$27:$GZ$62,34,0),0)+IFERROR(HLOOKUP(GL1,'Processing Count'!$H$1:$GZ$25,25,0),0)</f>
        <v>0</v>
      </c>
      <c r="GM5" s="141">
        <f>IFERROR(HLOOKUP(GM1,'Processing Count'!$H$27:$GZ$62,34,0),0)+IFERROR(HLOOKUP(GM1,'Processing Count'!$H$1:$GZ$25,25,0),0)</f>
        <v>1052.25</v>
      </c>
      <c r="GN5" s="141">
        <f>IFERROR(HLOOKUP(GN1,'Processing Count'!$H$27:$GZ$62,34,0),0)+IFERROR(HLOOKUP(GN1,'Processing Count'!$H$1:$GZ$25,25,0),0)</f>
        <v>64</v>
      </c>
      <c r="GO5" s="141">
        <f>IFERROR(HLOOKUP(GO1,'Processing Count'!$H$27:$GZ$62,34,0),0)+IFERROR(HLOOKUP(GO1,'Processing Count'!$H$1:$GZ$25,25,0),0)</f>
        <v>1287.7</v>
      </c>
      <c r="GP5" s="141">
        <f>IFERROR(HLOOKUP(GP1,'Processing Count'!$H$27:$GZ$62,34,0),0)+IFERROR(HLOOKUP(GP1,'Processing Count'!$H$1:$GZ$25,25,0),0)</f>
        <v>0</v>
      </c>
      <c r="GQ5" s="141">
        <f>IFERROR(HLOOKUP(GQ1,'Processing Count'!$H$27:$GZ$62,34,0),0)+IFERROR(HLOOKUP(GQ1,'Processing Count'!$H$1:$GZ$25,25,0),0)</f>
        <v>0</v>
      </c>
      <c r="GR5" s="141">
        <f>IFERROR(HLOOKUP(GR1,'Processing Count'!$H$27:$GZ$62,34,0),0)+IFERROR(HLOOKUP(GR1,'Processing Count'!$H$1:$GZ$25,25,0),0)</f>
        <v>0</v>
      </c>
    </row>
    <row r="6" spans="1:200">
      <c r="A6" s="143" t="s">
        <v>215</v>
      </c>
      <c r="B6" s="163">
        <f t="shared" si="0"/>
        <v>39748.25</v>
      </c>
      <c r="C6" s="141">
        <f>IFERROR(HLOOKUP(C1,'Payroll Datavant'!C1:FP6,6,0),0)</f>
        <v>0</v>
      </c>
      <c r="D6" s="141">
        <f>IFERROR(HLOOKUP(D1,'Payroll Datavant'!D1:FP6,6,0),0)</f>
        <v>1923.25</v>
      </c>
      <c r="E6" s="141">
        <f>IFERROR(HLOOKUP(E1,'Payroll Datavant'!E1:FP6,6,0),0)</f>
        <v>0</v>
      </c>
      <c r="F6" s="141">
        <f>IFERROR(HLOOKUP(F1,'Payroll Datavant'!F1:FP6,6,0),0)</f>
        <v>0</v>
      </c>
      <c r="G6" s="141">
        <f>IFERROR(HLOOKUP(G1,'Payroll Datavant'!G1:FP6,6,0),0)</f>
        <v>0</v>
      </c>
      <c r="H6" s="141">
        <f>IFERROR(HLOOKUP(H1,'Payroll Datavant'!H1:FP6,6,0),0)</f>
        <v>0</v>
      </c>
      <c r="I6" s="141">
        <f>IFERROR(HLOOKUP(I1,'Payroll Datavant'!I1:FP6,6,0),0)</f>
        <v>528.75</v>
      </c>
      <c r="J6" s="141">
        <f>IFERROR(HLOOKUP(J1,'Payroll Datavant'!J1:FP6,6,0),0)</f>
        <v>0</v>
      </c>
      <c r="K6" s="141">
        <f>IFERROR(HLOOKUP(K1,'Payroll Datavant'!K1:FP6,6,0),0)</f>
        <v>0</v>
      </c>
      <c r="L6" s="141">
        <f>IFERROR(HLOOKUP(L1,'Payroll Datavant'!L1:FP6,6,0),0)</f>
        <v>157.5</v>
      </c>
      <c r="M6" s="141">
        <f>IFERROR(HLOOKUP(M1,'Payroll Datavant'!M1:FP6,6,0),0)</f>
        <v>0</v>
      </c>
      <c r="N6" s="141">
        <f>IFERROR(HLOOKUP(N1,'Payroll Datavant'!N1:FP6,6,0),0)</f>
        <v>0</v>
      </c>
      <c r="O6" s="141">
        <f>IFERROR(HLOOKUP(O1,'Payroll Datavant'!O1:FP6,6,0),0)</f>
        <v>0</v>
      </c>
      <c r="P6" s="141">
        <f>IFERROR(HLOOKUP(P1,'Payroll Datavant'!P1:FP6,6,0),0)</f>
        <v>0</v>
      </c>
      <c r="Q6" s="141">
        <f>IFERROR(HLOOKUP(Q1,'Payroll Datavant'!Q1:FP6,6,0),0)</f>
        <v>0</v>
      </c>
      <c r="R6" s="141">
        <f>IFERROR(HLOOKUP(R1,'Payroll Datavant'!R1:FP6,6,0),0)</f>
        <v>0</v>
      </c>
      <c r="S6" s="141">
        <f>IFERROR(HLOOKUP(S1,'Payroll Datavant'!S1:FP6,6,0),0)</f>
        <v>0</v>
      </c>
      <c r="T6" s="141">
        <f>IFERROR(HLOOKUP(T1,'Payroll Datavant'!T1:FP6,6,0),0)</f>
        <v>0</v>
      </c>
      <c r="U6" s="141">
        <f>IFERROR(HLOOKUP(U1,'Payroll Datavant'!U1:FP6,6,0),0)</f>
        <v>0</v>
      </c>
      <c r="V6" s="141">
        <f>IFERROR(HLOOKUP(V1,'Payroll Datavant'!V1:FP6,6,0),0)</f>
        <v>496</v>
      </c>
      <c r="W6" s="141">
        <f>IFERROR(HLOOKUP(W1,'Payroll Datavant'!W1:FP6,6,0),0)</f>
        <v>0</v>
      </c>
      <c r="X6" s="141">
        <f>IFERROR(HLOOKUP(X1,'Payroll Datavant'!X1:FP6,6,0),0)</f>
        <v>0</v>
      </c>
      <c r="Y6" s="141">
        <f>IFERROR(HLOOKUP(Y1,'Payroll Datavant'!Y1:FP6,6,0),0)</f>
        <v>0</v>
      </c>
      <c r="Z6" s="141">
        <f>IFERROR(HLOOKUP(Z1,'Payroll Datavant'!Z1:FP6,6,0),0)</f>
        <v>0</v>
      </c>
      <c r="AA6" s="141">
        <f>IFERROR(HLOOKUP(AA1,'Payroll Datavant'!AA1:FP6,6,0),0)</f>
        <v>0</v>
      </c>
      <c r="AB6" s="141">
        <f>IFERROR(HLOOKUP(AB1,'Payroll Datavant'!AB1:FP6,6,0),0)</f>
        <v>17.5</v>
      </c>
      <c r="AC6" s="141">
        <f>IFERROR(HLOOKUP(AC1,'Payroll Datavant'!AC1:FP6,6,0),0)</f>
        <v>0</v>
      </c>
      <c r="AD6" s="141">
        <f>IFERROR(HLOOKUP(AD1,'Payroll Datavant'!AD1:FP6,6,0),0)</f>
        <v>353.25</v>
      </c>
      <c r="AE6" s="141">
        <f>IFERROR(HLOOKUP(AE1,'Payroll Datavant'!AE1:FP6,6,0),0)</f>
        <v>0</v>
      </c>
      <c r="AF6" s="141">
        <f>IFERROR(HLOOKUP(AF1,'Payroll Datavant'!AF1:FP6,6,0),0)</f>
        <v>0</v>
      </c>
      <c r="AG6" s="141">
        <f>IFERROR(HLOOKUP(AG1,'Payroll Datavant'!AG1:FP6,6,0),0)</f>
        <v>0</v>
      </c>
      <c r="AH6" s="141">
        <f>IFERROR(HLOOKUP(AH1,'Payroll Datavant'!AH1:FP6,6,0),0)</f>
        <v>1167.25</v>
      </c>
      <c r="AI6" s="141">
        <f>IFERROR(HLOOKUP(AI1,'Payroll Datavant'!AI1:FP6,6,0),0)</f>
        <v>2050</v>
      </c>
      <c r="AJ6" s="141">
        <f>IFERROR(HLOOKUP(AJ1,'Payroll Datavant'!AJ1:FP6,6,0),0)</f>
        <v>367</v>
      </c>
      <c r="AK6" s="141">
        <f>IFERROR(HLOOKUP(AK1,'Payroll Datavant'!AK1:FP6,6,0),0)</f>
        <v>314</v>
      </c>
      <c r="AL6" s="141">
        <f>IFERROR(HLOOKUP(AL1,'Payroll Datavant'!AL1:FP6,6,0),0)</f>
        <v>1657.5</v>
      </c>
      <c r="AM6" s="141">
        <f>IFERROR(HLOOKUP(AM1,'Payroll Datavant'!AM1:FP6,6,0),0)</f>
        <v>0</v>
      </c>
      <c r="AN6" s="141">
        <f>IFERROR(HLOOKUP(AN1,'Payroll Datavant'!AN1:FP6,6,0),0)</f>
        <v>0</v>
      </c>
      <c r="AO6" s="141">
        <f>IFERROR(HLOOKUP(AO1,'Payroll Datavant'!AO1:FP6,6,0),0)</f>
        <v>0</v>
      </c>
      <c r="AP6" s="141">
        <f>IFERROR(HLOOKUP(AP1,'Payroll Datavant'!AP1:FP6,6,0),0)</f>
        <v>0</v>
      </c>
      <c r="AQ6" s="141">
        <f>IFERROR(HLOOKUP(AQ1,'Payroll Datavant'!AQ1:FP6,6,0),0)</f>
        <v>599.75</v>
      </c>
      <c r="AR6" s="141">
        <f>IFERROR(HLOOKUP(AR1,'Payroll Datavant'!AR1:FP6,6,0),0)</f>
        <v>514.25</v>
      </c>
      <c r="AS6" s="141">
        <f>IFERROR(HLOOKUP(AS1,'Payroll Datavant'!AS1:FP6,6,0),0)</f>
        <v>564.75</v>
      </c>
      <c r="AT6" s="141">
        <f>IFERROR(HLOOKUP(AT1,'Payroll Datavant'!AT1:FP6,6,0),0)</f>
        <v>0</v>
      </c>
      <c r="AU6" s="141">
        <f>IFERROR(HLOOKUP(AU1,'Payroll Datavant'!AU1:FP6,6,0),0)</f>
        <v>0</v>
      </c>
      <c r="AV6" s="141">
        <f>IFERROR(HLOOKUP(AV1,'Payroll Datavant'!AV1:FP6,6,0),0)</f>
        <v>0</v>
      </c>
      <c r="AW6" s="141">
        <f>IFERROR(HLOOKUP(AW1,'Payroll Datavant'!AW1:FP6,6,0),0)</f>
        <v>0</v>
      </c>
      <c r="AX6" s="141">
        <f>IFERROR(HLOOKUP(AX1,'Payroll Datavant'!AX1:FP6,6,0),0)</f>
        <v>0</v>
      </c>
      <c r="AY6" s="141">
        <f>IFERROR(HLOOKUP(AY1,'Payroll Datavant'!AY1:FP6,6,0),0)</f>
        <v>0</v>
      </c>
      <c r="AZ6" s="141">
        <f>IFERROR(HLOOKUP(AZ1,'Payroll Datavant'!AZ1:FP6,6,0),0)</f>
        <v>0</v>
      </c>
      <c r="BA6" s="141">
        <f>IFERROR(HLOOKUP(BA1,'Payroll Datavant'!BA1:FP6,6,0),0)</f>
        <v>0</v>
      </c>
      <c r="BB6" s="141">
        <f>IFERROR(HLOOKUP(BB1,'Payroll Datavant'!BB1:FP6,6,0),0)</f>
        <v>2285.25</v>
      </c>
      <c r="BC6" s="141">
        <f>IFERROR(HLOOKUP(BC1,'Payroll Datavant'!BC1:FP6,6,0),0)</f>
        <v>0</v>
      </c>
      <c r="BD6" s="141">
        <f>IFERROR(HLOOKUP(BD1,'Payroll Datavant'!BD1:FP6,6,0),0)</f>
        <v>0</v>
      </c>
      <c r="BE6" s="141">
        <f>IFERROR(HLOOKUP(BE1,'Payroll Datavant'!BE1:FP6,6,0),0)</f>
        <v>249</v>
      </c>
      <c r="BF6" s="141">
        <f>IFERROR(HLOOKUP(BF1,'Payroll Datavant'!BF1:FP6,6,0),0)</f>
        <v>0</v>
      </c>
      <c r="BG6" s="141">
        <f>IFERROR(HLOOKUP(BG1,'Payroll Datavant'!BG1:FP6,6,0),0)</f>
        <v>0</v>
      </c>
      <c r="BH6" s="141">
        <f>IFERROR(HLOOKUP(BH1,'Payroll Datavant'!BH1:FP6,6,0),0)</f>
        <v>0</v>
      </c>
      <c r="BI6" s="141">
        <f>IFERROR(HLOOKUP(BI1,'Payroll Datavant'!BI1:FP6,6,0),0)</f>
        <v>0</v>
      </c>
      <c r="BJ6" s="141">
        <f>IFERROR(HLOOKUP(BJ1,'Payroll Datavant'!BJ1:FP6,6,0),0)</f>
        <v>0</v>
      </c>
      <c r="BK6" s="141">
        <f>IFERROR(HLOOKUP(BK1,'Payroll Datavant'!BK1:FP6,6,0),0)</f>
        <v>0</v>
      </c>
      <c r="BL6" s="141">
        <f>IFERROR(HLOOKUP(BL1,'Payroll Datavant'!BL1:FP6,6,0),0)</f>
        <v>0</v>
      </c>
      <c r="BM6" s="141">
        <f>IFERROR(HLOOKUP(BM1,'Payroll Datavant'!BM1:FP6,6,0),0)</f>
        <v>931.75</v>
      </c>
      <c r="BN6" s="141">
        <f>IFERROR(HLOOKUP(BN1,'Payroll Datavant'!BN1:FP6,6,0),0)</f>
        <v>0</v>
      </c>
      <c r="BO6" s="141">
        <f>IFERROR(HLOOKUP(BO1,'Payroll Datavant'!BO1:FP6,6,0),0)</f>
        <v>0</v>
      </c>
      <c r="BP6" s="141">
        <f>IFERROR(HLOOKUP(BP1,'Payroll Datavant'!BP1:FP6,6,0),0)</f>
        <v>485.5</v>
      </c>
      <c r="BQ6" s="141">
        <f>IFERROR(HLOOKUP(BQ1,'Payroll Datavant'!BQ1:FP6,6,0),0)</f>
        <v>0</v>
      </c>
      <c r="BR6" s="141">
        <f>IFERROR(HLOOKUP(BR1,'Payroll Datavant'!BR1:FP6,6,0),0)</f>
        <v>0</v>
      </c>
      <c r="BS6" s="141">
        <f>IFERROR(HLOOKUP(BS1,'Payroll Datavant'!BS1:FP6,6,0),0)</f>
        <v>0</v>
      </c>
      <c r="BT6" s="141">
        <f>IFERROR(HLOOKUP(BT1,'Payroll Datavant'!BT1:FP6,6,0),0)</f>
        <v>0</v>
      </c>
      <c r="BU6" s="141">
        <f>IFERROR(HLOOKUP(BU1,'Payroll Datavant'!BU1:FP6,6,0),0)</f>
        <v>121.75</v>
      </c>
      <c r="BV6" s="141">
        <f>IFERROR(HLOOKUP(BV1,'Payroll Datavant'!BV1:FP6,6,0),0)</f>
        <v>0</v>
      </c>
      <c r="BW6" s="141">
        <f>IFERROR(HLOOKUP(BW1,'Payroll Datavant'!BW1:FP6,6,0),0)</f>
        <v>0</v>
      </c>
      <c r="BX6" s="141">
        <f>IFERROR(HLOOKUP(BX1,'Payroll Datavant'!BX1:FP6,6,0),0)</f>
        <v>0</v>
      </c>
      <c r="BY6" s="141">
        <f>IFERROR(HLOOKUP(BY1,'Payroll Datavant'!BY1:FP6,6,0),0)</f>
        <v>0</v>
      </c>
      <c r="BZ6" s="141">
        <f>IFERROR(HLOOKUP(BZ1,'Payroll Datavant'!BZ1:FP6,6,0),0)</f>
        <v>0</v>
      </c>
      <c r="CA6" s="141">
        <f>IFERROR(HLOOKUP(CA1,'Payroll Datavant'!CA1:FP6,6,0),0)</f>
        <v>386.5</v>
      </c>
      <c r="CB6" s="141">
        <f>IFERROR(HLOOKUP(CB1,'Payroll Datavant'!CB1:FP6,6,0),0)</f>
        <v>0</v>
      </c>
      <c r="CC6" s="141">
        <f>IFERROR(HLOOKUP(CC1,'Payroll Datavant'!CC1:FP6,6,0),0)</f>
        <v>0</v>
      </c>
      <c r="CD6" s="141">
        <f>IFERROR(HLOOKUP(CD1,'Payroll Datavant'!CD1:FP6,6,0),0)</f>
        <v>366.75</v>
      </c>
      <c r="CE6" s="141">
        <f>IFERROR(HLOOKUP(CE1,'Payroll Datavant'!CE1:FP6,6,0),0)</f>
        <v>0</v>
      </c>
      <c r="CF6" s="141">
        <f>IFERROR(HLOOKUP(CF1,'Payroll Datavant'!CF1:FP6,6,0),0)</f>
        <v>0</v>
      </c>
      <c r="CG6" s="141">
        <f>IFERROR(HLOOKUP(CG1,'Payroll Datavant'!CG1:FP6,6,0),0)</f>
        <v>0</v>
      </c>
      <c r="CH6" s="141">
        <f>IFERROR(HLOOKUP(CH1,'Payroll Datavant'!CH1:FP6,6,0),0)</f>
        <v>1518</v>
      </c>
      <c r="CI6" s="141">
        <f>IFERROR(HLOOKUP(CI1,'Payroll Datavant'!CI1:FP6,6,0),0)</f>
        <v>107.5</v>
      </c>
      <c r="CJ6" s="141">
        <f>IFERROR(HLOOKUP(CJ1,'Payroll Datavant'!CJ1:FP6,6,0),0)</f>
        <v>0</v>
      </c>
      <c r="CK6" s="141">
        <f>IFERROR(HLOOKUP(CK1,'Payroll Datavant'!CK1:FP6,6,0),0)</f>
        <v>0</v>
      </c>
      <c r="CL6" s="141">
        <f>IFERROR(HLOOKUP(CL1,'Payroll Datavant'!CL1:FP6,6,0),0)</f>
        <v>0</v>
      </c>
      <c r="CM6" s="141">
        <f>IFERROR(HLOOKUP(CM1,'Payroll Datavant'!CM1:FP6,6,0),0)</f>
        <v>0</v>
      </c>
      <c r="CN6" s="141">
        <f>IFERROR(HLOOKUP(CN1,'Payroll Datavant'!CN1:FP6,6,0),0)</f>
        <v>32.75</v>
      </c>
      <c r="CO6" s="141">
        <f>IFERROR(HLOOKUP(CO1,'Payroll Datavant'!CO1:FP6,6,0),0)</f>
        <v>1194.25</v>
      </c>
      <c r="CP6" s="141">
        <f>IFERROR(HLOOKUP(CP1,'Payroll Datavant'!CP1:FP6,6,0),0)</f>
        <v>1290</v>
      </c>
      <c r="CQ6" s="141">
        <f>IFERROR(HLOOKUP(CQ1,'Payroll Datavant'!CQ1:FP6,6,0),0)</f>
        <v>230.75</v>
      </c>
      <c r="CR6" s="141">
        <f>IFERROR(HLOOKUP(CR1,'Payroll Datavant'!CR1:FP6,6,0),0)</f>
        <v>0</v>
      </c>
      <c r="CS6" s="141">
        <f>IFERROR(HLOOKUP(CS1,'Payroll Datavant'!CS1:FP6,6,0),0)</f>
        <v>0</v>
      </c>
      <c r="CT6" s="141">
        <f>IFERROR(HLOOKUP(CT1,'Payroll Datavant'!CT1:FP6,6,0),0)</f>
        <v>125.25</v>
      </c>
      <c r="CU6" s="141">
        <f>IFERROR(HLOOKUP(CU1,'Payroll Datavant'!CU1:FP6,6,0),0)</f>
        <v>567.25</v>
      </c>
      <c r="CV6" s="141">
        <f>IFERROR(HLOOKUP(CV1,'Payroll Datavant'!CV1:FP6,6,0),0)</f>
        <v>0</v>
      </c>
      <c r="CW6" s="141">
        <f>IFERROR(HLOOKUP(CW1,'Payroll Datavant'!CW1:FP6,6,0),0)</f>
        <v>0</v>
      </c>
      <c r="CX6" s="141">
        <f>IFERROR(HLOOKUP(CX1,'Payroll Datavant'!CX1:FP6,6,0),0)</f>
        <v>0</v>
      </c>
      <c r="CY6" s="141">
        <f>IFERROR(HLOOKUP(CY1,'Payroll Datavant'!CY1:FP6,6,0),0)</f>
        <v>0</v>
      </c>
      <c r="CZ6" s="141">
        <f>IFERROR(HLOOKUP(CZ1,'Payroll Datavant'!CZ1:FP6,6,0),0)</f>
        <v>0</v>
      </c>
      <c r="DA6" s="141">
        <f>IFERROR(HLOOKUP(DA1,'Payroll Datavant'!DA1:FP6,6,0),0)</f>
        <v>3752.75</v>
      </c>
      <c r="DB6" s="141">
        <f>IFERROR(HLOOKUP(DB1,'Payroll Datavant'!DB1:FP6,6,0),0)</f>
        <v>0</v>
      </c>
      <c r="DC6" s="141">
        <f>IFERROR(HLOOKUP(DC1,'Payroll Datavant'!DC1:FP6,6,0),0)</f>
        <v>695.5</v>
      </c>
      <c r="DD6" s="141">
        <f>IFERROR(HLOOKUP(DD1,'Payroll Datavant'!DD1:FP6,6,0),0)</f>
        <v>691.5</v>
      </c>
      <c r="DE6" s="141">
        <f>IFERROR(HLOOKUP(DE1,'Payroll Datavant'!DE1:FP6,6,0),0)</f>
        <v>22.5</v>
      </c>
      <c r="DF6" s="141">
        <f>IFERROR(HLOOKUP(DF1,'Payroll Datavant'!DF1:FP6,6,0),0)</f>
        <v>0</v>
      </c>
      <c r="DG6" s="141">
        <f>IFERROR(HLOOKUP(DG1,'Payroll Datavant'!DG1:FP6,6,0),0)</f>
        <v>0</v>
      </c>
      <c r="DH6" s="141">
        <f>IFERROR(HLOOKUP(DH1,'Payroll Datavant'!DH1:FP6,6,0),0)</f>
        <v>0</v>
      </c>
      <c r="DI6" s="141">
        <f>IFERROR(HLOOKUP(DI1,'Payroll Datavant'!DI1:FP6,6,0),0)</f>
        <v>0</v>
      </c>
      <c r="DJ6" s="141">
        <f>IFERROR(HLOOKUP(DJ1,'Payroll Datavant'!DJ1:FP6,6,0),0)</f>
        <v>0</v>
      </c>
      <c r="DK6" s="141">
        <f>IFERROR(HLOOKUP(DK1,'Payroll Datavant'!DK1:FP6,6,0),0)</f>
        <v>0</v>
      </c>
      <c r="DL6" s="141">
        <f>IFERROR(HLOOKUP(DL1,'Payroll Datavant'!DL1:FP6,6,0),0)</f>
        <v>613.25</v>
      </c>
      <c r="DM6" s="141">
        <f>IFERROR(HLOOKUP(DM1,'Payroll Datavant'!DM1:FP6,6,0),0)</f>
        <v>207</v>
      </c>
      <c r="DN6" s="141">
        <f>IFERROR(HLOOKUP(DN1,'Payroll Datavant'!DN1:FP6,6,0),0)</f>
        <v>0</v>
      </c>
      <c r="DO6" s="141">
        <f>IFERROR(HLOOKUP(DO1,'Payroll Datavant'!DO1:FP6,6,0),0)</f>
        <v>156.25</v>
      </c>
      <c r="DP6" s="141">
        <f>IFERROR(HLOOKUP(DP1,'Payroll Datavant'!DP1:FP6,6,0),0)</f>
        <v>0</v>
      </c>
      <c r="DQ6" s="141">
        <f>IFERROR(HLOOKUP(DQ1,'Payroll Datavant'!DQ1:FP6,6,0),0)</f>
        <v>0</v>
      </c>
      <c r="DR6" s="141">
        <f>IFERROR(HLOOKUP(DR1,'Payroll Datavant'!DR1:FP6,6,0),0)</f>
        <v>0</v>
      </c>
      <c r="DS6" s="141">
        <f>IFERROR(HLOOKUP(DS1,'Payroll Datavant'!DS1:FP6,6,0),0)</f>
        <v>0</v>
      </c>
      <c r="DT6" s="141">
        <f>IFERROR(HLOOKUP(DT1,'Payroll Datavant'!DT1:FP6,6,0),0)</f>
        <v>0</v>
      </c>
      <c r="DU6" s="141">
        <f>IFERROR(HLOOKUP(DU1,'Payroll Datavant'!DU1:FP6,6,0),0)</f>
        <v>0</v>
      </c>
      <c r="DV6" s="141">
        <f>IFERROR(HLOOKUP(DV1,'Payroll Datavant'!DV1:FP6,6,0),0)</f>
        <v>0</v>
      </c>
      <c r="DW6" s="141">
        <f>IFERROR(HLOOKUP(DW1,'Payroll Datavant'!DW1:FP6,6,0),0)</f>
        <v>0</v>
      </c>
      <c r="DX6" s="141">
        <f>IFERROR(HLOOKUP(DX1,'Payroll Datavant'!DX1:FP6,6,0),0)</f>
        <v>736.75</v>
      </c>
      <c r="DY6" s="141">
        <f>IFERROR(HLOOKUP(DY1,'Payroll Datavant'!DY1:FP6,6,0),0)</f>
        <v>0</v>
      </c>
      <c r="DZ6" s="141">
        <f>IFERROR(HLOOKUP(DZ1,'Payroll Datavant'!DZ1:FP6,6,0),0)</f>
        <v>0</v>
      </c>
      <c r="EA6" s="141">
        <f>IFERROR(HLOOKUP(EA1,'Payroll Datavant'!EA1:FP6,6,0),0)</f>
        <v>0</v>
      </c>
      <c r="EB6" s="141">
        <f>IFERROR(HLOOKUP(EB1,'Payroll Datavant'!EB1:FP6,6,0),0)</f>
        <v>0</v>
      </c>
      <c r="EC6" s="141">
        <f>IFERROR(HLOOKUP(EC1,'Payroll Datavant'!EC1:FP6,6,0),0)</f>
        <v>256.25</v>
      </c>
      <c r="ED6" s="141">
        <f>IFERROR(HLOOKUP(ED1,'Payroll Datavant'!ED1:FP6,6,0),0)</f>
        <v>273.75</v>
      </c>
      <c r="EE6" s="141">
        <f>IFERROR(HLOOKUP(EE1,'Payroll Datavant'!EE1:FP6,6,0),0)</f>
        <v>0</v>
      </c>
      <c r="EF6" s="141">
        <f>IFERROR(HLOOKUP(EF1,'Payroll Datavant'!EF1:FP6,6,0),0)</f>
        <v>0</v>
      </c>
      <c r="EG6" s="141">
        <f>IFERROR(HLOOKUP(EG1,'Payroll Datavant'!EG1:FP6,6,0),0)</f>
        <v>541.5</v>
      </c>
      <c r="EH6" s="141">
        <f>IFERROR(HLOOKUP(EH1,'Payroll Datavant'!EH1:FP6,6,0),0)</f>
        <v>0</v>
      </c>
      <c r="EI6" s="141">
        <f>IFERROR(HLOOKUP(EI1,'Payroll Datavant'!EI1:FP6,6,0),0)</f>
        <v>0</v>
      </c>
      <c r="EJ6" s="141">
        <f>IFERROR(HLOOKUP(EJ1,'Payroll Datavant'!EJ1:FP6,6,0),0)</f>
        <v>429</v>
      </c>
      <c r="EK6" s="141">
        <f>IFERROR(HLOOKUP(EK1,'Payroll Datavant'!EK1:FP6,6,0),0)</f>
        <v>0</v>
      </c>
      <c r="EL6" s="141">
        <f>IFERROR(HLOOKUP(EL1,'Payroll Datavant'!EL1:FP6,6,0),0)</f>
        <v>0</v>
      </c>
      <c r="EM6" s="141">
        <f>IFERROR(HLOOKUP(EM1,'Payroll Datavant'!EM1:FP6,6,0),0)</f>
        <v>0</v>
      </c>
      <c r="EN6" s="141">
        <f>IFERROR(HLOOKUP(EN1,'Payroll Datavant'!EN1:FP6,6,0),0)</f>
        <v>0</v>
      </c>
      <c r="EO6" s="141">
        <f>IFERROR(HLOOKUP(EO1,'Payroll Datavant'!EO1:FP6,6,0),0)</f>
        <v>0</v>
      </c>
      <c r="EP6" s="141">
        <f>IFERROR(HLOOKUP(EP1,'Payroll Datavant'!EP1:FP6,6,0),0)</f>
        <v>0</v>
      </c>
      <c r="EQ6" s="141">
        <f>IFERROR(HLOOKUP(EQ1,'Payroll Datavant'!EQ1:FP6,6,0),0)</f>
        <v>0</v>
      </c>
      <c r="ER6" s="141">
        <f>IFERROR(HLOOKUP(ER1,'Payroll Datavant'!ER1:FP6,6,0),0)</f>
        <v>0</v>
      </c>
      <c r="ES6" s="141">
        <f>IFERROR(HLOOKUP(ES1,'Payroll Datavant'!ES1:FP6,6,0),0)</f>
        <v>866.25</v>
      </c>
      <c r="ET6" s="141">
        <f>IFERROR(HLOOKUP(ET1,'Payroll Datavant'!ET1:FP6,6,0),0)</f>
        <v>0</v>
      </c>
      <c r="EU6" s="141">
        <f>IFERROR(HLOOKUP(EU1,'Payroll Datavant'!EU1:FP6,6,0),0)</f>
        <v>0</v>
      </c>
      <c r="EV6" s="141">
        <f>IFERROR(HLOOKUP(EV1,'Payroll Datavant'!EV1:FP6,6,0),0)</f>
        <v>0</v>
      </c>
      <c r="EW6" s="141">
        <f>IFERROR(HLOOKUP(EW1,'Payroll Datavant'!EW1:FP6,6,0),0)</f>
        <v>0</v>
      </c>
      <c r="EX6" s="141">
        <f>IFERROR(HLOOKUP(EX1,'Payroll Datavant'!EX1:FP6,6,0),0)</f>
        <v>402.25</v>
      </c>
      <c r="EY6" s="141">
        <f>IFERROR(HLOOKUP(EY1,'Payroll Datavant'!EY1:FP6,6,0),0)</f>
        <v>0</v>
      </c>
      <c r="EZ6" s="141">
        <f>IFERROR(HLOOKUP(EZ1,'Payroll Datavant'!EZ1:FP6,6,0),0)</f>
        <v>714.5</v>
      </c>
      <c r="FA6" s="141">
        <f>IFERROR(HLOOKUP(FA1,'Payroll Datavant'!FA1:FP6,6,0),0)</f>
        <v>1187</v>
      </c>
      <c r="FB6" s="141">
        <f>IFERROR(HLOOKUP(FB1,'Payroll Datavant'!FB1:FP6,6,0),0)</f>
        <v>0</v>
      </c>
      <c r="FC6" s="141">
        <f>IFERROR(HLOOKUP(FC1,'Payroll Datavant'!FC1:FQ6,6,0),0)</f>
        <v>77.5</v>
      </c>
      <c r="FD6" s="141">
        <f>IFERROR(HLOOKUP(FD1,'Payroll Datavant'!FD1:FR6,6,0),0)</f>
        <v>195.75</v>
      </c>
      <c r="FE6" s="141">
        <f>IFERROR(HLOOKUP(FE1,'Payroll Datavant'!FE1:FS6,6,0),0)</f>
        <v>872.25</v>
      </c>
      <c r="FF6" s="141">
        <f>IFERROR(HLOOKUP(FF1,'Payroll Datavant'!FF1:FT6,6,0),0)</f>
        <v>0</v>
      </c>
      <c r="FG6" s="141">
        <f>IFERROR(HLOOKUP(FG1,'Payroll Datavant'!FG1:FU6,6,0),0)</f>
        <v>0</v>
      </c>
      <c r="FH6" s="141">
        <f>IFERROR(HLOOKUP(FH1,'Payroll Datavant'!FH1:FV6,6,0),0)</f>
        <v>0</v>
      </c>
      <c r="FI6" s="141">
        <f>IFERROR(HLOOKUP(FI1,'Payroll Datavant'!FI1:FW6,6,0),0)</f>
        <v>0</v>
      </c>
      <c r="FJ6" s="141">
        <f>IFERROR(HLOOKUP(FJ1,'Payroll Datavant'!FJ1:FX6,6,0),0)</f>
        <v>0</v>
      </c>
      <c r="FK6" s="141">
        <f>IFERROR(HLOOKUP(FK1,'Payroll Datavant'!FK1:FY6,6,0),0)</f>
        <v>0</v>
      </c>
      <c r="FL6" s="141">
        <f>IFERROR(HLOOKUP(FL1,'Payroll Datavant'!FL1:FZ6,6,0),0)</f>
        <v>484.75</v>
      </c>
      <c r="FM6" s="141">
        <f>IFERROR(HLOOKUP(FM1,'Payroll Datavant'!FM1:GA6,6,0),0)</f>
        <v>1626.5</v>
      </c>
      <c r="FN6" s="141">
        <f>IFERROR(HLOOKUP(FN1,'Payroll Datavant'!FN1:GB6,6,0),0)</f>
        <v>201.25</v>
      </c>
      <c r="FO6" s="141">
        <f>IFERROR(HLOOKUP(FO1,'Payroll Datavant'!FO1:GC6,6,0),0)</f>
        <v>0</v>
      </c>
      <c r="FP6" s="141">
        <f>IFERROR(HLOOKUP(FP1,'Payroll Datavant'!FP1:GD6,6,0),0)</f>
        <v>0</v>
      </c>
      <c r="FQ6" s="141">
        <f>IFERROR(HLOOKUP(FQ1,'Payroll Datavant'!FQ1:GE6,6,0),0)</f>
        <v>0</v>
      </c>
      <c r="FR6" s="141">
        <f>IFERROR(HLOOKUP(FR1,'Payroll Datavant'!FR1:GF6,6,0),0)</f>
        <v>0</v>
      </c>
      <c r="FS6" s="141">
        <f>IFERROR(HLOOKUP(FS1,'Payroll Datavant'!FS1:GG6,6,0),0)</f>
        <v>0</v>
      </c>
      <c r="FT6" s="141">
        <f>IFERROR(HLOOKUP(FT1,'Payroll Datavant'!FT1:GH6,6,0),0)</f>
        <v>0</v>
      </c>
      <c r="FU6" s="141">
        <f>IFERROR(HLOOKUP(FU1,'Payroll Datavant'!FU1:GI6,6,0),0)</f>
        <v>164.5</v>
      </c>
      <c r="FV6" s="141">
        <f>IFERROR(HLOOKUP(FV1,'Payroll Datavant'!FV1:GJ6,6,0),0)</f>
        <v>0</v>
      </c>
      <c r="FW6" s="141">
        <f>IFERROR(HLOOKUP(FW1,'Payroll Datavant'!FW1:GK6,6,0),0)</f>
        <v>0</v>
      </c>
      <c r="FX6" s="141">
        <f>IFERROR(HLOOKUP(FX1,'Payroll Datavant'!FX1:GL6,6,0),0)</f>
        <v>263</v>
      </c>
      <c r="FY6" s="141">
        <f>IFERROR(HLOOKUP(FY1,'Payroll Datavant'!FY1:GM6,6,0),0)</f>
        <v>0</v>
      </c>
      <c r="FZ6" s="141">
        <f>IFERROR(HLOOKUP(FZ1,'Payroll Datavant'!FZ1:GN6,6,0),0)</f>
        <v>749.5</v>
      </c>
      <c r="GA6" s="141">
        <f>IFERROR(HLOOKUP(GA1,'Payroll Datavant'!GA1:GO6,6,0),0)</f>
        <v>412</v>
      </c>
      <c r="GB6" s="141">
        <f>IFERROR(HLOOKUP(GB1,'Payroll Datavant'!GB1:GP6,6,0),0)</f>
        <v>0</v>
      </c>
      <c r="GC6" s="141">
        <f>IFERROR(HLOOKUP(GC1,'Payroll Datavant'!GC1:GQ6,6,0),0)</f>
        <v>0</v>
      </c>
      <c r="GD6" s="141">
        <f>IFERROR(HLOOKUP(GD1,'Payroll Datavant'!GD1:GR6,6,0),0)</f>
        <v>0</v>
      </c>
      <c r="GE6" s="141">
        <f>IFERROR(HLOOKUP(GE1,'Payroll Datavant'!GE1:GS6,6,0),0)</f>
        <v>935.5</v>
      </c>
      <c r="GF6" s="141">
        <f>IFERROR(HLOOKUP(GF1,'Payroll Datavant'!GF1:GT6,6,0),0)</f>
        <v>0</v>
      </c>
      <c r="GG6" s="141">
        <f>IFERROR(HLOOKUP(GG1,'Payroll Datavant'!GG1:GU6,6,0),0)</f>
        <v>0</v>
      </c>
      <c r="GH6" s="141">
        <f>IFERROR(HLOOKUP(GH1,'Payroll Datavant'!GH1:GV6,6,0),0)</f>
        <v>1616.75</v>
      </c>
      <c r="GI6" s="141">
        <f>IFERROR(HLOOKUP(GI1,'Payroll Datavant'!GI1:GW6,6,0),0)</f>
        <v>0</v>
      </c>
      <c r="GJ6" s="141">
        <f>IFERROR(HLOOKUP(GJ1,'Payroll Datavant'!GJ1:GX6,6,0),0)</f>
        <v>0</v>
      </c>
      <c r="GK6" s="141">
        <f>IFERROR(HLOOKUP(GK1,'Payroll Datavant'!GK1:GY6,6,0),0)</f>
        <v>0</v>
      </c>
      <c r="GL6" s="141">
        <f>IFERROR(HLOOKUP(GL1,'Payroll Datavant'!GL1:GZ6,6,0),0)</f>
        <v>0</v>
      </c>
      <c r="GM6" s="141">
        <f>IFERROR(HLOOKUP(GM1,'Payroll Datavant'!GM1:HA6,6,0),0)</f>
        <v>0</v>
      </c>
      <c r="GN6" s="141">
        <f>IFERROR(HLOOKUP(GN1,'Payroll Datavant'!GN1:HB6,6,0),0)</f>
        <v>0</v>
      </c>
      <c r="GO6" s="141">
        <f>IFERROR(HLOOKUP(GO1,'Payroll Datavant'!GO1:HC6,6,0),0)</f>
        <v>0</v>
      </c>
      <c r="GP6" s="141">
        <f>IFERROR(HLOOKUP(GP1,'Payroll Datavant'!GP1:HD6,6,0),0)</f>
        <v>0</v>
      </c>
      <c r="GQ6" s="141">
        <f>IFERROR(HLOOKUP(GQ1,'Payroll Datavant'!GQ1:HE6,6,0),0)</f>
        <v>0</v>
      </c>
      <c r="GR6" s="141">
        <f>IFERROR(HLOOKUP(GR1,'Payroll Datavant'!GR1:HF6,6,0),0)</f>
        <v>0</v>
      </c>
    </row>
    <row r="7" spans="1:200">
      <c r="A7" s="143" t="s">
        <v>216</v>
      </c>
      <c r="B7" s="163">
        <f t="shared" si="0"/>
        <v>7079.2000000000016</v>
      </c>
      <c r="C7" s="141">
        <f>IFERROR(HLOOKUP(C1,'Logging Payout count'!D1:FB30,30,0),0)</f>
        <v>0</v>
      </c>
      <c r="D7" s="141">
        <f>IFERROR(HLOOKUP(D1,'Logging Payout count'!E1:FC30,30,0),0)</f>
        <v>56.35</v>
      </c>
      <c r="E7" s="141">
        <f>IFERROR(HLOOKUP(E1,'Logging Payout count'!F1:FD30,30,0),0)</f>
        <v>0</v>
      </c>
      <c r="F7" s="141">
        <f>IFERROR(HLOOKUP(F1,'Logging Payout count'!G1:FE30,30,0),0)</f>
        <v>2.4000000000000004</v>
      </c>
      <c r="G7" s="141">
        <f>IFERROR(HLOOKUP(G1,'Logging Payout count'!H1:FF30,30,0),0)</f>
        <v>0</v>
      </c>
      <c r="H7" s="141">
        <f>IFERROR(HLOOKUP(H1,'Logging Payout count'!I1:FG30,30,0),0)</f>
        <v>0</v>
      </c>
      <c r="I7" s="141">
        <f>IFERROR(HLOOKUP(I1,'Logging Payout count'!J1:FH30,30,0),0)</f>
        <v>0</v>
      </c>
      <c r="J7" s="141">
        <f>IFERROR(HLOOKUP(J1,'Logging Payout count'!K1:FI30,30,0),0)</f>
        <v>0</v>
      </c>
      <c r="K7" s="141">
        <f>IFERROR(HLOOKUP(K1,'Logging Payout count'!L1:FJ30,30,0),0)</f>
        <v>0</v>
      </c>
      <c r="L7" s="141">
        <f>IFERROR(HLOOKUP(L1,'Logging Payout count'!M1:FK30,30,0),0)</f>
        <v>0</v>
      </c>
      <c r="M7" s="141">
        <f>IFERROR(HLOOKUP(M1,'Logging Payout count'!N1:FL30,30,0),0)</f>
        <v>63.150000000000006</v>
      </c>
      <c r="N7" s="141">
        <f>IFERROR(HLOOKUP(N1,'Logging Payout count'!O1:FM30,30,0),0)</f>
        <v>100.80000000000003</v>
      </c>
      <c r="O7" s="141">
        <f>IFERROR(HLOOKUP(O1,'Logging Payout count'!P1:FN30,30,0),0)</f>
        <v>0</v>
      </c>
      <c r="P7" s="141">
        <f>IFERROR(HLOOKUP(P1,'Logging Payout count'!Q1:FO30,30,0),0)</f>
        <v>0</v>
      </c>
      <c r="Q7" s="141">
        <f>IFERROR(HLOOKUP(Q1,'Logging Payout count'!R1:FP30,30,0),0)</f>
        <v>0</v>
      </c>
      <c r="R7" s="141">
        <f>IFERROR(HLOOKUP(R1,'Logging Payout count'!S1:FQ30,30,0),0)</f>
        <v>126.30000000000001</v>
      </c>
      <c r="S7" s="141">
        <f>IFERROR(HLOOKUP(S1,'Logging Payout count'!T1:FR30,30,0),0)</f>
        <v>150.15000000000012</v>
      </c>
      <c r="T7" s="141">
        <f>IFERROR(HLOOKUP(T1,'Logging Payout count'!U1:FS30,30,0),0)</f>
        <v>3.0000000000000004</v>
      </c>
      <c r="U7" s="141">
        <f>IFERROR(HLOOKUP(U1,'Logging Payout count'!V1:FT30,30,0),0)</f>
        <v>0</v>
      </c>
      <c r="V7" s="141">
        <f>IFERROR(HLOOKUP(V1,'Logging Payout count'!W1:FU30,30,0),0)</f>
        <v>0</v>
      </c>
      <c r="W7" s="141">
        <f>IFERROR(HLOOKUP(W1,'Logging Payout count'!X1:FV30,30,0),0)</f>
        <v>0</v>
      </c>
      <c r="X7" s="141">
        <f>IFERROR(HLOOKUP(X1,'Logging Payout count'!Y1:FW30,30,0),0)</f>
        <v>0</v>
      </c>
      <c r="Y7" s="141">
        <f>IFERROR(HLOOKUP(Y1,'Logging Payout count'!Z1:FX30,30,0),0)</f>
        <v>122.10000000000001</v>
      </c>
      <c r="Z7" s="141">
        <f>IFERROR(HLOOKUP(Z1,'Logging Payout count'!AA1:FY30,30,0),0)</f>
        <v>0</v>
      </c>
      <c r="AA7" s="141">
        <f>IFERROR(HLOOKUP(AA1,'Logging Payout count'!AB1:FZ30,30,0),0)</f>
        <v>0</v>
      </c>
      <c r="AB7" s="141">
        <f>IFERROR(HLOOKUP(AB1,'Logging Payout count'!AC1:GA30,30,0),0)</f>
        <v>0</v>
      </c>
      <c r="AC7" s="141">
        <f>IFERROR(HLOOKUP(AC1,'Logging Payout count'!AD1:GB30,30,0),0)</f>
        <v>153.15000000000003</v>
      </c>
      <c r="AD7" s="141">
        <f>IFERROR(HLOOKUP(AD1,'Logging Payout count'!AE1:GC30,30,0),0)</f>
        <v>18.450000000000003</v>
      </c>
      <c r="AE7" s="141">
        <f>IFERROR(HLOOKUP(AE1,'Logging Payout count'!AF1:GD30,30,0),0)</f>
        <v>0</v>
      </c>
      <c r="AF7" s="141">
        <f>IFERROR(HLOOKUP(AF1,'Logging Payout count'!AG1:GE30,30,0),0)</f>
        <v>0</v>
      </c>
      <c r="AG7" s="141">
        <f>IFERROR(HLOOKUP(AG1,'Logging Payout count'!AH1:GF30,30,0),0)</f>
        <v>7.3500000000000014</v>
      </c>
      <c r="AH7" s="141">
        <f>IFERROR(HLOOKUP(AH1,'Logging Payout count'!AI1:GG30,30,0),0)</f>
        <v>0</v>
      </c>
      <c r="AI7" s="141">
        <f>IFERROR(HLOOKUP(AI1,'Logging Payout count'!AJ1:GH30,30,0),0)</f>
        <v>0</v>
      </c>
      <c r="AJ7" s="141">
        <f>IFERROR(HLOOKUP(AJ1,'Logging Payout count'!AK1:GI30,30,0),0)</f>
        <v>15.600000000000001</v>
      </c>
      <c r="AK7" s="141">
        <f>IFERROR(HLOOKUP(AK1,'Logging Payout count'!AL1:GJ30,30,0),0)</f>
        <v>0</v>
      </c>
      <c r="AL7" s="141">
        <f>IFERROR(HLOOKUP(AL1,'Logging Payout count'!AM1:GK30,30,0),0)</f>
        <v>0</v>
      </c>
      <c r="AM7" s="141">
        <f>IFERROR(HLOOKUP(AM1,'Logging Payout count'!AN1:GL30,30,0),0)</f>
        <v>0</v>
      </c>
      <c r="AN7" s="141">
        <f>IFERROR(HLOOKUP(AN1,'Logging Payout count'!AO1:GM30,30,0),0)</f>
        <v>4.9500000000000011</v>
      </c>
      <c r="AO7" s="141">
        <f>IFERROR(HLOOKUP(AO1,'Logging Payout count'!AP1:GN30,30,0),0)</f>
        <v>0</v>
      </c>
      <c r="AP7" s="141">
        <f>IFERROR(HLOOKUP(AP1,'Logging Payout count'!AQ1:GO30,30,0),0)</f>
        <v>0</v>
      </c>
      <c r="AQ7" s="141">
        <f>IFERROR(HLOOKUP(AQ1,'Logging Payout count'!AR1:GP30,30,0),0)</f>
        <v>0</v>
      </c>
      <c r="AR7" s="141">
        <f>IFERROR(HLOOKUP(AR1,'Logging Payout count'!AS1:GQ30,30,0),0)</f>
        <v>0</v>
      </c>
      <c r="AS7" s="141">
        <f>IFERROR(HLOOKUP(AS1,'Logging Payout count'!AT1:GR30,30,0),0)</f>
        <v>0</v>
      </c>
      <c r="AT7" s="141">
        <f>IFERROR(HLOOKUP(AT1,'Logging Payout count'!AU1:GS30,30,0),0)</f>
        <v>25.650000000000006</v>
      </c>
      <c r="AU7" s="141">
        <f>IFERROR(HLOOKUP(AU1,'Logging Payout count'!AV1:GT30,30,0),0)</f>
        <v>10.8</v>
      </c>
      <c r="AV7" s="141">
        <f>IFERROR(HLOOKUP(AV1,'Logging Payout count'!AW1:GU30,30,0),0)</f>
        <v>123.90000000000002</v>
      </c>
      <c r="AW7" s="141">
        <f>IFERROR(HLOOKUP(AW1,'Logging Payout count'!AX1:GV30,30,0),0)</f>
        <v>169.65000000000003</v>
      </c>
      <c r="AX7" s="141">
        <f>IFERROR(HLOOKUP(AX1,'Logging Payout count'!AY1:GW30,30,0),0)</f>
        <v>8.7000000000000011</v>
      </c>
      <c r="AY7" s="141">
        <f>IFERROR(HLOOKUP(AY1,'Logging Payout count'!AZ1:GX30,30,0),0)</f>
        <v>0</v>
      </c>
      <c r="AZ7" s="141">
        <f>IFERROR(HLOOKUP(AZ1,'Logging Payout count'!BA1:GY30,30,0),0)</f>
        <v>206.10000000000002</v>
      </c>
      <c r="BA7" s="141">
        <f>IFERROR(HLOOKUP(BA1,'Logging Payout count'!BB1:GZ30,30,0),0)</f>
        <v>0</v>
      </c>
      <c r="BB7" s="141">
        <f>IFERROR(HLOOKUP(BB1,'Logging Payout count'!BC1:HA30,30,0),0)</f>
        <v>47.100000000000009</v>
      </c>
      <c r="BC7" s="141">
        <f>IFERROR(HLOOKUP(BC1,'Logging Payout count'!BD1:HB30,30,0),0)</f>
        <v>487.59999999999997</v>
      </c>
      <c r="BD7" s="141">
        <f>IFERROR(HLOOKUP(BD1,'Logging Payout count'!BE1:HC30,30,0),0)</f>
        <v>127.1</v>
      </c>
      <c r="BE7" s="141">
        <f>IFERROR(HLOOKUP(BE1,'Logging Payout count'!BF1:HD30,30,0),0)</f>
        <v>0</v>
      </c>
      <c r="BF7" s="141">
        <f>IFERROR(HLOOKUP(BF1,'Logging Payout count'!BG1:HE30,30,0),0)</f>
        <v>0</v>
      </c>
      <c r="BG7" s="141">
        <f>IFERROR(HLOOKUP(BG1,'Logging Payout count'!BH1:HF30,30,0),0)</f>
        <v>15.450000000000003</v>
      </c>
      <c r="BH7" s="141">
        <f>IFERROR(HLOOKUP(BH1,'Logging Payout count'!BI1:HG30,30,0),0)</f>
        <v>120.00000000000001</v>
      </c>
      <c r="BI7" s="141">
        <f>IFERROR(HLOOKUP(BI1,'Logging Payout count'!BJ1:HH30,30,0),0)</f>
        <v>0</v>
      </c>
      <c r="BJ7" s="141">
        <f>IFERROR(HLOOKUP(BJ1,'Logging Payout count'!BK1:HI30,30,0),0)</f>
        <v>0</v>
      </c>
      <c r="BK7" s="141">
        <f>IFERROR(HLOOKUP(BK1,'Logging Payout count'!BL1:HJ30,30,0),0)</f>
        <v>0</v>
      </c>
      <c r="BL7" s="141">
        <f>IFERROR(HLOOKUP(BL1,'Logging Payout count'!BM1:HK30,30,0),0)</f>
        <v>0</v>
      </c>
      <c r="BM7" s="141">
        <f>IFERROR(HLOOKUP(BM1,'Logging Payout count'!BN1:HL30,30,0),0)</f>
        <v>73.800000000000011</v>
      </c>
      <c r="BN7" s="141">
        <f>IFERROR(HLOOKUP(BN1,'Logging Payout count'!BO1:HM30,30,0),0)</f>
        <v>0</v>
      </c>
      <c r="BO7" s="141">
        <f>IFERROR(HLOOKUP(BO1,'Logging Payout count'!BP1:HN30,30,0),0)</f>
        <v>0</v>
      </c>
      <c r="BP7" s="141">
        <f>IFERROR(HLOOKUP(BP1,'Logging Payout count'!BQ1:HO30,30,0),0)</f>
        <v>0</v>
      </c>
      <c r="BQ7" s="141">
        <f>IFERROR(HLOOKUP(BQ1,'Logging Payout count'!BR1:HP30,30,0),0)</f>
        <v>0</v>
      </c>
      <c r="BR7" s="141">
        <f>IFERROR(HLOOKUP(BR1,'Logging Payout count'!BS1:HQ30,30,0),0)</f>
        <v>51.000000000000007</v>
      </c>
      <c r="BS7" s="141">
        <f>IFERROR(HLOOKUP(BS1,'Logging Payout count'!BT1:HR30,30,0),0)</f>
        <v>0</v>
      </c>
      <c r="BT7" s="141">
        <f>IFERROR(HLOOKUP(BT1,'Logging Payout count'!BU1:HS30,30,0),0)</f>
        <v>0</v>
      </c>
      <c r="BU7" s="141">
        <f>IFERROR(HLOOKUP(BU1,'Logging Payout count'!BV1:HT30,30,0),0)</f>
        <v>0</v>
      </c>
      <c r="BV7" s="141">
        <f>IFERROR(HLOOKUP(BV1,'Logging Payout count'!BW1:HU30,30,0),0)</f>
        <v>0</v>
      </c>
      <c r="BW7" s="141">
        <f>IFERROR(HLOOKUP(BW1,'Logging Payout count'!BX1:HV30,30,0),0)</f>
        <v>0</v>
      </c>
      <c r="BX7" s="141">
        <f>IFERROR(HLOOKUP(BX1,'Logging Payout count'!BY1:HW30,30,0),0)</f>
        <v>0</v>
      </c>
      <c r="BY7" s="141">
        <f>IFERROR(HLOOKUP(BY1,'Logging Payout count'!BZ1:HX30,30,0),0)</f>
        <v>13.200000000000003</v>
      </c>
      <c r="BZ7" s="141">
        <f>IFERROR(HLOOKUP(BZ1,'Logging Payout count'!CA1:HY30,30,0),0)</f>
        <v>0</v>
      </c>
      <c r="CA7" s="141">
        <f>IFERROR(HLOOKUP(CA1,'Logging Payout count'!CB1:HZ30,30,0),0)</f>
        <v>0</v>
      </c>
      <c r="CB7" s="141">
        <f>IFERROR(HLOOKUP(CB1,'Logging Payout count'!CC1:IA30,30,0),0)</f>
        <v>72.150000000000006</v>
      </c>
      <c r="CC7" s="141">
        <f>IFERROR(HLOOKUP(CC1,'Logging Payout count'!CD1:IB30,30,0),0)</f>
        <v>284.2</v>
      </c>
      <c r="CD7" s="141">
        <f>IFERROR(HLOOKUP(CD1,'Logging Payout count'!CE1:IC30,30,0),0)</f>
        <v>0</v>
      </c>
      <c r="CE7" s="141">
        <f>IFERROR(HLOOKUP(CE1,'Logging Payout count'!CF1:ID30,30,0),0)</f>
        <v>25.500000000000004</v>
      </c>
      <c r="CF7" s="141">
        <f>IFERROR(HLOOKUP(CF1,'Logging Payout count'!CG1:IE30,30,0),0)</f>
        <v>0</v>
      </c>
      <c r="CG7" s="141">
        <f>IFERROR(HLOOKUP(CG1,'Logging Payout count'!CH1:IF30,30,0),0)</f>
        <v>144.75000000000003</v>
      </c>
      <c r="CH7" s="141">
        <f>IFERROR(HLOOKUP(CH1,'Logging Payout count'!CI1:IG30,30,0),0)</f>
        <v>0</v>
      </c>
      <c r="CI7" s="141">
        <f>IFERROR(HLOOKUP(CI1,'Logging Payout count'!CJ1:IH30,30,0),0)</f>
        <v>0</v>
      </c>
      <c r="CJ7" s="141">
        <f>IFERROR(HLOOKUP(CJ1,'Logging Payout count'!CK1:II30,30,0),0)</f>
        <v>0</v>
      </c>
      <c r="CK7" s="141">
        <f>IFERROR(HLOOKUP(CK1,'Logging Payout count'!CL1:IJ30,30,0),0)</f>
        <v>0</v>
      </c>
      <c r="CL7" s="141">
        <f>IFERROR(HLOOKUP(CL1,'Logging Payout count'!CM1:IK30,30,0),0)</f>
        <v>0</v>
      </c>
      <c r="CM7" s="141">
        <f>IFERROR(HLOOKUP(CM1,'Logging Payout count'!CN1:IL30,30,0),0)</f>
        <v>120.90000000000002</v>
      </c>
      <c r="CN7" s="141">
        <f>IFERROR(HLOOKUP(CN1,'Logging Payout count'!CO1:IM30,30,0),0)</f>
        <v>3.6000000000000005</v>
      </c>
      <c r="CO7" s="141">
        <f>IFERROR(HLOOKUP(CO1,'Logging Payout count'!CP1:IN30,30,0),0)</f>
        <v>0</v>
      </c>
      <c r="CP7" s="141">
        <f>IFERROR(HLOOKUP(CP1,'Logging Payout count'!CQ1:IO30,30,0),0)</f>
        <v>0</v>
      </c>
      <c r="CQ7" s="141">
        <f>IFERROR(HLOOKUP(CQ1,'Logging Payout count'!CR1:IP30,30,0),0)</f>
        <v>0</v>
      </c>
      <c r="CR7" s="141">
        <f>IFERROR(HLOOKUP(CR1,'Logging Payout count'!CS1:IQ30,30,0),0)</f>
        <v>16.05</v>
      </c>
      <c r="CS7" s="141">
        <f>IFERROR(HLOOKUP(CS1,'Logging Payout count'!CT1:IR30,30,0),0)</f>
        <v>149.4</v>
      </c>
      <c r="CT7" s="141">
        <f>IFERROR(HLOOKUP(CT1,'Logging Payout count'!CU1:IS30,30,0),0)</f>
        <v>0</v>
      </c>
      <c r="CU7" s="141">
        <f>IFERROR(HLOOKUP(CU1,'Logging Payout count'!CV1:IT30,30,0),0)</f>
        <v>17.100000000000001</v>
      </c>
      <c r="CV7" s="141">
        <f>IFERROR(HLOOKUP(CV1,'Logging Payout count'!CW1:IU30,30,0),0)</f>
        <v>0</v>
      </c>
      <c r="CW7" s="141">
        <f>IFERROR(HLOOKUP(CW1,'Logging Payout count'!CX1:IV30,30,0),0)</f>
        <v>0</v>
      </c>
      <c r="CX7" s="141">
        <f>IFERROR(HLOOKUP(CX1,'Logging Payout count'!CY1:IW30,30,0),0)</f>
        <v>16.350000000000001</v>
      </c>
      <c r="CY7" s="141">
        <f>IFERROR(HLOOKUP(CY1,'Logging Payout count'!CZ1:IX30,30,0),0)</f>
        <v>85.050000000000011</v>
      </c>
      <c r="CZ7" s="141">
        <f>IFERROR(HLOOKUP(CZ1,'Logging Payout count'!DA1:IY30,30,0),0)</f>
        <v>111.90000000000002</v>
      </c>
      <c r="DA7" s="141">
        <f>IFERROR(HLOOKUP(DA1,'Logging Payout count'!DB1:IZ30,30,0),0)</f>
        <v>0</v>
      </c>
      <c r="DB7" s="141">
        <f>IFERROR(HLOOKUP(DB1,'Logging Payout count'!DC1:JA30,30,0),0)</f>
        <v>0</v>
      </c>
      <c r="DC7" s="141">
        <f>IFERROR(HLOOKUP(DC1,'Logging Payout count'!DD1:JB30,30,0),0)</f>
        <v>74.40000000000002</v>
      </c>
      <c r="DD7" s="141">
        <f>IFERROR(HLOOKUP(DD1,'Logging Payout count'!DE1:JC30,30,0),0)</f>
        <v>4.5000000000000009</v>
      </c>
      <c r="DE7" s="141">
        <f>IFERROR(HLOOKUP(DE1,'Logging Payout count'!DF1:JD30,30,0),0)</f>
        <v>0</v>
      </c>
      <c r="DF7" s="141">
        <f>IFERROR(HLOOKUP(DF1,'Logging Payout count'!DG1:JE30,30,0),0)</f>
        <v>0</v>
      </c>
      <c r="DG7" s="141">
        <f>IFERROR(HLOOKUP(DG1,'Logging Payout count'!DH1:JF30,30,0),0)</f>
        <v>0</v>
      </c>
      <c r="DH7" s="141">
        <f>IFERROR(HLOOKUP(DH1,'Logging Payout count'!DI1:JG30,30,0),0)</f>
        <v>0</v>
      </c>
      <c r="DI7" s="141">
        <f>IFERROR(HLOOKUP(DI1,'Logging Payout count'!DJ1:JH30,30,0),0)</f>
        <v>0</v>
      </c>
      <c r="DJ7" s="141">
        <f>IFERROR(HLOOKUP(DJ1,'Logging Payout count'!DK1:JI30,30,0),0)</f>
        <v>0</v>
      </c>
      <c r="DK7" s="141">
        <f>IFERROR(HLOOKUP(DK1,'Logging Payout count'!DL1:JJ30,30,0),0)</f>
        <v>37.95000000000001</v>
      </c>
      <c r="DL7" s="141">
        <f>IFERROR(HLOOKUP(DL1,'Logging Payout count'!DM1:JK30,30,0),0)</f>
        <v>0</v>
      </c>
      <c r="DM7" s="141">
        <f>IFERROR(HLOOKUP(DM1,'Logging Payout count'!DN1:JL30,30,0),0)</f>
        <v>220.05000000000004</v>
      </c>
      <c r="DN7" s="141">
        <f>IFERROR(HLOOKUP(DN1,'Logging Payout count'!DO1:JM30,30,0),0)</f>
        <v>20.100000000000001</v>
      </c>
      <c r="DO7" s="141">
        <f>IFERROR(HLOOKUP(DO1,'Logging Payout count'!DP1:JN30,30,0),0)</f>
        <v>6.4500000000000011</v>
      </c>
      <c r="DP7" s="141">
        <f>IFERROR(HLOOKUP(DP1,'Logging Payout count'!DQ1:JO30,30,0),0)</f>
        <v>0</v>
      </c>
      <c r="DQ7" s="141">
        <f>IFERROR(HLOOKUP(DQ1,'Logging Payout count'!DR1:JP30,30,0),0)</f>
        <v>0</v>
      </c>
      <c r="DR7" s="141">
        <f>IFERROR(HLOOKUP(DR1,'Logging Payout count'!DS1:JQ30,30,0),0)</f>
        <v>146.70000000000002</v>
      </c>
      <c r="DS7" s="141">
        <f>IFERROR(HLOOKUP(DS1,'Logging Payout count'!DT1:JR30,30,0),0)</f>
        <v>0</v>
      </c>
      <c r="DT7" s="141">
        <f>IFERROR(HLOOKUP(DT1,'Logging Payout count'!DU1:JS30,30,0),0)</f>
        <v>57.750000000000007</v>
      </c>
      <c r="DU7" s="141">
        <f>IFERROR(HLOOKUP(DU1,'Logging Payout count'!DV1:JT30,30,0),0)</f>
        <v>0</v>
      </c>
      <c r="DV7" s="141">
        <f>IFERROR(HLOOKUP(DV1,'Logging Payout count'!DW1:JU30,30,0),0)</f>
        <v>0</v>
      </c>
      <c r="DW7" s="141">
        <f>IFERROR(HLOOKUP(DW1,'Logging Payout count'!DX1:JV30,30,0),0)</f>
        <v>91.050000000000026</v>
      </c>
      <c r="DX7" s="141">
        <f>IFERROR(HLOOKUP(DX1,'Logging Payout count'!DY1:JW30,30,0),0)</f>
        <v>119.85000000000002</v>
      </c>
      <c r="DY7" s="141">
        <f>IFERROR(HLOOKUP(DY1,'Logging Payout count'!DZ1:JX30,30,0),0)</f>
        <v>79.350000000000009</v>
      </c>
      <c r="DZ7" s="141">
        <f>IFERROR(HLOOKUP(DZ1,'Logging Payout count'!EA1:JY30,30,0),0)</f>
        <v>0</v>
      </c>
      <c r="EA7" s="141">
        <f>IFERROR(HLOOKUP(EA1,'Logging Payout count'!EB1:JZ30,30,0),0)</f>
        <v>128.65</v>
      </c>
      <c r="EB7" s="141">
        <f>IFERROR(HLOOKUP(EB1,'Logging Payout count'!EC1:KA30,30,0),0)</f>
        <v>0</v>
      </c>
      <c r="EC7" s="141">
        <f>IFERROR(HLOOKUP(EC1,'Logging Payout count'!ED1:KB30,30,0),0)</f>
        <v>0</v>
      </c>
      <c r="ED7" s="141">
        <f>IFERROR(HLOOKUP(ED1,'Logging Payout count'!EE1:KC30,30,0),0)</f>
        <v>0</v>
      </c>
      <c r="EE7" s="141">
        <f>IFERROR(HLOOKUP(EE1,'Logging Payout count'!EF1:KD30,30,0),0)</f>
        <v>0</v>
      </c>
      <c r="EF7" s="141">
        <f>IFERROR(HLOOKUP(EF1,'Logging Payout count'!EG1:KE30,30,0),0)</f>
        <v>0</v>
      </c>
      <c r="EG7" s="141">
        <f>IFERROR(HLOOKUP(EG1,'Logging Payout count'!EH1:KF30,30,0),0)</f>
        <v>23.55</v>
      </c>
      <c r="EH7" s="141">
        <f>IFERROR(HLOOKUP(EH1,'Logging Payout count'!EI1:KG30,30,0),0)</f>
        <v>0</v>
      </c>
      <c r="EI7" s="141">
        <f>IFERROR(HLOOKUP(EI1,'Logging Payout count'!EJ1:KH30,30,0),0)</f>
        <v>96.750000000000014</v>
      </c>
      <c r="EJ7" s="141">
        <f>IFERROR(HLOOKUP(EJ1,'Logging Payout count'!EK1:KI30,30,0),0)</f>
        <v>154</v>
      </c>
      <c r="EK7" s="141">
        <f>IFERROR(HLOOKUP(EK1,'Logging Payout count'!EL1:KJ30,30,0),0)</f>
        <v>0</v>
      </c>
      <c r="EL7" s="141">
        <f>IFERROR(HLOOKUP(EL1,'Logging Payout count'!EM1:KK30,30,0),0)</f>
        <v>0</v>
      </c>
      <c r="EM7" s="141">
        <f>IFERROR(HLOOKUP(EM1,'Logging Payout count'!EN1:KL30,30,0),0)</f>
        <v>0</v>
      </c>
      <c r="EN7" s="141">
        <f>IFERROR(HLOOKUP(EN1,'Logging Payout count'!EO1:KM30,30,0),0)</f>
        <v>109.35000000000002</v>
      </c>
      <c r="EO7" s="141">
        <f>IFERROR(HLOOKUP(EO1,'Logging Payout count'!EP1:KN30,30,0),0)</f>
        <v>0</v>
      </c>
      <c r="EP7" s="141">
        <f>IFERROR(HLOOKUP(EP1,'Logging Payout count'!EQ1:KO30,30,0),0)</f>
        <v>0</v>
      </c>
      <c r="EQ7" s="141">
        <f>IFERROR(HLOOKUP(EQ1,'Logging Payout count'!ER1:KP30,30,0),0)</f>
        <v>58.350000000000009</v>
      </c>
      <c r="ER7" s="141">
        <f>IFERROR(HLOOKUP(ER1,'Logging Payout count'!ES1:KQ30,30,0),0)</f>
        <v>0</v>
      </c>
      <c r="ES7" s="141">
        <f>IFERROR(HLOOKUP(ES1,'Logging Payout count'!ET1:KR30,30,0),0)</f>
        <v>0</v>
      </c>
      <c r="ET7" s="141">
        <f>IFERROR(HLOOKUP(ET1,'Logging Payout count'!EU1:KS30,30,0),0)</f>
        <v>204.3</v>
      </c>
      <c r="EU7" s="141">
        <f>IFERROR(HLOOKUP(EU1,'Logging Payout count'!EV1:KT30,30,0),0)</f>
        <v>204.60000000000002</v>
      </c>
      <c r="EV7" s="141">
        <f>IFERROR(HLOOKUP(EV1,'Logging Payout count'!EW1:KU30,30,0),0)</f>
        <v>59.550000000000011</v>
      </c>
      <c r="EW7" s="141">
        <f>IFERROR(HLOOKUP(EW1,'Logging Payout count'!EX1:KV30,30,0),0)</f>
        <v>79.500000000000014</v>
      </c>
      <c r="EX7" s="141">
        <f>IFERROR(HLOOKUP(EX1,'Logging Payout count'!EY1:KW30,30,0),0)</f>
        <v>76.200000000000017</v>
      </c>
      <c r="EY7" s="141">
        <f>IFERROR(HLOOKUP(EY1,'Logging Payout count'!EZ1:KX30,30,0),0)</f>
        <v>38.100000000000009</v>
      </c>
      <c r="EZ7" s="141">
        <f>IFERROR(HLOOKUP(EZ1,'Logging Payout count'!FA1:KY30,30,0),0)</f>
        <v>0</v>
      </c>
      <c r="FA7" s="141">
        <f>IFERROR(HLOOKUP(FA1,'Logging Payout count'!FB1:KZ30,30,0),0)</f>
        <v>121.69999999999999</v>
      </c>
      <c r="FB7" s="141">
        <f>IFERROR(HLOOKUP(FB1,'Logging Payout count'!FC1:LA30,30,0),0)</f>
        <v>0</v>
      </c>
      <c r="FC7" s="141">
        <f>IFERROR(HLOOKUP(FC1,'Logging Payout count'!FD1:LB30,30,0),0)</f>
        <v>14.700000000000003</v>
      </c>
      <c r="FD7" s="141">
        <f>IFERROR(HLOOKUP(FD1,'Logging Payout count'!FE1:LC30,30,0),0)</f>
        <v>0</v>
      </c>
      <c r="FE7" s="141">
        <f>IFERROR(HLOOKUP(FE1,'Logging Payout count'!FF1:LD30,30,0),0)</f>
        <v>25.800000000000004</v>
      </c>
      <c r="FF7" s="141">
        <f>IFERROR(HLOOKUP(FF1,'Logging Payout count'!FG1:LE30,30,0),0)</f>
        <v>0</v>
      </c>
      <c r="FG7" s="141">
        <f>IFERROR(HLOOKUP(FG1,'Logging Payout count'!FH1:LF30,30,0),0)</f>
        <v>0</v>
      </c>
      <c r="FH7" s="141">
        <f>IFERROR(HLOOKUP(FH1,'Logging Payout count'!FI1:LG30,30,0),0)</f>
        <v>0</v>
      </c>
      <c r="FI7" s="141">
        <f>IFERROR(HLOOKUP(FI1,'Logging Payout count'!FJ1:LH30,30,0),0)</f>
        <v>0</v>
      </c>
      <c r="FJ7" s="141">
        <f>IFERROR(HLOOKUP(FJ1,'Logging Payout count'!FK1:LI30,30,0),0)</f>
        <v>0</v>
      </c>
      <c r="FK7" s="141">
        <f>IFERROR(HLOOKUP(FK1,'Logging Payout count'!FL1:LJ30,30,0),0)</f>
        <v>0</v>
      </c>
      <c r="FL7" s="141">
        <f>IFERROR(HLOOKUP(FL1,'Logging Payout count'!FM1:LK30,30,0),0)</f>
        <v>0</v>
      </c>
      <c r="FM7" s="141">
        <f>IFERROR(HLOOKUP(FM1,'Logging Payout count'!FN1:LL30,30,0),0)</f>
        <v>0</v>
      </c>
      <c r="FN7" s="141">
        <f>IFERROR(HLOOKUP(FN1,'Logging Payout count'!FO1:LM30,30,0),0)</f>
        <v>126.9</v>
      </c>
      <c r="FO7" s="141">
        <f>IFERROR(HLOOKUP(FO1,'Logging Payout count'!FP1:LN30,30,0),0)</f>
        <v>0</v>
      </c>
      <c r="FP7" s="141">
        <f>IFERROR(HLOOKUP(FP1,'Logging Payout count'!FQ1:LO30,30,0),0)</f>
        <v>245.40000000000003</v>
      </c>
      <c r="FQ7" s="141">
        <f>IFERROR(HLOOKUP(FQ1,'Logging Payout count'!FR1:LP30,30,0),0)</f>
        <v>0</v>
      </c>
      <c r="FR7" s="141">
        <f>IFERROR(HLOOKUP(FR1,'Logging Payout count'!FS1:LQ30,30,0),0)</f>
        <v>137.69999999999999</v>
      </c>
      <c r="FS7" s="141">
        <f>IFERROR(HLOOKUP(FS1,'Logging Payout count'!FT1:LR30,30,0),0)</f>
        <v>117.75000000000001</v>
      </c>
      <c r="FT7" s="141">
        <f>IFERROR(HLOOKUP(FT1,'Logging Payout count'!FU1:LS30,30,0),0)</f>
        <v>0</v>
      </c>
      <c r="FU7" s="141">
        <f>IFERROR(HLOOKUP(FU1,'Logging Payout count'!FV1:LT30,30,0),0)</f>
        <v>0</v>
      </c>
      <c r="FV7" s="141">
        <f>IFERROR(HLOOKUP(FV1,'Logging Payout count'!FW1:LU30,30,0),0)</f>
        <v>0</v>
      </c>
      <c r="FW7" s="141">
        <f>IFERROR(HLOOKUP(FW1,'Logging Payout count'!FX1:LV30,30,0),0)</f>
        <v>0</v>
      </c>
      <c r="FX7" s="141">
        <f>IFERROR(HLOOKUP(FX1,'Logging Payout count'!FY1:LW30,30,0),0)</f>
        <v>0</v>
      </c>
      <c r="FY7" s="141">
        <f>IFERROR(HLOOKUP(FY1,'Logging Payout count'!FZ1:LX30,30,0),0)</f>
        <v>120.60000000000002</v>
      </c>
      <c r="FZ7" s="141">
        <f>IFERROR(HLOOKUP(FZ1,'Logging Payout count'!GA1:LY30,30,0),0)</f>
        <v>4.8000000000000007</v>
      </c>
      <c r="GA7" s="141">
        <f>IFERROR(HLOOKUP(GA1,'Logging Payout count'!GB1:LZ30,30,0),0)</f>
        <v>0.75000000000000011</v>
      </c>
      <c r="GB7" s="141">
        <f>IFERROR(HLOOKUP(GB1,'Logging Payout count'!GC1:MA30,30,0),0)</f>
        <v>0</v>
      </c>
      <c r="GC7" s="141">
        <f>IFERROR(HLOOKUP(GC1,'Logging Payout count'!GD1:MB30,30,0),0)</f>
        <v>0</v>
      </c>
      <c r="GD7" s="141">
        <f>IFERROR(HLOOKUP(GD1,'Logging Payout count'!GE1:MC30,30,0),0)</f>
        <v>184.05000000000004</v>
      </c>
      <c r="GE7" s="141">
        <f>IFERROR(HLOOKUP(GE1,'Logging Payout count'!GF1:MD30,30,0),0)</f>
        <v>97.050000000000011</v>
      </c>
      <c r="GF7" s="141">
        <f>IFERROR(HLOOKUP(GF1,'Logging Payout count'!GG1:ME30,30,0),0)</f>
        <v>0</v>
      </c>
      <c r="GG7" s="141">
        <f>IFERROR(HLOOKUP(GG1,'Logging Payout count'!GH1:MF30,30,0),0)</f>
        <v>0</v>
      </c>
      <c r="GH7" s="141">
        <f>IFERROR(HLOOKUP(GH1,'Logging Payout count'!GI1:MG30,30,0),0)</f>
        <v>25.15</v>
      </c>
      <c r="GI7" s="141">
        <f>IFERROR(HLOOKUP(GI1,'Logging Payout count'!GJ1:MH30,30,0),0)</f>
        <v>0</v>
      </c>
      <c r="GJ7" s="141">
        <f>IFERROR(HLOOKUP(GJ1,'Logging Payout count'!GK1:MI30,30,0),0)</f>
        <v>162.15000000000003</v>
      </c>
      <c r="GK7" s="141">
        <f>IFERROR(HLOOKUP(GK1,'Logging Payout count'!GL1:MJ30,30,0),0)</f>
        <v>108.45000000000002</v>
      </c>
      <c r="GL7" s="141">
        <f>IFERROR(HLOOKUP(GL1,'Logging Payout count'!GM1:MK30,30,0),0)</f>
        <v>0</v>
      </c>
      <c r="GM7" s="141">
        <f>IFERROR(HLOOKUP(GM1,'Logging Payout count'!GN1:ML30,30,0),0)</f>
        <v>0</v>
      </c>
      <c r="GN7" s="141">
        <f>IFERROR(HLOOKUP(GN1,'Logging Payout count'!GO1:MM30,30,0),0)</f>
        <v>144.45000000000002</v>
      </c>
      <c r="GO7" s="141">
        <f>IFERROR(HLOOKUP(GO1,'Logging Payout count'!GP1:MN30,30,0),0)</f>
        <v>0</v>
      </c>
      <c r="GP7" s="141">
        <f>IFERROR(HLOOKUP(GP1,'Logging Payout count'!GQ1:MO30,30,0),0)</f>
        <v>0</v>
      </c>
      <c r="GQ7" s="141">
        <f>IFERROR(HLOOKUP(GQ1,'Logging Payout count'!GR1:MP30,30,0),0)</f>
        <v>0</v>
      </c>
      <c r="GR7" s="141">
        <f>IFERROR(HLOOKUP(GR1,'Logging Payout count'!GS1:MQ30,30,0),0)</f>
        <v>0</v>
      </c>
    </row>
    <row r="8" spans="1:200">
      <c r="A8" s="143" t="s">
        <v>217</v>
      </c>
      <c r="B8" s="163">
        <f t="shared" si="0"/>
        <v>22170.25</v>
      </c>
      <c r="C8" s="141">
        <f>IFERROR(HLOOKUP(C$1,'Release &amp; QC'!$C$1:$M$2,2,0),0)</f>
        <v>4391.5</v>
      </c>
      <c r="D8" s="141">
        <f>IFERROR(HLOOKUP(D$1,'Release &amp; QC'!$C$1:$M$2,2,0),0)</f>
        <v>229.5</v>
      </c>
      <c r="E8" s="141">
        <f>IFERROR(HLOOKUP(E$1,'Release &amp; QC'!$C$1:$M$2,2,0),0)</f>
        <v>0</v>
      </c>
      <c r="F8" s="141">
        <f>IFERROR(HLOOKUP(F$1,'Release &amp; QC'!$C$1:$M$2,2,0),0)</f>
        <v>3519.75</v>
      </c>
      <c r="G8" s="141">
        <f>IFERROR(HLOOKUP(G$1,'Release &amp; QC'!$C$1:$M$2,2,0),0)</f>
        <v>0</v>
      </c>
      <c r="H8" s="141">
        <f>IFERROR(HLOOKUP(H$1,'Release &amp; QC'!$C$1:$M$2,2,0),0)</f>
        <v>0</v>
      </c>
      <c r="I8" s="141">
        <f>IFERROR(HLOOKUP(I$1,'Release &amp; QC'!$C$1:$M$2,2,0),0)</f>
        <v>284.5</v>
      </c>
      <c r="J8" s="141">
        <f>IFERROR(HLOOKUP(J$1,'Release &amp; QC'!$C$1:$M$2,2,0),0)</f>
        <v>0</v>
      </c>
      <c r="K8" s="141">
        <f>IFERROR(HLOOKUP(K$1,'Release &amp; QC'!$C$1:$M$2,2,0),0)</f>
        <v>0</v>
      </c>
      <c r="L8" s="141">
        <f>IFERROR(HLOOKUP(L$1,'Release &amp; QC'!$C$1:$M$2,2,0),0)</f>
        <v>0</v>
      </c>
      <c r="M8" s="141">
        <f>IFERROR(HLOOKUP(M$1,'Release &amp; QC'!$C$1:$M$2,2,0),0)</f>
        <v>0</v>
      </c>
      <c r="N8" s="141">
        <f>IFERROR(HLOOKUP(N$1,'Release &amp; QC'!$C$1:$M$2,2,0),0)</f>
        <v>0</v>
      </c>
      <c r="O8" s="141">
        <f>IFERROR(HLOOKUP(O$1,'Release &amp; QC'!$C$1:$M$2,2,0),0)</f>
        <v>0</v>
      </c>
      <c r="P8" s="141">
        <f>IFERROR(HLOOKUP(P$1,'Release &amp; QC'!$C$1:$M$2,2,0),0)</f>
        <v>0</v>
      </c>
      <c r="Q8" s="141">
        <f>IFERROR(HLOOKUP(Q$1,'Release &amp; QC'!$C$1:$M$2,2,0),0)</f>
        <v>0</v>
      </c>
      <c r="R8" s="141">
        <f>IFERROR(HLOOKUP(R$1,'Release &amp; QC'!$C$1:$M$2,2,0),0)</f>
        <v>0</v>
      </c>
      <c r="S8" s="141">
        <f>IFERROR(HLOOKUP(S$1,'Release &amp; QC'!$C$1:$M$2,2,0),0)</f>
        <v>0</v>
      </c>
      <c r="T8" s="141">
        <f>IFERROR(HLOOKUP(T$1,'Release &amp; QC'!$C$1:$M$2,2,0),0)</f>
        <v>0</v>
      </c>
      <c r="U8" s="141">
        <f>IFERROR(HLOOKUP(U$1,'Release &amp; QC'!$C$1:$M$2,2,0),0)</f>
        <v>0</v>
      </c>
      <c r="V8" s="141">
        <f>IFERROR(HLOOKUP(V$1,'Release &amp; QC'!$C$1:$M$2,2,0),0)</f>
        <v>0</v>
      </c>
      <c r="W8" s="141">
        <f>IFERROR(HLOOKUP(W$1,'Release &amp; QC'!$C$1:$M$2,2,0),0)</f>
        <v>0</v>
      </c>
      <c r="X8" s="141">
        <f>IFERROR(HLOOKUP(X$1,'Release &amp; QC'!$C$1:$M$2,2,0),0)</f>
        <v>0</v>
      </c>
      <c r="Y8" s="141">
        <f>IFERROR(HLOOKUP(Y$1,'Release &amp; QC'!$C$1:$M$2,2,0),0)</f>
        <v>0</v>
      </c>
      <c r="Z8" s="141">
        <f>IFERROR(HLOOKUP(Z$1,'Release &amp; QC'!$C$1:$M$2,2,0),0)</f>
        <v>0</v>
      </c>
      <c r="AA8" s="141">
        <f>IFERROR(HLOOKUP(AA$1,'Release &amp; QC'!$C$1:$M$2,2,0),0)</f>
        <v>0</v>
      </c>
      <c r="AB8" s="141">
        <f>IFERROR(HLOOKUP(AB$1,'Release &amp; QC'!$C$1:$M$2,2,0),0)</f>
        <v>0</v>
      </c>
      <c r="AC8" s="141">
        <f>IFERROR(HLOOKUP(AC$1,'Release &amp; QC'!$C$1:$M$2,2,0),0)</f>
        <v>0</v>
      </c>
      <c r="AD8" s="141">
        <f>IFERROR(HLOOKUP(AD$1,'Release &amp; QC'!$C$1:$M$2,2,0),0)</f>
        <v>0</v>
      </c>
      <c r="AE8" s="141">
        <f>IFERROR(HLOOKUP(AE$1,'Release &amp; QC'!$C$1:$M$2,2,0),0)</f>
        <v>0</v>
      </c>
      <c r="AF8" s="141">
        <f>IFERROR(HLOOKUP(AF$1,'Release &amp; QC'!$C$1:$M$2,2,0),0)</f>
        <v>0</v>
      </c>
      <c r="AG8" s="141">
        <f>IFERROR(HLOOKUP(AG$1,'Release &amp; QC'!$C$1:$M$2,2,0),0)</f>
        <v>0</v>
      </c>
      <c r="AH8" s="141">
        <f>IFERROR(HLOOKUP(AH$1,'Release &amp; QC'!$C$1:$M$2,2,0),0)</f>
        <v>0</v>
      </c>
      <c r="AI8" s="141">
        <f>IFERROR(HLOOKUP(AI$1,'Release &amp; QC'!$C$1:$M$2,2,0),0)</f>
        <v>0</v>
      </c>
      <c r="AJ8" s="141">
        <f>IFERROR(HLOOKUP(AJ$1,'Release &amp; QC'!$C$1:$M$2,2,0),0)</f>
        <v>0</v>
      </c>
      <c r="AK8" s="141">
        <f>IFERROR(HLOOKUP(AK$1,'Release &amp; QC'!$C$1:$M$2,2,0),0)</f>
        <v>0</v>
      </c>
      <c r="AL8" s="141">
        <f>IFERROR(HLOOKUP(AL$1,'Release &amp; QC'!$C$1:$M$2,2,0),0)</f>
        <v>0</v>
      </c>
      <c r="AM8" s="141">
        <f>IFERROR(HLOOKUP(AM$1,'Release &amp; QC'!$C$1:$M$2,2,0),0)</f>
        <v>0</v>
      </c>
      <c r="AN8" s="141">
        <f>IFERROR(HLOOKUP(AN$1,'Release &amp; QC'!$C$1:$M$2,2,0),0)</f>
        <v>0</v>
      </c>
      <c r="AO8" s="141">
        <f>IFERROR(HLOOKUP(AO$1,'Release &amp; QC'!$C$1:$M$2,2,0),0)</f>
        <v>0</v>
      </c>
      <c r="AP8" s="141">
        <f>IFERROR(HLOOKUP(AP$1,'Release &amp; QC'!$C$1:$M$2,2,0),0)</f>
        <v>0</v>
      </c>
      <c r="AQ8" s="141">
        <f>IFERROR(HLOOKUP(AQ$1,'Release &amp; QC'!$C$1:$M$2,2,0),0)</f>
        <v>0</v>
      </c>
      <c r="AR8" s="141">
        <f>IFERROR(HLOOKUP(AR$1,'Release &amp; QC'!$C$1:$M$2,2,0),0)</f>
        <v>0</v>
      </c>
      <c r="AS8" s="141">
        <f>IFERROR(HLOOKUP(AS$1,'Release &amp; QC'!$C$1:$M$2,2,0),0)</f>
        <v>0</v>
      </c>
      <c r="AT8" s="141">
        <f>IFERROR(HLOOKUP(AT$1,'Release &amp; QC'!$C$1:$M$2,2,0),0)</f>
        <v>0</v>
      </c>
      <c r="AU8" s="141">
        <f>IFERROR(HLOOKUP(AU$1,'Release &amp; QC'!$C$1:$M$2,2,0),0)</f>
        <v>0</v>
      </c>
      <c r="AV8" s="141">
        <f>IFERROR(HLOOKUP(AV$1,'Release &amp; QC'!$C$1:$M$2,2,0),0)</f>
        <v>0</v>
      </c>
      <c r="AW8" s="141">
        <f>IFERROR(HLOOKUP(AW$1,'Release &amp; QC'!$C$1:$M$2,2,0),0)</f>
        <v>0</v>
      </c>
      <c r="AX8" s="141">
        <f>IFERROR(HLOOKUP(AX$1,'Release &amp; QC'!$C$1:$M$2,2,0),0)</f>
        <v>0</v>
      </c>
      <c r="AY8" s="141">
        <f>IFERROR(HLOOKUP(AY$1,'Release &amp; QC'!$C$1:$M$2,2,0),0)</f>
        <v>0</v>
      </c>
      <c r="AZ8" s="141">
        <f>IFERROR(HLOOKUP(AZ$1,'Release &amp; QC'!$C$1:$M$2,2,0),0)</f>
        <v>0</v>
      </c>
      <c r="BA8" s="141">
        <f>IFERROR(HLOOKUP(BA$1,'Release &amp; QC'!$C$1:$M$2,2,0),0)</f>
        <v>0</v>
      </c>
      <c r="BB8" s="141">
        <f>IFERROR(HLOOKUP(BB$1,'Release &amp; QC'!$C$1:$M$2,2,0),0)</f>
        <v>0</v>
      </c>
      <c r="BC8" s="141">
        <f>IFERROR(HLOOKUP(BC$1,'Release &amp; QC'!$C$1:$M$2,2,0),0)</f>
        <v>0</v>
      </c>
      <c r="BD8" s="141">
        <f>IFERROR(HLOOKUP(BD$1,'Release &amp; QC'!$C$1:$M$2,2,0),0)</f>
        <v>0</v>
      </c>
      <c r="BE8" s="141">
        <f>IFERROR(HLOOKUP(BE$1,'Release &amp; QC'!$C$1:$M$2,2,0),0)</f>
        <v>0</v>
      </c>
      <c r="BF8" s="141">
        <f>IFERROR(HLOOKUP(BF$1,'Release &amp; QC'!$C$1:$M$2,2,0),0)</f>
        <v>0</v>
      </c>
      <c r="BG8" s="141">
        <f>IFERROR(HLOOKUP(BG$1,'Release &amp; QC'!$C$1:$M$2,2,0),0)</f>
        <v>0</v>
      </c>
      <c r="BH8" s="141">
        <f>IFERROR(HLOOKUP(BH$1,'Release &amp; QC'!$C$1:$M$2,2,0),0)</f>
        <v>0</v>
      </c>
      <c r="BI8" s="141">
        <f>IFERROR(HLOOKUP(BI$1,'Release &amp; QC'!$C$1:$M$2,2,0),0)</f>
        <v>0</v>
      </c>
      <c r="BJ8" s="141">
        <f>IFERROR(HLOOKUP(BJ$1,'Release &amp; QC'!$C$1:$M$2,2,0),0)</f>
        <v>0</v>
      </c>
      <c r="BK8" s="141">
        <f>IFERROR(HLOOKUP(BK$1,'Release &amp; QC'!$C$1:$M$2,2,0),0)</f>
        <v>0</v>
      </c>
      <c r="BL8" s="141">
        <f>IFERROR(HLOOKUP(BL$1,'Release &amp; QC'!$C$1:$M$2,2,0),0)</f>
        <v>0</v>
      </c>
      <c r="BM8" s="141">
        <f>IFERROR(HLOOKUP(BM$1,'Release &amp; QC'!$C$1:$M$2,2,0),0)</f>
        <v>0</v>
      </c>
      <c r="BN8" s="141">
        <f>IFERROR(HLOOKUP(BN$1,'Release &amp; QC'!$C$1:$M$2,2,0),0)</f>
        <v>0</v>
      </c>
      <c r="BO8" s="141">
        <f>IFERROR(HLOOKUP(BO$1,'Release &amp; QC'!$C$1:$M$2,2,0),0)</f>
        <v>0</v>
      </c>
      <c r="BP8" s="141">
        <f>IFERROR(HLOOKUP(BP$1,'Release &amp; QC'!$C$1:$M$2,2,0),0)</f>
        <v>0</v>
      </c>
      <c r="BQ8" s="141">
        <f>IFERROR(HLOOKUP(BQ$1,'Release &amp; QC'!$C$1:$M$2,2,0),0)</f>
        <v>0</v>
      </c>
      <c r="BR8" s="141">
        <f>IFERROR(HLOOKUP(BR$1,'Release &amp; QC'!$C$1:$M$2,2,0),0)</f>
        <v>0</v>
      </c>
      <c r="BS8" s="141">
        <f>IFERROR(HLOOKUP(BS$1,'Release &amp; QC'!$C$1:$M$2,2,0),0)</f>
        <v>0</v>
      </c>
      <c r="BT8" s="141">
        <f>IFERROR(HLOOKUP(BT$1,'Release &amp; QC'!$C$1:$M$2,2,0),0)</f>
        <v>0</v>
      </c>
      <c r="BU8" s="141">
        <f>IFERROR(HLOOKUP(BU$1,'Release &amp; QC'!$C$1:$M$2,2,0),0)</f>
        <v>0</v>
      </c>
      <c r="BV8" s="141">
        <f>IFERROR(HLOOKUP(BV$1,'Release &amp; QC'!$C$1:$M$2,2,0),0)</f>
        <v>0</v>
      </c>
      <c r="BW8" s="141">
        <f>IFERROR(HLOOKUP(BW$1,'Release &amp; QC'!$C$1:$M$2,2,0),0)</f>
        <v>0</v>
      </c>
      <c r="BX8" s="141">
        <f>IFERROR(HLOOKUP(BX$1,'Release &amp; QC'!$C$1:$M$2,2,0),0)</f>
        <v>0</v>
      </c>
      <c r="BY8" s="141">
        <f>IFERROR(HLOOKUP(BY$1,'Release &amp; QC'!$C$1:$M$2,2,0),0)</f>
        <v>0</v>
      </c>
      <c r="BZ8" s="141">
        <f>IFERROR(HLOOKUP(BZ$1,'Release &amp; QC'!$C$1:$M$2,2,0),0)</f>
        <v>0</v>
      </c>
      <c r="CA8" s="141">
        <f>IFERROR(HLOOKUP(CA$1,'Release &amp; QC'!$C$1:$M$2,2,0),0)</f>
        <v>0</v>
      </c>
      <c r="CB8" s="141">
        <f>IFERROR(HLOOKUP(CB$1,'Release &amp; QC'!$C$1:$M$2,2,0),0)</f>
        <v>0</v>
      </c>
      <c r="CC8" s="141">
        <f>IFERROR(HLOOKUP(CC$1,'Release &amp; QC'!$C$1:$M$2,2,0),0)</f>
        <v>0</v>
      </c>
      <c r="CD8" s="141">
        <f>IFERROR(HLOOKUP(CD$1,'Release &amp; QC'!$C$1:$M$2,2,0),0)</f>
        <v>0</v>
      </c>
      <c r="CE8" s="141">
        <f>IFERROR(HLOOKUP(CE$1,'Release &amp; QC'!$C$1:$M$2,2,0),0)</f>
        <v>0</v>
      </c>
      <c r="CF8" s="141">
        <f>IFERROR(HLOOKUP(CF$1,'Release &amp; QC'!$C$1:$M$2,2,0),0)</f>
        <v>0</v>
      </c>
      <c r="CG8" s="141">
        <f>IFERROR(HLOOKUP(CG$1,'Release &amp; QC'!$C$1:$M$2,2,0),0)</f>
        <v>0</v>
      </c>
      <c r="CH8" s="141">
        <f>IFERROR(HLOOKUP(CH$1,'Release &amp; QC'!$C$1:$M$2,2,0),0)</f>
        <v>0</v>
      </c>
      <c r="CI8" s="141">
        <f>IFERROR(HLOOKUP(CI$1,'Release &amp; QC'!$C$1:$M$2,2,0),0)</f>
        <v>0</v>
      </c>
      <c r="CJ8" s="141">
        <f>IFERROR(HLOOKUP(CJ$1,'Release &amp; QC'!$C$1:$M$2,2,0),0)</f>
        <v>0</v>
      </c>
      <c r="CK8" s="141">
        <f>IFERROR(HLOOKUP(CK$1,'Release &amp; QC'!$C$1:$M$2,2,0),0)</f>
        <v>0</v>
      </c>
      <c r="CL8" s="141">
        <f>IFERROR(HLOOKUP(CL$1,'Release &amp; QC'!$C$1:$M$2,2,0),0)</f>
        <v>3846</v>
      </c>
      <c r="CM8" s="141">
        <f>IFERROR(HLOOKUP(CM$1,'Release &amp; QC'!$C$1:$M$2,2,0),0)</f>
        <v>0</v>
      </c>
      <c r="CN8" s="141">
        <f>IFERROR(HLOOKUP(CN$1,'Release &amp; QC'!$C$1:$M$2,2,0),0)</f>
        <v>0</v>
      </c>
      <c r="CO8" s="141">
        <f>IFERROR(HLOOKUP(CO$1,'Release &amp; QC'!$C$1:$M$2,2,0),0)</f>
        <v>0</v>
      </c>
      <c r="CP8" s="141">
        <f>IFERROR(HLOOKUP(CP$1,'Release &amp; QC'!$C$1:$M$2,2,0),0)</f>
        <v>0</v>
      </c>
      <c r="CQ8" s="141">
        <f>IFERROR(HLOOKUP(CQ$1,'Release &amp; QC'!$C$1:$M$2,2,0),0)</f>
        <v>0</v>
      </c>
      <c r="CR8" s="141">
        <f>IFERROR(HLOOKUP(CR$1,'Release &amp; QC'!$C$1:$M$2,2,0),0)</f>
        <v>0</v>
      </c>
      <c r="CS8" s="141">
        <f>IFERROR(HLOOKUP(CS$1,'Release &amp; QC'!$C$1:$M$2,2,0),0)</f>
        <v>0</v>
      </c>
      <c r="CT8" s="141">
        <f>IFERROR(HLOOKUP(CT$1,'Release &amp; QC'!$C$1:$M$2,2,0),0)</f>
        <v>0</v>
      </c>
      <c r="CU8" s="141">
        <f>IFERROR(HLOOKUP(CU$1,'Release &amp; QC'!$C$1:$M$2,2,0),0)</f>
        <v>0</v>
      </c>
      <c r="CV8" s="141">
        <f>IFERROR(HLOOKUP(CV$1,'Release &amp; QC'!$C$1:$M$2,2,0),0)</f>
        <v>0</v>
      </c>
      <c r="CW8" s="141">
        <f>IFERROR(HLOOKUP(CW$1,'Release &amp; QC'!$C$1:$M$2,2,0),0)</f>
        <v>0</v>
      </c>
      <c r="CX8" s="141">
        <f>IFERROR(HLOOKUP(CX$1,'Release &amp; QC'!$C$1:$M$2,2,0),0)</f>
        <v>0</v>
      </c>
      <c r="CY8" s="141">
        <f>IFERROR(HLOOKUP(CY$1,'Release &amp; QC'!$C$1:$M$2,2,0),0)</f>
        <v>0</v>
      </c>
      <c r="CZ8" s="141">
        <f>IFERROR(HLOOKUP(CZ$1,'Release &amp; QC'!$C$1:$M$2,2,0),0)</f>
        <v>0</v>
      </c>
      <c r="DA8" s="141">
        <f>IFERROR(HLOOKUP(DA$1,'Release &amp; QC'!$C$1:$M$2,2,0),0)</f>
        <v>0</v>
      </c>
      <c r="DB8" s="141">
        <f>IFERROR(HLOOKUP(DB$1,'Release &amp; QC'!$C$1:$M$2,2,0),0)</f>
        <v>0</v>
      </c>
      <c r="DC8" s="141">
        <f>IFERROR(HLOOKUP(DC$1,'Release &amp; QC'!$C$1:$M$2,2,0),0)</f>
        <v>0</v>
      </c>
      <c r="DD8" s="141">
        <f>IFERROR(HLOOKUP(DD$1,'Release &amp; QC'!$C$1:$M$2,2,0),0)</f>
        <v>0</v>
      </c>
      <c r="DE8" s="141">
        <f>IFERROR(HLOOKUP(DE$1,'Release &amp; QC'!$C$1:$M$2,2,0),0)</f>
        <v>0</v>
      </c>
      <c r="DF8" s="141">
        <f>IFERROR(HLOOKUP(DF$1,'Release &amp; QC'!$C$1:$M$2,2,0),0)</f>
        <v>0</v>
      </c>
      <c r="DG8" s="141">
        <f>IFERROR(HLOOKUP(DG$1,'Release &amp; QC'!$C$1:$M$2,2,0),0)</f>
        <v>0</v>
      </c>
      <c r="DH8" s="141">
        <f>IFERROR(HLOOKUP(DH$1,'Release &amp; QC'!$C$1:$M$2,2,0),0)</f>
        <v>0</v>
      </c>
      <c r="DI8" s="141">
        <f>IFERROR(HLOOKUP(DI$1,'Release &amp; QC'!$C$1:$M$2,2,0),0)</f>
        <v>0</v>
      </c>
      <c r="DJ8" s="141">
        <f>IFERROR(HLOOKUP(DJ$1,'Release &amp; QC'!$C$1:$M$2,2,0),0)</f>
        <v>0</v>
      </c>
      <c r="DK8" s="141">
        <f>IFERROR(HLOOKUP(DK$1,'Release &amp; QC'!$C$1:$M$2,2,0),0)</f>
        <v>0</v>
      </c>
      <c r="DL8" s="141">
        <f>IFERROR(HLOOKUP(DL$1,'Release &amp; QC'!$C$1:$M$2,2,0),0)</f>
        <v>0</v>
      </c>
      <c r="DM8" s="141">
        <f>IFERROR(HLOOKUP(DM$1,'Release &amp; QC'!$C$1:$M$2,2,0),0)</f>
        <v>0</v>
      </c>
      <c r="DN8" s="141">
        <f>IFERROR(HLOOKUP(DN$1,'Release &amp; QC'!$C$1:$M$2,2,0),0)</f>
        <v>0</v>
      </c>
      <c r="DO8" s="141">
        <f>IFERROR(HLOOKUP(DO$1,'Release &amp; QC'!$C$1:$M$2,2,0),0)</f>
        <v>0</v>
      </c>
      <c r="DP8" s="141">
        <f>IFERROR(HLOOKUP(DP$1,'Release &amp; QC'!$C$1:$M$2,2,0),0)</f>
        <v>0</v>
      </c>
      <c r="DQ8" s="141">
        <f>IFERROR(HLOOKUP(DQ$1,'Release &amp; QC'!$C$1:$M$2,2,0),0)</f>
        <v>0</v>
      </c>
      <c r="DR8" s="141">
        <f>IFERROR(HLOOKUP(DR$1,'Release &amp; QC'!$C$1:$M$2,2,0),0)</f>
        <v>0</v>
      </c>
      <c r="DS8" s="141">
        <f>IFERROR(HLOOKUP(DS$1,'Release &amp; QC'!$C$1:$M$2,2,0),0)</f>
        <v>0</v>
      </c>
      <c r="DT8" s="141">
        <f>IFERROR(HLOOKUP(DT$1,'Release &amp; QC'!$C$1:$M$2,2,0),0)</f>
        <v>0</v>
      </c>
      <c r="DU8" s="141">
        <f>IFERROR(HLOOKUP(DU$1,'Release &amp; QC'!$C$1:$M$2,2,0),0)</f>
        <v>0</v>
      </c>
      <c r="DV8" s="141">
        <f>IFERROR(HLOOKUP(DV$1,'Release &amp; QC'!$C$1:$M$2,2,0),0)</f>
        <v>0</v>
      </c>
      <c r="DW8" s="141">
        <f>IFERROR(HLOOKUP(DW$1,'Release &amp; QC'!$C$1:$M$2,2,0),0)</f>
        <v>0</v>
      </c>
      <c r="DX8" s="141">
        <f>IFERROR(HLOOKUP(DX$1,'Release &amp; QC'!$C$1:$M$2,2,0),0)</f>
        <v>0</v>
      </c>
      <c r="DY8" s="141">
        <f>IFERROR(HLOOKUP(DY$1,'Release &amp; QC'!$C$1:$M$2,2,0),0)</f>
        <v>0</v>
      </c>
      <c r="DZ8" s="141">
        <f>IFERROR(HLOOKUP(DZ$1,'Release &amp; QC'!$C$1:$M$2,2,0),0)</f>
        <v>0</v>
      </c>
      <c r="EA8" s="141">
        <f>IFERROR(HLOOKUP(EA$1,'Release &amp; QC'!$C$1:$M$2,2,0),0)</f>
        <v>0</v>
      </c>
      <c r="EB8" s="141">
        <f>IFERROR(HLOOKUP(EB$1,'Release &amp; QC'!$C$1:$M$2,2,0),0)</f>
        <v>0</v>
      </c>
      <c r="EC8" s="141">
        <f>IFERROR(HLOOKUP(EC$1,'Release &amp; QC'!$C$1:$M$2,2,0),0)</f>
        <v>0</v>
      </c>
      <c r="ED8" s="141">
        <f>IFERROR(HLOOKUP(ED$1,'Release &amp; QC'!$C$1:$M$2,2,0),0)</f>
        <v>0</v>
      </c>
      <c r="EE8" s="141">
        <f>IFERROR(HLOOKUP(EE$1,'Release &amp; QC'!$C$1:$M$2,2,0),0)</f>
        <v>0</v>
      </c>
      <c r="EF8" s="141">
        <f>IFERROR(HLOOKUP(EF$1,'Release &amp; QC'!$C$1:$M$2,2,0),0)</f>
        <v>0</v>
      </c>
      <c r="EG8" s="141">
        <f>IFERROR(HLOOKUP(EG$1,'Release &amp; QC'!$C$1:$M$2,2,0),0)</f>
        <v>0</v>
      </c>
      <c r="EH8" s="141">
        <f>IFERROR(HLOOKUP(EH$1,'Release &amp; QC'!$C$1:$M$2,2,0),0)</f>
        <v>0</v>
      </c>
      <c r="EI8" s="141">
        <f>IFERROR(HLOOKUP(EI$1,'Release &amp; QC'!$C$1:$M$2,2,0),0)</f>
        <v>0</v>
      </c>
      <c r="EJ8" s="141">
        <f>IFERROR(HLOOKUP(EJ$1,'Release &amp; QC'!$C$1:$M$2,2,0),0)</f>
        <v>0</v>
      </c>
      <c r="EK8" s="141">
        <f>IFERROR(HLOOKUP(EK$1,'Release &amp; QC'!$C$1:$M$2,2,0),0)</f>
        <v>0</v>
      </c>
      <c r="EL8" s="141">
        <f>IFERROR(HLOOKUP(EL$1,'Release &amp; QC'!$C$1:$M$2,2,0),0)</f>
        <v>0</v>
      </c>
      <c r="EM8" s="141">
        <f>IFERROR(HLOOKUP(EM$1,'Release &amp; QC'!$C$1:$M$2,2,0),0)</f>
        <v>0</v>
      </c>
      <c r="EN8" s="141">
        <f>IFERROR(HLOOKUP(EN$1,'Release &amp; QC'!$C$1:$M$2,2,0),0)</f>
        <v>0</v>
      </c>
      <c r="EO8" s="141">
        <f>IFERROR(HLOOKUP(EO$1,'Release &amp; QC'!$C$1:$M$2,2,0),0)</f>
        <v>0</v>
      </c>
      <c r="EP8" s="141">
        <f>IFERROR(HLOOKUP(EP$1,'Release &amp; QC'!$C$1:$M$2,2,0),0)</f>
        <v>0</v>
      </c>
      <c r="EQ8" s="141">
        <f>IFERROR(HLOOKUP(EQ$1,'Release &amp; QC'!$C$1:$M$2,2,0),0)</f>
        <v>0</v>
      </c>
      <c r="ER8" s="141">
        <f>IFERROR(HLOOKUP(ER$1,'Release &amp; QC'!$C$1:$M$2,2,0),0)</f>
        <v>0</v>
      </c>
      <c r="ES8" s="141">
        <f>IFERROR(HLOOKUP(ES$1,'Release &amp; QC'!$C$1:$M$2,2,0),0)</f>
        <v>0</v>
      </c>
      <c r="ET8" s="141">
        <f>IFERROR(HLOOKUP(ET$1,'Release &amp; QC'!$C$1:$M$2,2,0),0)</f>
        <v>0</v>
      </c>
      <c r="EU8" s="141">
        <f>IFERROR(HLOOKUP(EU$1,'Release &amp; QC'!$C$1:$M$2,2,0),0)</f>
        <v>0</v>
      </c>
      <c r="EV8" s="141">
        <f>IFERROR(HLOOKUP(EV$1,'Release &amp; QC'!$C$1:$M$2,2,0),0)</f>
        <v>0</v>
      </c>
      <c r="EW8" s="141">
        <f>IFERROR(HLOOKUP(EW$1,'Release &amp; QC'!$C$1:$M$2,2,0),0)</f>
        <v>0</v>
      </c>
      <c r="EX8" s="141">
        <f>IFERROR(HLOOKUP(EX$1,'Release &amp; QC'!$C$1:$M$2,2,0),0)</f>
        <v>0</v>
      </c>
      <c r="EY8" s="141">
        <f>IFERROR(HLOOKUP(EY$1,'Release &amp; QC'!$C$1:$M$2,2,0),0)</f>
        <v>0</v>
      </c>
      <c r="EZ8" s="141">
        <f>IFERROR(HLOOKUP(EZ$1,'Release &amp; QC'!$C$1:$M$2,2,0),0)</f>
        <v>0</v>
      </c>
      <c r="FA8" s="141">
        <f>IFERROR(HLOOKUP(FA$1,'Release &amp; QC'!$C$1:$M$2,2,0),0)</f>
        <v>0</v>
      </c>
      <c r="FB8" s="141">
        <f>IFERROR(HLOOKUP(FB$1,'Release &amp; QC'!$C$1:$M$2,2,0),0)</f>
        <v>0</v>
      </c>
      <c r="FC8" s="141">
        <f>IFERROR(HLOOKUP(FC$1,'Release &amp; QC'!$C$1:$M$2,2,0),0)</f>
        <v>0</v>
      </c>
      <c r="FD8" s="141">
        <f>IFERROR(HLOOKUP(FD$1,'Release &amp; QC'!$C$1:$M$2,2,0),0)</f>
        <v>0</v>
      </c>
      <c r="FE8" s="141">
        <f>IFERROR(HLOOKUP(FE$1,'Release &amp; QC'!$C$1:$M$2,2,0),0)</f>
        <v>0</v>
      </c>
      <c r="FF8" s="141">
        <f>IFERROR(HLOOKUP(FF$1,'Release &amp; QC'!$C$1:$M$2,2,0),0)</f>
        <v>0</v>
      </c>
      <c r="FG8" s="141">
        <f>IFERROR(HLOOKUP(FG$1,'Release &amp; QC'!$C$1:$M$2,2,0),0)</f>
        <v>0</v>
      </c>
      <c r="FH8" s="141">
        <f>IFERROR(HLOOKUP(FH$1,'Release &amp; QC'!$C$1:$M$2,2,0),0)</f>
        <v>0</v>
      </c>
      <c r="FI8" s="141">
        <f>IFERROR(HLOOKUP(FI$1,'Release &amp; QC'!$C$1:$M$2,2,0),0)</f>
        <v>0</v>
      </c>
      <c r="FJ8" s="141">
        <f>IFERROR(HLOOKUP(FJ$1,'Release &amp; QC'!$C$1:$M$2,2,0),0)</f>
        <v>0</v>
      </c>
      <c r="FK8" s="141">
        <f>IFERROR(HLOOKUP(FK$1,'Release &amp; QC'!$C$1:$M$2,2,0),0)</f>
        <v>0</v>
      </c>
      <c r="FL8" s="141">
        <f>IFERROR(HLOOKUP(FL$1,'Release &amp; QC'!$C$1:$M$2,2,0),0)</f>
        <v>0</v>
      </c>
      <c r="FM8" s="141">
        <f>IFERROR(HLOOKUP(FM$1,'Release &amp; QC'!$C$1:$M$2,2,0),0)</f>
        <v>0</v>
      </c>
      <c r="FN8" s="141">
        <f>IFERROR(HLOOKUP(FN$1,'Release &amp; QC'!$C$1:$M$2,2,0),0)</f>
        <v>0</v>
      </c>
      <c r="FO8" s="141">
        <f>IFERROR(HLOOKUP(FO$1,'Release &amp; QC'!$C$1:$M$2,2,0),0)</f>
        <v>0</v>
      </c>
      <c r="FP8" s="141">
        <f>IFERROR(HLOOKUP(FP$1,'Release &amp; QC'!$C$1:$M$2,2,0),0)</f>
        <v>0</v>
      </c>
      <c r="FQ8" s="141">
        <f>IFERROR(HLOOKUP(FQ$1,'Release &amp; QC'!$C$1:$M$2,2,0),0)</f>
        <v>0</v>
      </c>
      <c r="FR8" s="141">
        <f>IFERROR(HLOOKUP(FR$1,'Release &amp; QC'!$C$1:$M$2,2,0),0)</f>
        <v>0</v>
      </c>
      <c r="FS8" s="141">
        <f>IFERROR(HLOOKUP(FS$1,'Release &amp; QC'!$C$1:$M$2,2,0),0)</f>
        <v>0</v>
      </c>
      <c r="FT8" s="141">
        <f>IFERROR(HLOOKUP(FT$1,'Release &amp; QC'!$C$1:$M$2,2,0),0)</f>
        <v>3836</v>
      </c>
      <c r="FU8" s="141">
        <f>IFERROR(HLOOKUP(FU$1,'Release &amp; QC'!$C$1:$M$2,2,0),0)</f>
        <v>0</v>
      </c>
      <c r="FV8" s="141">
        <f>IFERROR(HLOOKUP(FV$1,'Release &amp; QC'!$C$1:$M$2,2,0),0)</f>
        <v>0</v>
      </c>
      <c r="FW8" s="141">
        <f>IFERROR(HLOOKUP(FW$1,'Release &amp; QC'!$C$1:$M$2,2,0),0)</f>
        <v>0</v>
      </c>
      <c r="FX8" s="141">
        <f>IFERROR(HLOOKUP(FX$1,'Release &amp; QC'!$C$1:$M$2,2,0),0)</f>
        <v>0</v>
      </c>
      <c r="FY8" s="141">
        <f>IFERROR(HLOOKUP(FY$1,'Release &amp; QC'!$C$1:$M$2,2,0),0)</f>
        <v>0</v>
      </c>
      <c r="FZ8" s="141">
        <f>IFERROR(HLOOKUP(FZ$1,'Release &amp; QC'!$C$1:$M$2,2,0),0)</f>
        <v>0</v>
      </c>
      <c r="GA8" s="141">
        <f>IFERROR(HLOOKUP(GA$1,'Release &amp; QC'!$C$1:$M$2,2,0),0)</f>
        <v>0</v>
      </c>
      <c r="GB8" s="141">
        <f>IFERROR(HLOOKUP(GB$1,'Release &amp; QC'!$C$1:$M$2,2,0),0)</f>
        <v>0</v>
      </c>
      <c r="GC8" s="141">
        <f>IFERROR(HLOOKUP(GC$1,'Release &amp; QC'!$C$1:$M$2,2,0),0)</f>
        <v>0</v>
      </c>
      <c r="GD8" s="141">
        <f>IFERROR(HLOOKUP(GD$1,'Release &amp; QC'!$C$1:$M$2,2,0),0)</f>
        <v>0</v>
      </c>
      <c r="GE8" s="141">
        <f>IFERROR(HLOOKUP(GE$1,'Release &amp; QC'!$C$1:$M$2,2,0),0)</f>
        <v>0</v>
      </c>
      <c r="GF8" s="141">
        <f>IFERROR(HLOOKUP(GF$1,'Release &amp; QC'!$C$1:$M$2,2,0),0)</f>
        <v>0</v>
      </c>
      <c r="GG8" s="141">
        <f>IFERROR(HLOOKUP(GG$1,'Release &amp; QC'!$C$1:$M$2,2,0),0)</f>
        <v>0</v>
      </c>
      <c r="GH8" s="141">
        <f>IFERROR(HLOOKUP(GH$1,'Release &amp; QC'!$C$1:$M$2,2,0),0)</f>
        <v>0</v>
      </c>
      <c r="GI8" s="141">
        <f>IFERROR(HLOOKUP(GI$1,'Release &amp; QC'!$C$1:$M$2,2,0),0)</f>
        <v>0</v>
      </c>
      <c r="GJ8" s="141">
        <f>IFERROR(HLOOKUP(GJ$1,'Release &amp; QC'!$C$1:$M$2,2,0),0)</f>
        <v>0</v>
      </c>
      <c r="GK8" s="141">
        <f>IFERROR(HLOOKUP(GK$1,'Release &amp; QC'!$C$1:$M$2,2,0),0)</f>
        <v>0</v>
      </c>
      <c r="GL8" s="141">
        <f>IFERROR(HLOOKUP(GL$1,'Release &amp; QC'!$C$1:$M$2,2,0),0)</f>
        <v>0</v>
      </c>
      <c r="GM8" s="141">
        <f>IFERROR(HLOOKUP(GM$1,'Release &amp; QC'!$C$1:$M$2,2,0),0)</f>
        <v>0</v>
      </c>
      <c r="GN8" s="141">
        <f>IFERROR(HLOOKUP(GN$1,'Release &amp; QC'!$C$1:$M$2,2,0),0)</f>
        <v>0</v>
      </c>
      <c r="GO8" s="141">
        <f>IFERROR(HLOOKUP(GO$1,'Release &amp; QC'!$C$1:$M$2,2,0),0)</f>
        <v>0</v>
      </c>
      <c r="GP8" s="141">
        <f>IFERROR(HLOOKUP(GP$1,'Release &amp; QC'!$C$1:$M$2,2,0),0)</f>
        <v>4781</v>
      </c>
      <c r="GQ8" s="141">
        <f>IFERROR(HLOOKUP(GQ$1,'Release &amp; QC'!$C$1:$M$2,2,0),0)</f>
        <v>0</v>
      </c>
      <c r="GR8" s="141">
        <f>IFERROR(HLOOKUP(GR$1,'Release &amp; QC'!$C$1:$M$2,2,0),0)</f>
        <v>1282</v>
      </c>
    </row>
    <row r="9" spans="1:200">
      <c r="A9" s="143" t="s">
        <v>218</v>
      </c>
      <c r="B9" s="163">
        <f t="shared" si="0"/>
        <v>0</v>
      </c>
      <c r="C9" s="141">
        <f>IFERROR(HLOOKUP(C1,'Arrears_Nov''25'!$C$1:$G$5,5,0),0)</f>
        <v>0</v>
      </c>
      <c r="D9" s="141">
        <f>IFERROR(HLOOKUP(D1,'Arrears_Nov''25'!$C$1:$G$5,5,0),0)</f>
        <v>0</v>
      </c>
      <c r="E9" s="141">
        <f>IFERROR(HLOOKUP(E1,'Arrears_Nov''25'!$C$1:$G$5,5,0),0)</f>
        <v>0</v>
      </c>
      <c r="F9" s="141">
        <f>IFERROR(HLOOKUP(F1,'Arrears_Nov''25'!$C$1:$G$5,5,0),0)</f>
        <v>0</v>
      </c>
      <c r="G9" s="141">
        <f>IFERROR(HLOOKUP(G1,'Arrears_Nov''25'!$C$1:$G$5,5,0),0)</f>
        <v>0</v>
      </c>
      <c r="H9" s="141">
        <f>IFERROR(HLOOKUP(H1,'Arrears_Nov''25'!$C$1:$G$5,5,0),0)</f>
        <v>0</v>
      </c>
      <c r="I9" s="141">
        <f>IFERROR(HLOOKUP(I1,'Arrears_Nov''25'!$C$1:$G$5,5,0),0)</f>
        <v>0</v>
      </c>
      <c r="J9" s="141">
        <f>IFERROR(HLOOKUP(J1,'Arrears_Nov''25'!$C$1:$G$5,5,0),0)</f>
        <v>0</v>
      </c>
      <c r="K9" s="141">
        <f>IFERROR(HLOOKUP(K1,'Arrears_Nov''25'!$C$1:$G$5,5,0),0)</f>
        <v>0</v>
      </c>
      <c r="L9" s="141">
        <f>IFERROR(HLOOKUP(L1,'Arrears_Nov''25'!$C$1:$G$5,5,0),0)</f>
        <v>0</v>
      </c>
      <c r="M9" s="141">
        <f>IFERROR(HLOOKUP(M1,'Arrears_Nov''25'!$C$1:$G$5,5,0),0)</f>
        <v>0</v>
      </c>
      <c r="N9" s="141">
        <f>IFERROR(HLOOKUP(N1,'Arrears_Nov''25'!$C$1:$G$5,5,0),0)</f>
        <v>0</v>
      </c>
      <c r="O9" s="141">
        <f>IFERROR(HLOOKUP(O1,'Arrears_Nov''25'!$C$1:$G$5,5,0),0)</f>
        <v>0</v>
      </c>
      <c r="P9" s="141">
        <f>IFERROR(HLOOKUP(P1,'Arrears_Nov''25'!$C$1:$G$5,5,0),0)</f>
        <v>0</v>
      </c>
      <c r="Q9" s="141">
        <f>IFERROR(HLOOKUP(Q1,'Arrears_Nov''25'!$C$1:$G$5,5,0),0)</f>
        <v>0</v>
      </c>
      <c r="R9" s="141">
        <f>IFERROR(HLOOKUP(R1,'Arrears_Nov''25'!$C$1:$G$5,5,0),0)</f>
        <v>0</v>
      </c>
      <c r="S9" s="141">
        <f>IFERROR(HLOOKUP(S1,'Arrears_Nov''25'!$C$1:$G$5,5,0),0)</f>
        <v>0</v>
      </c>
      <c r="T9" s="141">
        <f>IFERROR(HLOOKUP(T1,'Arrears_Nov''25'!$C$1:$G$5,5,0),0)</f>
        <v>0</v>
      </c>
      <c r="U9" s="141">
        <f>IFERROR(HLOOKUP(U1,'Arrears_Nov''25'!$C$1:$G$5,5,0),0)</f>
        <v>0</v>
      </c>
      <c r="V9" s="141">
        <f>IFERROR(HLOOKUP(V1,'Arrears_Nov''25'!$C$1:$G$5,5,0),0)</f>
        <v>0</v>
      </c>
      <c r="W9" s="141">
        <f>IFERROR(HLOOKUP(W1,'Arrears_Nov''25'!$C$1:$G$5,5,0),0)</f>
        <v>0</v>
      </c>
      <c r="X9" s="141">
        <f>IFERROR(HLOOKUP(X1,'Arrears_Nov''25'!$C$1:$G$5,5,0),0)</f>
        <v>0</v>
      </c>
      <c r="Y9" s="141">
        <f>IFERROR(HLOOKUP(Y1,'Arrears_Nov''25'!$C$1:$G$5,5,0),0)</f>
        <v>0</v>
      </c>
      <c r="Z9" s="141">
        <f>IFERROR(HLOOKUP(Z1,'Arrears_Nov''25'!$C$1:$G$5,5,0),0)</f>
        <v>0</v>
      </c>
      <c r="AA9" s="141">
        <f>IFERROR(HLOOKUP(AA1,'Arrears_Nov''25'!$C$1:$G$5,5,0),0)</f>
        <v>0</v>
      </c>
      <c r="AB9" s="141">
        <f>IFERROR(HLOOKUP(AB1,'Arrears_Nov''25'!$C$1:$G$5,5,0),0)</f>
        <v>0</v>
      </c>
      <c r="AC9" s="141">
        <f>IFERROR(HLOOKUP(AC1,'Arrears_Nov''25'!$C$1:$G$5,5,0),0)</f>
        <v>0</v>
      </c>
      <c r="AD9" s="141">
        <f>IFERROR(HLOOKUP(AD1,'Arrears_Nov''25'!$C$1:$G$5,5,0),0)</f>
        <v>0</v>
      </c>
      <c r="AE9" s="141">
        <f>IFERROR(HLOOKUP(AE1,'Arrears_Nov''25'!$C$1:$G$5,5,0),0)</f>
        <v>0</v>
      </c>
      <c r="AF9" s="141">
        <f>IFERROR(HLOOKUP(AF1,'Arrears_Nov''25'!$C$1:$G$5,5,0),0)</f>
        <v>0</v>
      </c>
      <c r="AG9" s="141">
        <f>IFERROR(HLOOKUP(AG1,'Arrears_Nov''25'!$C$1:$G$5,5,0),0)</f>
        <v>0</v>
      </c>
      <c r="AH9" s="141">
        <f>IFERROR(HLOOKUP(AH1,'Arrears_Nov''25'!$C$1:$G$5,5,0),0)</f>
        <v>0</v>
      </c>
      <c r="AI9" s="141">
        <f>IFERROR(HLOOKUP(AI1,'Arrears_Nov''25'!$C$1:$G$5,5,0),0)</f>
        <v>0</v>
      </c>
      <c r="AJ9" s="141">
        <f>IFERROR(HLOOKUP(AJ1,'Arrears_Nov''25'!$C$1:$G$5,5,0),0)</f>
        <v>0</v>
      </c>
      <c r="AK9" s="141">
        <f>IFERROR(HLOOKUP(AK1,'Arrears_Nov''25'!$C$1:$G$5,5,0),0)</f>
        <v>0</v>
      </c>
      <c r="AL9" s="141">
        <f>IFERROR(HLOOKUP(AL1,'Arrears_Nov''25'!$C$1:$G$5,5,0),0)</f>
        <v>0</v>
      </c>
      <c r="AM9" s="141">
        <f>IFERROR(HLOOKUP(AM1,'Arrears_Nov''25'!$C$1:$G$5,5,0),0)</f>
        <v>0</v>
      </c>
      <c r="AN9" s="141">
        <f>IFERROR(HLOOKUP(AN1,'Arrears_Nov''25'!$C$1:$G$5,5,0),0)</f>
        <v>0</v>
      </c>
      <c r="AO9" s="141">
        <f>IFERROR(HLOOKUP(AO1,'Arrears_Nov''25'!$C$1:$G$5,5,0),0)</f>
        <v>0</v>
      </c>
      <c r="AP9" s="141">
        <f>IFERROR(HLOOKUP(AP1,'Arrears_Nov''25'!$C$1:$G$5,5,0),0)</f>
        <v>0</v>
      </c>
      <c r="AQ9" s="141">
        <f>IFERROR(HLOOKUP(AQ1,'Arrears_Nov''25'!$C$1:$G$5,5,0),0)</f>
        <v>0</v>
      </c>
      <c r="AR9" s="141">
        <f>IFERROR(HLOOKUP(AR1,'Arrears_Nov''25'!$C$1:$G$5,5,0),0)</f>
        <v>0</v>
      </c>
      <c r="AS9" s="141">
        <f>IFERROR(HLOOKUP(AS1,'Arrears_Nov''25'!$C$1:$G$5,5,0),0)</f>
        <v>0</v>
      </c>
      <c r="AT9" s="141">
        <f>IFERROR(HLOOKUP(AT1,'Arrears_Nov''25'!$C$1:$G$5,5,0),0)</f>
        <v>0</v>
      </c>
      <c r="AU9" s="141">
        <f>IFERROR(HLOOKUP(AU1,'Arrears_Nov''25'!$C$1:$G$5,5,0),0)</f>
        <v>0</v>
      </c>
      <c r="AV9" s="141">
        <f>IFERROR(HLOOKUP(AV1,'Arrears_Nov''25'!$C$1:$G$5,5,0),0)</f>
        <v>0</v>
      </c>
      <c r="AW9" s="141">
        <f>IFERROR(HLOOKUP(AW1,'Arrears_Nov''25'!$C$1:$G$5,5,0),0)</f>
        <v>0</v>
      </c>
      <c r="AX9" s="141">
        <f>IFERROR(HLOOKUP(AX1,'Arrears_Nov''25'!$C$1:$G$5,5,0),0)</f>
        <v>0</v>
      </c>
      <c r="AY9" s="141">
        <f>IFERROR(HLOOKUP(AY1,'Arrears_Nov''25'!$C$1:$G$5,5,0),0)</f>
        <v>0</v>
      </c>
      <c r="AZ9" s="141">
        <f>IFERROR(HLOOKUP(AZ1,'Arrears_Nov''25'!$C$1:$G$5,5,0),0)</f>
        <v>0</v>
      </c>
      <c r="BA9" s="141">
        <f>IFERROR(HLOOKUP(BA1,'Arrears_Nov''25'!$C$1:$G$5,5,0),0)</f>
        <v>0</v>
      </c>
      <c r="BB9" s="141">
        <f>IFERROR(HLOOKUP(BB1,'Arrears_Nov''25'!$C$1:$G$5,5,0),0)</f>
        <v>0</v>
      </c>
      <c r="BC9" s="141">
        <f>IFERROR(HLOOKUP(BC1,'Arrears_Nov''25'!$C$1:$G$5,5,0),0)</f>
        <v>0</v>
      </c>
      <c r="BD9" s="141">
        <f>IFERROR(HLOOKUP(BD1,'Arrears_Nov''25'!$C$1:$G$5,5,0),0)</f>
        <v>0</v>
      </c>
      <c r="BE9" s="141">
        <f>IFERROR(HLOOKUP(BE1,'Arrears_Nov''25'!$C$1:$G$5,5,0),0)</f>
        <v>0</v>
      </c>
      <c r="BF9" s="141">
        <f>IFERROR(HLOOKUP(BF1,'Arrears_Nov''25'!$C$1:$G$5,5,0),0)</f>
        <v>0</v>
      </c>
      <c r="BG9" s="141">
        <f>IFERROR(HLOOKUP(BG1,'Arrears_Nov''25'!$C$1:$G$5,5,0),0)</f>
        <v>0</v>
      </c>
      <c r="BH9" s="141">
        <f>IFERROR(HLOOKUP(BH1,'Arrears_Nov''25'!$C$1:$G$5,5,0),0)</f>
        <v>0</v>
      </c>
      <c r="BI9" s="141">
        <f>IFERROR(HLOOKUP(BI1,'Arrears_Nov''25'!$C$1:$G$5,5,0),0)</f>
        <v>0</v>
      </c>
      <c r="BJ9" s="141">
        <f>IFERROR(HLOOKUP(BJ1,'Arrears_Nov''25'!$C$1:$G$5,5,0),0)</f>
        <v>0</v>
      </c>
      <c r="BK9" s="141">
        <f>IFERROR(HLOOKUP(BK1,'Arrears_Nov''25'!$C$1:$G$5,5,0),0)</f>
        <v>0</v>
      </c>
      <c r="BL9" s="141">
        <f>IFERROR(HLOOKUP(BL1,'Arrears_Nov''25'!$C$1:$G$5,5,0),0)</f>
        <v>0</v>
      </c>
      <c r="BM9" s="141">
        <f>IFERROR(HLOOKUP(BM1,'Arrears_Nov''25'!$C$1:$G$5,5,0),0)</f>
        <v>0</v>
      </c>
      <c r="BN9" s="141">
        <f>IFERROR(HLOOKUP(BN1,'Arrears_Nov''25'!$C$1:$G$5,5,0),0)</f>
        <v>0</v>
      </c>
      <c r="BO9" s="141">
        <f>IFERROR(HLOOKUP(BO1,'Arrears_Nov''25'!$C$1:$G$5,5,0),0)</f>
        <v>0</v>
      </c>
      <c r="BP9" s="141">
        <f>IFERROR(HLOOKUP(BP1,'Arrears_Nov''25'!$C$1:$G$5,5,0),0)</f>
        <v>0</v>
      </c>
      <c r="BQ9" s="141">
        <f>IFERROR(HLOOKUP(BQ1,'Arrears_Nov''25'!$C$1:$G$5,5,0),0)</f>
        <v>0</v>
      </c>
      <c r="BR9" s="141">
        <f>IFERROR(HLOOKUP(BR1,'Arrears_Nov''25'!$C$1:$G$5,5,0),0)</f>
        <v>0</v>
      </c>
      <c r="BS9" s="141">
        <f>IFERROR(HLOOKUP(BS1,'Arrears_Nov''25'!$C$1:$G$5,5,0),0)</f>
        <v>0</v>
      </c>
      <c r="BT9" s="141">
        <f>IFERROR(HLOOKUP(BT1,'Arrears_Nov''25'!$C$1:$G$5,5,0),0)</f>
        <v>0</v>
      </c>
      <c r="BU9" s="141">
        <f>IFERROR(HLOOKUP(BU1,'Arrears_Nov''25'!$C$1:$G$5,5,0),0)</f>
        <v>0</v>
      </c>
      <c r="BV9" s="141">
        <f>IFERROR(HLOOKUP(BV1,'Arrears_Nov''25'!$C$1:$G$5,5,0),0)</f>
        <v>0</v>
      </c>
      <c r="BW9" s="141">
        <f>IFERROR(HLOOKUP(BW1,'Arrears_Nov''25'!$C$1:$G$5,5,0),0)</f>
        <v>0</v>
      </c>
      <c r="BX9" s="141">
        <f>IFERROR(HLOOKUP(BX1,'Arrears_Nov''25'!$C$1:$G$5,5,0),0)</f>
        <v>0</v>
      </c>
      <c r="BY9" s="141">
        <f>IFERROR(HLOOKUP(BY1,'Arrears_Nov''25'!$C$1:$G$5,5,0),0)</f>
        <v>0</v>
      </c>
      <c r="BZ9" s="141">
        <f>IFERROR(HLOOKUP(BZ1,'Arrears_Nov''25'!$C$1:$G$5,5,0),0)</f>
        <v>0</v>
      </c>
      <c r="CA9" s="141">
        <f>IFERROR(HLOOKUP(CA1,'Arrears_Nov''25'!$C$1:$G$5,5,0),0)</f>
        <v>0</v>
      </c>
      <c r="CB9" s="141">
        <f>IFERROR(HLOOKUP(CB1,'Arrears_Nov''25'!$C$1:$G$5,5,0),0)</f>
        <v>0</v>
      </c>
      <c r="CC9" s="141">
        <f>IFERROR(HLOOKUP(CC1,'Arrears_Nov''25'!$C$1:$G$5,5,0),0)</f>
        <v>0</v>
      </c>
      <c r="CD9" s="141">
        <f>IFERROR(HLOOKUP(CD1,'Arrears_Nov''25'!$C$1:$G$5,5,0),0)</f>
        <v>0</v>
      </c>
      <c r="CE9" s="141">
        <f>IFERROR(HLOOKUP(CE1,'Arrears_Nov''25'!$C$1:$G$5,5,0),0)</f>
        <v>0</v>
      </c>
      <c r="CF9" s="141">
        <f>IFERROR(HLOOKUP(CF1,'Arrears_Nov''25'!$C$1:$G$5,5,0),0)</f>
        <v>0</v>
      </c>
      <c r="CG9" s="141">
        <f>IFERROR(HLOOKUP(CG1,'Arrears_Nov''25'!$C$1:$G$5,5,0),0)</f>
        <v>0</v>
      </c>
      <c r="CH9" s="141">
        <f>IFERROR(HLOOKUP(CH1,'Arrears_Nov''25'!$C$1:$G$5,5,0),0)</f>
        <v>0</v>
      </c>
      <c r="CI9" s="141">
        <f>IFERROR(HLOOKUP(CI1,'Arrears_Nov''25'!$C$1:$G$5,5,0),0)</f>
        <v>0</v>
      </c>
      <c r="CJ9" s="141">
        <f>IFERROR(HLOOKUP(CJ1,'Arrears_Nov''25'!$C$1:$G$5,5,0),0)</f>
        <v>0</v>
      </c>
      <c r="CK9" s="141">
        <f>IFERROR(HLOOKUP(CK1,'Arrears_Nov''25'!$C$1:$G$5,5,0),0)</f>
        <v>0</v>
      </c>
      <c r="CL9" s="141">
        <f>IFERROR(HLOOKUP(CL1,'Arrears_Nov''25'!$C$1:$G$5,5,0),0)</f>
        <v>0</v>
      </c>
      <c r="CM9" s="141">
        <f>IFERROR(HLOOKUP(CM1,'Arrears_Nov''25'!$C$1:$G$5,5,0),0)</f>
        <v>0</v>
      </c>
      <c r="CN9" s="141">
        <f>IFERROR(HLOOKUP(CN1,'Arrears_Nov''25'!$C$1:$G$5,5,0),0)</f>
        <v>0</v>
      </c>
      <c r="CO9" s="141">
        <f>IFERROR(HLOOKUP(CO1,'Arrears_Nov''25'!$C$1:$G$5,5,0),0)</f>
        <v>0</v>
      </c>
      <c r="CP9" s="141">
        <f>IFERROR(HLOOKUP(CP1,'Arrears_Nov''25'!$C$1:$G$5,5,0),0)</f>
        <v>0</v>
      </c>
      <c r="CQ9" s="141">
        <f>IFERROR(HLOOKUP(CQ1,'Arrears_Nov''25'!$C$1:$G$5,5,0),0)</f>
        <v>0</v>
      </c>
      <c r="CR9" s="141">
        <f>IFERROR(HLOOKUP(CR1,'Arrears_Nov''25'!$C$1:$G$5,5,0),0)</f>
        <v>0</v>
      </c>
      <c r="CS9" s="141">
        <f>IFERROR(HLOOKUP(CS1,'Arrears_Nov''25'!$C$1:$G$5,5,0),0)</f>
        <v>0</v>
      </c>
      <c r="CT9" s="141">
        <f>IFERROR(HLOOKUP(CT1,'Arrears_Nov''25'!$C$1:$G$5,5,0),0)</f>
        <v>0</v>
      </c>
      <c r="CU9" s="141">
        <f>IFERROR(HLOOKUP(CU1,'Arrears_Nov''25'!$C$1:$G$5,5,0),0)</f>
        <v>0</v>
      </c>
      <c r="CV9" s="141">
        <f>IFERROR(HLOOKUP(CV1,'Arrears_Nov''25'!$C$1:$G$5,5,0),0)</f>
        <v>0</v>
      </c>
      <c r="CW9" s="141">
        <f>IFERROR(HLOOKUP(CW1,'Arrears_Nov''25'!$C$1:$G$5,5,0),0)</f>
        <v>0</v>
      </c>
      <c r="CX9" s="141">
        <f>IFERROR(HLOOKUP(CX1,'Arrears_Nov''25'!$C$1:$G$5,5,0),0)</f>
        <v>0</v>
      </c>
      <c r="CY9" s="141">
        <f>IFERROR(HLOOKUP(CY1,'Arrears_Nov''25'!$C$1:$G$5,5,0),0)</f>
        <v>0</v>
      </c>
      <c r="CZ9" s="141">
        <f>IFERROR(HLOOKUP(CZ1,'Arrears_Nov''25'!$C$1:$G$5,5,0),0)</f>
        <v>0</v>
      </c>
      <c r="DA9" s="141">
        <f>IFERROR(HLOOKUP(DA1,'Arrears_Nov''25'!$C$1:$G$5,5,0),0)</f>
        <v>0</v>
      </c>
      <c r="DB9" s="141">
        <f>IFERROR(HLOOKUP(DB1,'Arrears_Nov''25'!$C$1:$G$5,5,0),0)</f>
        <v>0</v>
      </c>
      <c r="DC9" s="141">
        <f>IFERROR(HLOOKUP(DC1,'Arrears_Nov''25'!$C$1:$G$5,5,0),0)</f>
        <v>0</v>
      </c>
      <c r="DD9" s="141">
        <f>IFERROR(HLOOKUP(DD1,'Arrears_Nov''25'!$C$1:$G$5,5,0),0)</f>
        <v>0</v>
      </c>
      <c r="DE9" s="141">
        <f>IFERROR(HLOOKUP(DE1,'Arrears_Nov''25'!$C$1:$G$5,5,0),0)</f>
        <v>0</v>
      </c>
      <c r="DF9" s="141">
        <f>IFERROR(HLOOKUP(DF1,'Arrears_Nov''25'!$C$1:$G$5,5,0),0)</f>
        <v>0</v>
      </c>
      <c r="DG9" s="141">
        <f>IFERROR(HLOOKUP(DG1,'Arrears_Nov''25'!$C$1:$G$5,5,0),0)</f>
        <v>0</v>
      </c>
      <c r="DH9" s="141">
        <f>IFERROR(HLOOKUP(DH1,'Arrears_Nov''25'!$C$1:$G$5,5,0),0)</f>
        <v>0</v>
      </c>
      <c r="DI9" s="141">
        <f>IFERROR(HLOOKUP(DI1,'Arrears_Nov''25'!$C$1:$G$5,5,0),0)</f>
        <v>0</v>
      </c>
      <c r="DJ9" s="141">
        <f>IFERROR(HLOOKUP(DJ1,'Arrears_Nov''25'!$C$1:$G$5,5,0),0)</f>
        <v>0</v>
      </c>
      <c r="DK9" s="141">
        <f>IFERROR(HLOOKUP(DK1,'Arrears_Nov''25'!$C$1:$G$5,5,0),0)</f>
        <v>0</v>
      </c>
      <c r="DL9" s="141">
        <f>IFERROR(HLOOKUP(DL1,'Arrears_Nov''25'!$C$1:$G$5,5,0),0)</f>
        <v>0</v>
      </c>
      <c r="DM9" s="141">
        <f>IFERROR(HLOOKUP(DM1,'Arrears_Nov''25'!$C$1:$G$5,5,0),0)</f>
        <v>0</v>
      </c>
      <c r="DN9" s="141">
        <f>IFERROR(HLOOKUP(DN1,'Arrears_Nov''25'!$C$1:$G$5,5,0),0)</f>
        <v>0</v>
      </c>
      <c r="DO9" s="141">
        <f>IFERROR(HLOOKUP(DO1,'Arrears_Nov''25'!$C$1:$G$5,5,0),0)</f>
        <v>0</v>
      </c>
      <c r="DP9" s="141">
        <f>IFERROR(HLOOKUP(DP1,'Arrears_Nov''25'!$C$1:$G$5,5,0),0)</f>
        <v>0</v>
      </c>
      <c r="DQ9" s="141">
        <f>IFERROR(HLOOKUP(DQ1,'Arrears_Nov''25'!$C$1:$G$5,5,0),0)</f>
        <v>0</v>
      </c>
      <c r="DR9" s="141">
        <f>IFERROR(HLOOKUP(DR1,'Arrears_Nov''25'!$C$1:$G$5,5,0),0)</f>
        <v>0</v>
      </c>
      <c r="DS9" s="141">
        <f>IFERROR(HLOOKUP(DS1,'Arrears_Nov''25'!$C$1:$G$5,5,0),0)</f>
        <v>0</v>
      </c>
      <c r="DT9" s="141">
        <f>IFERROR(HLOOKUP(DT1,'Arrears_Nov''25'!$C$1:$G$5,5,0),0)</f>
        <v>0</v>
      </c>
      <c r="DU9" s="141">
        <f>IFERROR(HLOOKUP(DU1,'Arrears_Nov''25'!$C$1:$G$5,5,0),0)</f>
        <v>0</v>
      </c>
      <c r="DV9" s="141">
        <f>IFERROR(HLOOKUP(DV1,'Arrears_Nov''25'!$C$1:$G$5,5,0),0)</f>
        <v>0</v>
      </c>
      <c r="DW9" s="141">
        <f>IFERROR(HLOOKUP(DW1,'Arrears_Nov''25'!$C$1:$G$5,5,0),0)</f>
        <v>0</v>
      </c>
      <c r="DX9" s="141">
        <f>IFERROR(HLOOKUP(DX1,'Arrears_Nov''25'!$C$1:$G$5,5,0),0)</f>
        <v>0</v>
      </c>
      <c r="DY9" s="141">
        <f>IFERROR(HLOOKUP(DY1,'Arrears_Nov''25'!$C$1:$G$5,5,0),0)</f>
        <v>0</v>
      </c>
      <c r="DZ9" s="141">
        <f>IFERROR(HLOOKUP(DZ1,'Arrears_Nov''25'!$C$1:$G$5,5,0),0)</f>
        <v>0</v>
      </c>
      <c r="EA9" s="141">
        <f>IFERROR(HLOOKUP(EA1,'Arrears_Nov''25'!$C$1:$G$5,5,0),0)</f>
        <v>0</v>
      </c>
      <c r="EB9" s="141">
        <f>IFERROR(HLOOKUP(EB1,'Arrears_Nov''25'!$C$1:$G$5,5,0),0)</f>
        <v>0</v>
      </c>
      <c r="EC9" s="141">
        <f>IFERROR(HLOOKUP(EC1,'Arrears_Nov''25'!$C$1:$G$5,5,0),0)</f>
        <v>0</v>
      </c>
      <c r="ED9" s="141">
        <f>IFERROR(HLOOKUP(ED1,'Arrears_Nov''25'!$C$1:$G$5,5,0),0)</f>
        <v>0</v>
      </c>
      <c r="EE9" s="141">
        <f>IFERROR(HLOOKUP(EE1,'Arrears_Nov''25'!$C$1:$G$5,5,0),0)</f>
        <v>0</v>
      </c>
      <c r="EF9" s="141">
        <f>IFERROR(HLOOKUP(EF1,'Arrears_Nov''25'!$C$1:$G$5,5,0),0)</f>
        <v>0</v>
      </c>
      <c r="EG9" s="141">
        <f>IFERROR(HLOOKUP(EG1,'Arrears_Nov''25'!$C$1:$G$5,5,0),0)</f>
        <v>0</v>
      </c>
      <c r="EH9" s="141">
        <f>IFERROR(HLOOKUP(EH1,'Arrears_Nov''25'!$C$1:$G$5,5,0),0)</f>
        <v>0</v>
      </c>
      <c r="EI9" s="141">
        <f>IFERROR(HLOOKUP(EI1,'Arrears_Nov''25'!$C$1:$G$5,5,0),0)</f>
        <v>0</v>
      </c>
      <c r="EJ9" s="141">
        <f>IFERROR(HLOOKUP(EJ1,'Arrears_Nov''25'!$C$1:$G$5,5,0),0)</f>
        <v>0</v>
      </c>
      <c r="EK9" s="141">
        <f>IFERROR(HLOOKUP(EK1,'Arrears_Nov''25'!$C$1:$G$5,5,0),0)</f>
        <v>0</v>
      </c>
      <c r="EL9" s="141">
        <f>IFERROR(HLOOKUP(EL1,'Arrears_Nov''25'!$C$1:$G$5,5,0),0)</f>
        <v>0</v>
      </c>
      <c r="EM9" s="141">
        <f>IFERROR(HLOOKUP(EM1,'Arrears_Nov''25'!$C$1:$G$5,5,0),0)</f>
        <v>0</v>
      </c>
      <c r="EN9" s="141">
        <f>IFERROR(HLOOKUP(EN1,'Arrears_Nov''25'!$C$1:$G$5,5,0),0)</f>
        <v>0</v>
      </c>
      <c r="EO9" s="141">
        <f>IFERROR(HLOOKUP(EO1,'Arrears_Nov''25'!$C$1:$G$5,5,0),0)</f>
        <v>0</v>
      </c>
      <c r="EP9" s="141">
        <f>IFERROR(HLOOKUP(EP1,'Arrears_Nov''25'!$C$1:$G$5,5,0),0)</f>
        <v>0</v>
      </c>
      <c r="EQ9" s="141">
        <f>IFERROR(HLOOKUP(EQ1,'Arrears_Nov''25'!$C$1:$G$5,5,0),0)</f>
        <v>0</v>
      </c>
      <c r="ER9" s="141">
        <f>IFERROR(HLOOKUP(ER1,'Arrears_Nov''25'!$C$1:$G$5,5,0),0)</f>
        <v>0</v>
      </c>
      <c r="ES9" s="141">
        <f>IFERROR(HLOOKUP(ES1,'Arrears_Nov''25'!$C$1:$G$5,5,0),0)</f>
        <v>0</v>
      </c>
      <c r="ET9" s="141">
        <f>IFERROR(HLOOKUP(ET1,'Arrears_Nov''25'!$C$1:$G$5,5,0),0)</f>
        <v>0</v>
      </c>
      <c r="EU9" s="141">
        <f>IFERROR(HLOOKUP(EU1,'Arrears_Nov''25'!$C$1:$G$5,5,0),0)</f>
        <v>0</v>
      </c>
      <c r="EV9" s="141">
        <f>IFERROR(HLOOKUP(EV1,'Arrears_Nov''25'!$C$1:$G$5,5,0),0)</f>
        <v>0</v>
      </c>
      <c r="EW9" s="141">
        <f>IFERROR(HLOOKUP(EW1,'Arrears_Nov''25'!$C$1:$G$5,5,0),0)</f>
        <v>0</v>
      </c>
      <c r="EX9" s="141">
        <f>IFERROR(HLOOKUP(EX1,'Arrears_Nov''25'!$C$1:$G$5,5,0),0)</f>
        <v>0</v>
      </c>
      <c r="EY9" s="141">
        <f>IFERROR(HLOOKUP(EY1,'Arrears_Nov''25'!$C$1:$G$5,5,0),0)</f>
        <v>0</v>
      </c>
      <c r="EZ9" s="141">
        <f>IFERROR(HLOOKUP(EZ1,'Arrears_Nov''25'!$C$1:$G$5,5,0),0)</f>
        <v>0</v>
      </c>
      <c r="FA9" s="141">
        <f>IFERROR(HLOOKUP(FA1,'Arrears_Nov''25'!$C$1:$G$5,5,0),0)</f>
        <v>0</v>
      </c>
      <c r="FB9" s="141">
        <f>IFERROR(HLOOKUP(FB1,'Arrears_Nov''25'!$C$1:$G$5,5,0),0)</f>
        <v>0</v>
      </c>
      <c r="FC9" s="141">
        <f>IFERROR(HLOOKUP(FC1,'Arrears_Nov''25'!$C$1:$G$5,5,0),0)</f>
        <v>0</v>
      </c>
      <c r="FD9" s="141">
        <f>IFERROR(HLOOKUP(FD1,'Arrears_Nov''25'!$C$1:$G$5,5,0),0)</f>
        <v>0</v>
      </c>
      <c r="FE9" s="141">
        <f>IFERROR(HLOOKUP(FE1,'Arrears_Nov''25'!$C$1:$G$5,5,0),0)</f>
        <v>0</v>
      </c>
      <c r="FF9" s="141">
        <f>IFERROR(HLOOKUP(FF1,'Arrears_Nov''25'!$C$1:$G$5,5,0),0)</f>
        <v>0</v>
      </c>
      <c r="FG9" s="141">
        <f>IFERROR(HLOOKUP(FG1,'Arrears_Nov''25'!$C$1:$G$5,5,0),0)</f>
        <v>0</v>
      </c>
      <c r="FH9" s="141">
        <f>IFERROR(HLOOKUP(FH1,'Arrears_Nov''25'!$C$1:$G$5,5,0),0)</f>
        <v>0</v>
      </c>
      <c r="FI9" s="141">
        <f>IFERROR(HLOOKUP(FI1,'Arrears_Nov''25'!$C$1:$G$5,5,0),0)</f>
        <v>0</v>
      </c>
      <c r="FJ9" s="141">
        <f>IFERROR(HLOOKUP(FJ1,'Arrears_Nov''25'!$C$1:$G$5,5,0),0)</f>
        <v>0</v>
      </c>
      <c r="FK9" s="141">
        <f>IFERROR(HLOOKUP(FK1,'Arrears_Nov''25'!$C$1:$G$5,5,0),0)</f>
        <v>0</v>
      </c>
      <c r="FL9" s="141">
        <f>IFERROR(HLOOKUP(FL1,'Arrears_Nov''25'!$C$1:$G$5,5,0),0)</f>
        <v>0</v>
      </c>
      <c r="FM9" s="141">
        <f>IFERROR(HLOOKUP(FM1,'Arrears_Nov''25'!$C$1:$G$5,5,0),0)</f>
        <v>0</v>
      </c>
      <c r="FN9" s="141">
        <f>IFERROR(HLOOKUP(FN1,'Arrears_Nov''25'!$C$1:$G$5,5,0),0)</f>
        <v>0</v>
      </c>
      <c r="FO9" s="141">
        <f>IFERROR(HLOOKUP(FO1,'Arrears_Nov''25'!$C$1:$G$5,5,0),0)</f>
        <v>0</v>
      </c>
      <c r="FP9" s="141">
        <f>IFERROR(HLOOKUP(FP1,'Arrears_Nov''25'!$C$1:$G$5,5,0),0)</f>
        <v>0</v>
      </c>
      <c r="FQ9" s="141">
        <f>IFERROR(HLOOKUP(FQ1,'Arrears_Nov''25'!$C$1:$G$5,5,0),0)</f>
        <v>0</v>
      </c>
      <c r="FR9" s="141">
        <f>IFERROR(HLOOKUP(FR1,'Arrears_Nov''25'!$C$1:$G$5,5,0),0)</f>
        <v>0</v>
      </c>
      <c r="FS9" s="141">
        <f>IFERROR(HLOOKUP(FS1,'Arrears_Nov''25'!$C$1:$G$5,5,0),0)</f>
        <v>0</v>
      </c>
      <c r="FT9" s="141">
        <f>IFERROR(HLOOKUP(FT1,'Arrears_Nov''25'!$C$1:$G$5,5,0),0)</f>
        <v>0</v>
      </c>
      <c r="FU9" s="141">
        <f>IFERROR(HLOOKUP(FU1,'Arrears_Nov''25'!$C$1:$G$5,5,0),0)</f>
        <v>0</v>
      </c>
      <c r="FV9" s="141">
        <f>IFERROR(HLOOKUP(FV1,'Arrears_Nov''25'!$C$1:$G$5,5,0),0)</f>
        <v>0</v>
      </c>
      <c r="FW9" s="141">
        <f>IFERROR(HLOOKUP(FW1,'Arrears_Nov''25'!$C$1:$G$5,5,0),0)</f>
        <v>0</v>
      </c>
      <c r="FX9" s="141">
        <f>IFERROR(HLOOKUP(FX1,'Arrears_Nov''25'!$C$1:$G$5,5,0),0)</f>
        <v>0</v>
      </c>
      <c r="FY9" s="141">
        <f>IFERROR(HLOOKUP(FY1,'Arrears_Nov''25'!$C$1:$G$5,5,0),0)</f>
        <v>0</v>
      </c>
      <c r="FZ9" s="141">
        <f>IFERROR(HLOOKUP(FZ1,'Arrears_Nov''25'!$C$1:$G$5,5,0),0)</f>
        <v>0</v>
      </c>
      <c r="GA9" s="141">
        <f>IFERROR(HLOOKUP(GA1,'Arrears_Nov''25'!$C$1:$G$5,5,0),0)</f>
        <v>0</v>
      </c>
      <c r="GB9" s="141">
        <f>IFERROR(HLOOKUP(GB1,'Arrears_Nov''25'!$C$1:$G$5,5,0),0)</f>
        <v>0</v>
      </c>
      <c r="GC9" s="141">
        <f>IFERROR(HLOOKUP(GC1,'Arrears_Nov''25'!$C$1:$G$5,5,0),0)</f>
        <v>0</v>
      </c>
      <c r="GD9" s="141">
        <f>IFERROR(HLOOKUP(GD1,'Arrears_Nov''25'!$C$1:$G$5,5,0),0)</f>
        <v>0</v>
      </c>
      <c r="GE9" s="141">
        <f>IFERROR(HLOOKUP(GE1,'Arrears_Nov''25'!$C$1:$G$5,5,0),0)</f>
        <v>0</v>
      </c>
      <c r="GF9" s="141">
        <f>IFERROR(HLOOKUP(GF1,'Arrears_Nov''25'!$C$1:$G$5,5,0),0)</f>
        <v>0</v>
      </c>
      <c r="GG9" s="141">
        <f>IFERROR(HLOOKUP(GG1,'Arrears_Nov''25'!$C$1:$G$5,5,0),0)</f>
        <v>0</v>
      </c>
      <c r="GH9" s="141">
        <f>IFERROR(HLOOKUP(GH1,'Arrears_Nov''25'!$C$1:$G$5,5,0),0)</f>
        <v>0</v>
      </c>
      <c r="GI9" s="141">
        <f>IFERROR(HLOOKUP(GI1,'Arrears_Nov''25'!$C$1:$G$5,5,0),0)</f>
        <v>0</v>
      </c>
      <c r="GJ9" s="141">
        <f>IFERROR(HLOOKUP(GJ1,'Arrears_Nov''25'!$C$1:$G$5,5,0),0)</f>
        <v>0</v>
      </c>
      <c r="GK9" s="141">
        <f>IFERROR(HLOOKUP(GK1,'Arrears_Nov''25'!$C$1:$G$5,5,0),0)</f>
        <v>0</v>
      </c>
      <c r="GL9" s="141">
        <f>IFERROR(HLOOKUP(GL1,'Arrears_Nov''25'!$C$1:$G$5,5,0),0)</f>
        <v>0</v>
      </c>
      <c r="GM9" s="141">
        <f>IFERROR(HLOOKUP(GM1,'Arrears_Nov''25'!$C$1:$G$5,5,0),0)</f>
        <v>0</v>
      </c>
      <c r="GN9" s="141">
        <f>IFERROR(HLOOKUP(GN1,'Arrears_Nov''25'!$C$1:$G$5,5,0),0)</f>
        <v>0</v>
      </c>
      <c r="GO9" s="141">
        <f>IFERROR(HLOOKUP(GO1,'Arrears_Nov''25'!$C$1:$G$5,5,0),0)</f>
        <v>0</v>
      </c>
      <c r="GP9" s="141">
        <f>IFERROR(HLOOKUP(GP1,'Arrears_Nov''25'!$C$1:$G$5,5,0),0)</f>
        <v>0</v>
      </c>
      <c r="GQ9" s="141">
        <f>IFERROR(HLOOKUP(GQ1,'Arrears_Nov''25'!$C$1:$G$5,5,0),0)</f>
        <v>0</v>
      </c>
      <c r="GR9" s="141">
        <f>IFERROR(HLOOKUP(GR1,'Arrears_Nov''25'!$C$1:$G$5,5,0),0)</f>
        <v>0</v>
      </c>
    </row>
    <row r="10" spans="1:200">
      <c r="A10" s="143" t="s">
        <v>219</v>
      </c>
      <c r="B10" s="163">
        <f t="shared" si="0"/>
        <v>525.5</v>
      </c>
      <c r="C10" s="141">
        <f>IFERROR(HLOOKUP(C1,'Datavant QC'!$B$1:$E$3,3,0),0)</f>
        <v>0</v>
      </c>
      <c r="D10" s="141">
        <f>IFERROR(HLOOKUP(D1,'Datavant QC'!$B$1:$E$3,3,0),0)</f>
        <v>0</v>
      </c>
      <c r="E10" s="141">
        <f>IFERROR(HLOOKUP(E1,'Datavant QC'!$B$1:$E$3,3,0),0)</f>
        <v>0</v>
      </c>
      <c r="F10" s="141">
        <f>IFERROR(HLOOKUP(F1,'Datavant QC'!$B$1:$E$3,3,0),0)</f>
        <v>0</v>
      </c>
      <c r="G10" s="141">
        <f>IFERROR(HLOOKUP(G1,'Datavant QC'!$B$1:$E$3,3,0),0)</f>
        <v>0</v>
      </c>
      <c r="H10" s="141">
        <f>IFERROR(HLOOKUP(H1,'Datavant QC'!$B$1:$E$3,3,0),0)</f>
        <v>0</v>
      </c>
      <c r="I10" s="141">
        <f>IFERROR(HLOOKUP(I1,'Datavant QC'!$B$1:$E$3,3,0),0)</f>
        <v>0</v>
      </c>
      <c r="J10" s="141">
        <f>IFERROR(HLOOKUP(J1,'Datavant QC'!$B$1:$E$3,3,0),0)</f>
        <v>0</v>
      </c>
      <c r="K10" s="141">
        <f>IFERROR(HLOOKUP(K1,'Datavant QC'!$B$1:$E$3,3,0),0)</f>
        <v>0</v>
      </c>
      <c r="L10" s="141">
        <f>IFERROR(HLOOKUP(L1,'Datavant QC'!$B$1:$E$3,3,0),0)</f>
        <v>0</v>
      </c>
      <c r="M10" s="141">
        <f>IFERROR(HLOOKUP(M1,'Datavant QC'!$B$1:$E$3,3,0),0)</f>
        <v>0</v>
      </c>
      <c r="N10" s="141">
        <f>IFERROR(HLOOKUP(N1,'Datavant QC'!$B$1:$E$3,3,0),0)</f>
        <v>0</v>
      </c>
      <c r="O10" s="141">
        <f>IFERROR(HLOOKUP(O1,'Datavant QC'!$B$1:$E$3,3,0),0)</f>
        <v>0</v>
      </c>
      <c r="P10" s="141">
        <f>IFERROR(HLOOKUP(P1,'Datavant QC'!$B$1:$E$3,3,0),0)</f>
        <v>0</v>
      </c>
      <c r="Q10" s="141">
        <f>IFERROR(HLOOKUP(Q1,'Datavant QC'!$B$1:$E$3,3,0),0)</f>
        <v>0</v>
      </c>
      <c r="R10" s="141">
        <f>IFERROR(HLOOKUP(R1,'Datavant QC'!$B$1:$E$3,3,0),0)</f>
        <v>0</v>
      </c>
      <c r="S10" s="141">
        <f>IFERROR(HLOOKUP(S1,'Datavant QC'!$B$1:$E$3,3,0),0)</f>
        <v>0</v>
      </c>
      <c r="T10" s="141">
        <f>IFERROR(HLOOKUP(T1,'Datavant QC'!$B$1:$E$3,3,0),0)</f>
        <v>0</v>
      </c>
      <c r="U10" s="141">
        <f>IFERROR(HLOOKUP(U1,'Datavant QC'!$B$1:$E$3,3,0),0)</f>
        <v>0</v>
      </c>
      <c r="V10" s="141">
        <f>IFERROR(HLOOKUP(V1,'Datavant QC'!$B$1:$E$3,3,0),0)</f>
        <v>36.5</v>
      </c>
      <c r="W10" s="141">
        <f>IFERROR(HLOOKUP(W1,'Datavant QC'!$B$1:$E$3,3,0),0)</f>
        <v>0</v>
      </c>
      <c r="X10" s="141">
        <f>IFERROR(HLOOKUP(X1,'Datavant QC'!$B$1:$E$3,3,0),0)</f>
        <v>0</v>
      </c>
      <c r="Y10" s="141">
        <f>IFERROR(HLOOKUP(Y1,'Datavant QC'!$B$1:$E$3,3,0),0)</f>
        <v>0</v>
      </c>
      <c r="Z10" s="141">
        <f>IFERROR(HLOOKUP(Z1,'Datavant QC'!$B$1:$E$3,3,0),0)</f>
        <v>0</v>
      </c>
      <c r="AA10" s="141">
        <f>IFERROR(HLOOKUP(AA1,'Datavant QC'!$B$1:$E$3,3,0),0)</f>
        <v>0</v>
      </c>
      <c r="AB10" s="141">
        <f>IFERROR(HLOOKUP(AB1,'Datavant QC'!$B$1:$E$3,3,0),0)</f>
        <v>0</v>
      </c>
      <c r="AC10" s="141">
        <f>IFERROR(HLOOKUP(AC1,'Datavant QC'!$B$1:$E$3,3,0),0)</f>
        <v>0</v>
      </c>
      <c r="AD10" s="141">
        <f>IFERROR(HLOOKUP(AD1,'Datavant QC'!$B$1:$E$3,3,0),0)</f>
        <v>0</v>
      </c>
      <c r="AE10" s="141">
        <f>IFERROR(HLOOKUP(AE1,'Datavant QC'!$B$1:$E$3,3,0),0)</f>
        <v>0</v>
      </c>
      <c r="AF10" s="141">
        <f>IFERROR(HLOOKUP(AF1,'Datavant QC'!$B$1:$E$3,3,0),0)</f>
        <v>0</v>
      </c>
      <c r="AG10" s="141">
        <f>IFERROR(HLOOKUP(AG1,'Datavant QC'!$B$1:$E$3,3,0),0)</f>
        <v>0</v>
      </c>
      <c r="AH10" s="141">
        <f>IFERROR(HLOOKUP(AH1,'Datavant QC'!$B$1:$E$3,3,0),0)</f>
        <v>0</v>
      </c>
      <c r="AI10" s="141">
        <f>IFERROR(HLOOKUP(AI1,'Datavant QC'!$B$1:$E$3,3,0),0)</f>
        <v>0</v>
      </c>
      <c r="AJ10" s="141">
        <f>IFERROR(HLOOKUP(AJ1,'Datavant QC'!$B$1:$E$3,3,0),0)</f>
        <v>0</v>
      </c>
      <c r="AK10" s="141">
        <f>IFERROR(HLOOKUP(AK1,'Datavant QC'!$B$1:$E$3,3,0),0)</f>
        <v>0</v>
      </c>
      <c r="AL10" s="141">
        <f>IFERROR(HLOOKUP(AL1,'Datavant QC'!$B$1:$E$3,3,0),0)</f>
        <v>0</v>
      </c>
      <c r="AM10" s="141">
        <f>IFERROR(HLOOKUP(AM1,'Datavant QC'!$B$1:$E$3,3,0),0)</f>
        <v>0</v>
      </c>
      <c r="AN10" s="141">
        <f>IFERROR(HLOOKUP(AN1,'Datavant QC'!$B$1:$E$3,3,0),0)</f>
        <v>0</v>
      </c>
      <c r="AO10" s="141">
        <f>IFERROR(HLOOKUP(AO1,'Datavant QC'!$B$1:$E$3,3,0),0)</f>
        <v>0</v>
      </c>
      <c r="AP10" s="141">
        <f>IFERROR(HLOOKUP(AP1,'Datavant QC'!$B$1:$E$3,3,0),0)</f>
        <v>0</v>
      </c>
      <c r="AQ10" s="141">
        <f>IFERROR(HLOOKUP(AQ1,'Datavant QC'!$B$1:$E$3,3,0),0)</f>
        <v>0</v>
      </c>
      <c r="AR10" s="141">
        <f>IFERROR(HLOOKUP(AR1,'Datavant QC'!$B$1:$E$3,3,0),0)</f>
        <v>0</v>
      </c>
      <c r="AS10" s="141">
        <f>IFERROR(HLOOKUP(AS1,'Datavant QC'!$B$1:$E$3,3,0),0)</f>
        <v>0</v>
      </c>
      <c r="AT10" s="141">
        <f>IFERROR(HLOOKUP(AT1,'Datavant QC'!$B$1:$E$3,3,0),0)</f>
        <v>0</v>
      </c>
      <c r="AU10" s="141">
        <f>IFERROR(HLOOKUP(AU1,'Datavant QC'!$B$1:$E$3,3,0),0)</f>
        <v>0</v>
      </c>
      <c r="AV10" s="141">
        <f>IFERROR(HLOOKUP(AV1,'Datavant QC'!$B$1:$E$3,3,0),0)</f>
        <v>0</v>
      </c>
      <c r="AW10" s="141">
        <f>IFERROR(HLOOKUP(AW1,'Datavant QC'!$B$1:$E$3,3,0),0)</f>
        <v>0</v>
      </c>
      <c r="AX10" s="141">
        <f>IFERROR(HLOOKUP(AX1,'Datavant QC'!$B$1:$E$3,3,0),0)</f>
        <v>0</v>
      </c>
      <c r="AY10" s="141">
        <f>IFERROR(HLOOKUP(AY1,'Datavant QC'!$B$1:$E$3,3,0),0)</f>
        <v>0</v>
      </c>
      <c r="AZ10" s="141">
        <f>IFERROR(HLOOKUP(AZ1,'Datavant QC'!$B$1:$E$3,3,0),0)</f>
        <v>0</v>
      </c>
      <c r="BA10" s="141">
        <f>IFERROR(HLOOKUP(BA1,'Datavant QC'!$B$1:$E$3,3,0),0)</f>
        <v>0</v>
      </c>
      <c r="BB10" s="141">
        <f>IFERROR(HLOOKUP(BB1,'Datavant QC'!$B$1:$E$3,3,0),0)</f>
        <v>0</v>
      </c>
      <c r="BC10" s="141">
        <f>IFERROR(HLOOKUP(BC1,'Datavant QC'!$B$1:$E$3,3,0),0)</f>
        <v>0</v>
      </c>
      <c r="BD10" s="141">
        <f>IFERROR(HLOOKUP(BD1,'Datavant QC'!$B$1:$E$3,3,0),0)</f>
        <v>0</v>
      </c>
      <c r="BE10" s="141">
        <f>IFERROR(HLOOKUP(BE1,'Datavant QC'!$B$1:$E$3,3,0),0)</f>
        <v>0</v>
      </c>
      <c r="BF10" s="141">
        <f>IFERROR(HLOOKUP(BF1,'Datavant QC'!$B$1:$E$3,3,0),0)</f>
        <v>0</v>
      </c>
      <c r="BG10" s="141">
        <f>IFERROR(HLOOKUP(BG1,'Datavant QC'!$B$1:$E$3,3,0),0)</f>
        <v>0</v>
      </c>
      <c r="BH10" s="141">
        <f>IFERROR(HLOOKUP(BH1,'Datavant QC'!$B$1:$E$3,3,0),0)</f>
        <v>0</v>
      </c>
      <c r="BI10" s="141">
        <f>IFERROR(HLOOKUP(BI1,'Datavant QC'!$B$1:$E$3,3,0),0)</f>
        <v>0</v>
      </c>
      <c r="BJ10" s="141">
        <f>IFERROR(HLOOKUP(BJ1,'Datavant QC'!$B$1:$E$3,3,0),0)</f>
        <v>0</v>
      </c>
      <c r="BK10" s="141">
        <f>IFERROR(HLOOKUP(BK1,'Datavant QC'!$B$1:$E$3,3,0),0)</f>
        <v>0</v>
      </c>
      <c r="BL10" s="141">
        <f>IFERROR(HLOOKUP(BL1,'Datavant QC'!$B$1:$E$3,3,0),0)</f>
        <v>0</v>
      </c>
      <c r="BM10" s="141">
        <f>IFERROR(HLOOKUP(BM1,'Datavant QC'!$B$1:$E$3,3,0),0)</f>
        <v>0</v>
      </c>
      <c r="BN10" s="141">
        <f>IFERROR(HLOOKUP(BN1,'Datavant QC'!$B$1:$E$3,3,0),0)</f>
        <v>0</v>
      </c>
      <c r="BO10" s="141">
        <f>IFERROR(HLOOKUP(BO1,'Datavant QC'!$B$1:$E$3,3,0),0)</f>
        <v>0</v>
      </c>
      <c r="BP10" s="141">
        <f>IFERROR(HLOOKUP(BP1,'Datavant QC'!$B$1:$E$3,3,0),0)</f>
        <v>0</v>
      </c>
      <c r="BQ10" s="141">
        <f>IFERROR(HLOOKUP(BQ1,'Datavant QC'!$B$1:$E$3,3,0),0)</f>
        <v>0</v>
      </c>
      <c r="BR10" s="141">
        <f>IFERROR(HLOOKUP(BR1,'Datavant QC'!$B$1:$E$3,3,0),0)</f>
        <v>0</v>
      </c>
      <c r="BS10" s="141">
        <f>IFERROR(HLOOKUP(BS1,'Datavant QC'!$B$1:$E$3,3,0),0)</f>
        <v>0</v>
      </c>
      <c r="BT10" s="141">
        <f>IFERROR(HLOOKUP(BT1,'Datavant QC'!$B$1:$E$3,3,0),0)</f>
        <v>0</v>
      </c>
      <c r="BU10" s="141">
        <f>IFERROR(HLOOKUP(BU1,'Datavant QC'!$B$1:$E$3,3,0),0)</f>
        <v>0</v>
      </c>
      <c r="BV10" s="141">
        <f>IFERROR(HLOOKUP(BV1,'Datavant QC'!$B$1:$E$3,3,0),0)</f>
        <v>0</v>
      </c>
      <c r="BW10" s="141">
        <f>IFERROR(HLOOKUP(BW1,'Datavant QC'!$B$1:$E$3,3,0),0)</f>
        <v>0</v>
      </c>
      <c r="BX10" s="141">
        <f>IFERROR(HLOOKUP(BX1,'Datavant QC'!$B$1:$E$3,3,0),0)</f>
        <v>0</v>
      </c>
      <c r="BY10" s="141">
        <f>IFERROR(HLOOKUP(BY1,'Datavant QC'!$B$1:$E$3,3,0),0)</f>
        <v>0</v>
      </c>
      <c r="BZ10" s="141">
        <f>IFERROR(HLOOKUP(BZ1,'Datavant QC'!$B$1:$E$3,3,0),0)</f>
        <v>0</v>
      </c>
      <c r="CA10" s="141">
        <f>IFERROR(HLOOKUP(CA1,'Datavant QC'!$B$1:$E$3,3,0),0)</f>
        <v>0</v>
      </c>
      <c r="CB10" s="141">
        <f>IFERROR(HLOOKUP(CB1,'Datavant QC'!$B$1:$E$3,3,0),0)</f>
        <v>0</v>
      </c>
      <c r="CC10" s="141">
        <f>IFERROR(HLOOKUP(CC1,'Datavant QC'!$B$1:$E$3,3,0),0)</f>
        <v>0</v>
      </c>
      <c r="CD10" s="141">
        <f>IFERROR(HLOOKUP(CD1,'Datavant QC'!$B$1:$E$3,3,0),0)</f>
        <v>0</v>
      </c>
      <c r="CE10" s="141">
        <f>IFERROR(HLOOKUP(CE1,'Datavant QC'!$B$1:$E$3,3,0),0)</f>
        <v>0</v>
      </c>
      <c r="CF10" s="141">
        <f>IFERROR(HLOOKUP(CF1,'Datavant QC'!$B$1:$E$3,3,0),0)</f>
        <v>0</v>
      </c>
      <c r="CG10" s="141">
        <f>IFERROR(HLOOKUP(CG1,'Datavant QC'!$B$1:$E$3,3,0),0)</f>
        <v>0</v>
      </c>
      <c r="CH10" s="141">
        <f>IFERROR(HLOOKUP(CH1,'Datavant QC'!$B$1:$E$3,3,0),0)</f>
        <v>0</v>
      </c>
      <c r="CI10" s="141">
        <f>IFERROR(HLOOKUP(CI1,'Datavant QC'!$B$1:$E$3,3,0),0)</f>
        <v>0</v>
      </c>
      <c r="CJ10" s="141">
        <f>IFERROR(HLOOKUP(CJ1,'Datavant QC'!$B$1:$E$3,3,0),0)</f>
        <v>0</v>
      </c>
      <c r="CK10" s="141">
        <f>IFERROR(HLOOKUP(CK1,'Datavant QC'!$B$1:$E$3,3,0),0)</f>
        <v>0</v>
      </c>
      <c r="CL10" s="141">
        <f>IFERROR(HLOOKUP(CL1,'Datavant QC'!$B$1:$E$3,3,0),0)</f>
        <v>0</v>
      </c>
      <c r="CM10" s="141">
        <f>IFERROR(HLOOKUP(CM1,'Datavant QC'!$B$1:$E$3,3,0),0)</f>
        <v>0</v>
      </c>
      <c r="CN10" s="141">
        <f>IFERROR(HLOOKUP(CN1,'Datavant QC'!$B$1:$E$3,3,0),0)</f>
        <v>0</v>
      </c>
      <c r="CO10" s="141">
        <f>IFERROR(HLOOKUP(CO1,'Datavant QC'!$B$1:$E$3,3,0),0)</f>
        <v>0</v>
      </c>
      <c r="CP10" s="141">
        <f>IFERROR(HLOOKUP(CP1,'Datavant QC'!$B$1:$E$3,3,0),0)</f>
        <v>0</v>
      </c>
      <c r="CQ10" s="141">
        <f>IFERROR(HLOOKUP(CQ1,'Datavant QC'!$B$1:$E$3,3,0),0)</f>
        <v>0</v>
      </c>
      <c r="CR10" s="141">
        <f>IFERROR(HLOOKUP(CR1,'Datavant QC'!$B$1:$E$3,3,0),0)</f>
        <v>0</v>
      </c>
      <c r="CS10" s="141">
        <f>IFERROR(HLOOKUP(CS1,'Datavant QC'!$B$1:$E$3,3,0),0)</f>
        <v>0</v>
      </c>
      <c r="CT10" s="141">
        <f>IFERROR(HLOOKUP(CT1,'Datavant QC'!$B$1:$E$3,3,0),0)</f>
        <v>0</v>
      </c>
      <c r="CU10" s="141">
        <f>IFERROR(HLOOKUP(CU1,'Datavant QC'!$B$1:$E$3,3,0),0)</f>
        <v>0</v>
      </c>
      <c r="CV10" s="141">
        <f>IFERROR(HLOOKUP(CV1,'Datavant QC'!$B$1:$E$3,3,0),0)</f>
        <v>0</v>
      </c>
      <c r="CW10" s="141">
        <f>IFERROR(HLOOKUP(CW1,'Datavant QC'!$B$1:$E$3,3,0),0)</f>
        <v>0</v>
      </c>
      <c r="CX10" s="141">
        <f>IFERROR(HLOOKUP(CX1,'Datavant QC'!$B$1:$E$3,3,0),0)</f>
        <v>0</v>
      </c>
      <c r="CY10" s="141">
        <f>IFERROR(HLOOKUP(CY1,'Datavant QC'!$B$1:$E$3,3,0),0)</f>
        <v>392</v>
      </c>
      <c r="CZ10" s="141">
        <f>IFERROR(HLOOKUP(CZ1,'Datavant QC'!$B$1:$E$3,3,0),0)</f>
        <v>0</v>
      </c>
      <c r="DA10" s="141">
        <f>IFERROR(HLOOKUP(DA1,'Datavant QC'!$B$1:$E$3,3,0),0)</f>
        <v>0</v>
      </c>
      <c r="DB10" s="141">
        <f>IFERROR(HLOOKUP(DB1,'Datavant QC'!$B$1:$E$3,3,0),0)</f>
        <v>0</v>
      </c>
      <c r="DC10" s="141">
        <f>IFERROR(HLOOKUP(DC1,'Datavant QC'!$B$1:$E$3,3,0),0)</f>
        <v>0</v>
      </c>
      <c r="DD10" s="141">
        <f>IFERROR(HLOOKUP(DD1,'Datavant QC'!$B$1:$E$3,3,0),0)</f>
        <v>0</v>
      </c>
      <c r="DE10" s="141">
        <f>IFERROR(HLOOKUP(DE1,'Datavant QC'!$B$1:$E$3,3,0),0)</f>
        <v>0</v>
      </c>
      <c r="DF10" s="141">
        <f>IFERROR(HLOOKUP(DF1,'Datavant QC'!$B$1:$E$3,3,0),0)</f>
        <v>0</v>
      </c>
      <c r="DG10" s="141">
        <f>IFERROR(HLOOKUP(DG1,'Datavant QC'!$B$1:$E$3,3,0),0)</f>
        <v>0</v>
      </c>
      <c r="DH10" s="141">
        <f>IFERROR(HLOOKUP(DH1,'Datavant QC'!$B$1:$E$3,3,0),0)</f>
        <v>0</v>
      </c>
      <c r="DI10" s="141">
        <f>IFERROR(HLOOKUP(DI1,'Datavant QC'!$B$1:$E$3,3,0),0)</f>
        <v>0</v>
      </c>
      <c r="DJ10" s="141">
        <f>IFERROR(HLOOKUP(DJ1,'Datavant QC'!$B$1:$E$3,3,0),0)</f>
        <v>0</v>
      </c>
      <c r="DK10" s="141">
        <f>IFERROR(HLOOKUP(DK1,'Datavant QC'!$B$1:$E$3,3,0),0)</f>
        <v>0</v>
      </c>
      <c r="DL10" s="141">
        <f>IFERROR(HLOOKUP(DL1,'Datavant QC'!$B$1:$E$3,3,0),0)</f>
        <v>0</v>
      </c>
      <c r="DM10" s="141">
        <f>IFERROR(HLOOKUP(DM1,'Datavant QC'!$B$1:$E$3,3,0),0)</f>
        <v>0</v>
      </c>
      <c r="DN10" s="141">
        <f>IFERROR(HLOOKUP(DN1,'Datavant QC'!$B$1:$E$3,3,0),0)</f>
        <v>0</v>
      </c>
      <c r="DO10" s="141">
        <f>IFERROR(HLOOKUP(DO1,'Datavant QC'!$B$1:$E$3,3,0),0)</f>
        <v>0</v>
      </c>
      <c r="DP10" s="141">
        <f>IFERROR(HLOOKUP(DP1,'Datavant QC'!$B$1:$E$3,3,0),0)</f>
        <v>0</v>
      </c>
      <c r="DQ10" s="141">
        <f>IFERROR(HLOOKUP(DQ1,'Datavant QC'!$B$1:$E$3,3,0),0)</f>
        <v>0</v>
      </c>
      <c r="DR10" s="141">
        <f>IFERROR(HLOOKUP(DR1,'Datavant QC'!$B$1:$E$3,3,0),0)</f>
        <v>0</v>
      </c>
      <c r="DS10" s="141">
        <f>IFERROR(HLOOKUP(DS1,'Datavant QC'!$B$1:$E$3,3,0),0)</f>
        <v>0</v>
      </c>
      <c r="DT10" s="141">
        <f>IFERROR(HLOOKUP(DT1,'Datavant QC'!$B$1:$E$3,3,0),0)</f>
        <v>0</v>
      </c>
      <c r="DU10" s="141">
        <f>IFERROR(HLOOKUP(DU1,'Datavant QC'!$B$1:$E$3,3,0),0)</f>
        <v>0</v>
      </c>
      <c r="DV10" s="141">
        <f>IFERROR(HLOOKUP(DV1,'Datavant QC'!$B$1:$E$3,3,0),0)</f>
        <v>0</v>
      </c>
      <c r="DW10" s="141">
        <f>IFERROR(HLOOKUP(DW1,'Datavant QC'!$B$1:$E$3,3,0),0)</f>
        <v>0</v>
      </c>
      <c r="DX10" s="141">
        <f>IFERROR(HLOOKUP(DX1,'Datavant QC'!$B$1:$E$3,3,0),0)</f>
        <v>0</v>
      </c>
      <c r="DY10" s="141">
        <f>IFERROR(HLOOKUP(DY1,'Datavant QC'!$B$1:$E$3,3,0),0)</f>
        <v>0</v>
      </c>
      <c r="DZ10" s="141">
        <f>IFERROR(HLOOKUP(DZ1,'Datavant QC'!$B$1:$E$3,3,0),0)</f>
        <v>0</v>
      </c>
      <c r="EA10" s="141">
        <f>IFERROR(HLOOKUP(EA1,'Datavant QC'!$B$1:$E$3,3,0),0)</f>
        <v>0</v>
      </c>
      <c r="EB10" s="141">
        <f>IFERROR(HLOOKUP(EB1,'Datavant QC'!$B$1:$E$3,3,0),0)</f>
        <v>0</v>
      </c>
      <c r="EC10" s="141">
        <f>IFERROR(HLOOKUP(EC1,'Datavant QC'!$B$1:$E$3,3,0),0)</f>
        <v>0</v>
      </c>
      <c r="ED10" s="141">
        <f>IFERROR(HLOOKUP(ED1,'Datavant QC'!$B$1:$E$3,3,0),0)</f>
        <v>0</v>
      </c>
      <c r="EE10" s="141">
        <f>IFERROR(HLOOKUP(EE1,'Datavant QC'!$B$1:$E$3,3,0),0)</f>
        <v>0</v>
      </c>
      <c r="EF10" s="141">
        <f>IFERROR(HLOOKUP(EF1,'Datavant QC'!$B$1:$E$3,3,0),0)</f>
        <v>0</v>
      </c>
      <c r="EG10" s="141">
        <f>IFERROR(HLOOKUP(EG1,'Datavant QC'!$B$1:$E$3,3,0),0)</f>
        <v>0</v>
      </c>
      <c r="EH10" s="141">
        <f>IFERROR(HLOOKUP(EH1,'Datavant QC'!$B$1:$E$3,3,0),0)</f>
        <v>0</v>
      </c>
      <c r="EI10" s="141">
        <f>IFERROR(HLOOKUP(EI1,'Datavant QC'!$B$1:$E$3,3,0),0)</f>
        <v>0</v>
      </c>
      <c r="EJ10" s="141">
        <f>IFERROR(HLOOKUP(EJ1,'Datavant QC'!$B$1:$E$3,3,0),0)</f>
        <v>0</v>
      </c>
      <c r="EK10" s="141">
        <f>IFERROR(HLOOKUP(EK1,'Datavant QC'!$B$1:$E$3,3,0),0)</f>
        <v>0</v>
      </c>
      <c r="EL10" s="141">
        <f>IFERROR(HLOOKUP(EL1,'Datavant QC'!$B$1:$E$3,3,0),0)</f>
        <v>0</v>
      </c>
      <c r="EM10" s="141">
        <f>IFERROR(HLOOKUP(EM1,'Datavant QC'!$B$1:$E$3,3,0),0)</f>
        <v>0</v>
      </c>
      <c r="EN10" s="141">
        <f>IFERROR(HLOOKUP(EN1,'Datavant QC'!$B$1:$E$3,3,0),0)</f>
        <v>0</v>
      </c>
      <c r="EO10" s="141">
        <f>IFERROR(HLOOKUP(EO1,'Datavant QC'!$B$1:$E$3,3,0),0)</f>
        <v>0</v>
      </c>
      <c r="EP10" s="141">
        <f>IFERROR(HLOOKUP(EP1,'Datavant QC'!$B$1:$E$3,3,0),0)</f>
        <v>0</v>
      </c>
      <c r="EQ10" s="141">
        <f>IFERROR(HLOOKUP(EQ1,'Datavant QC'!$B$1:$E$3,3,0),0)</f>
        <v>0</v>
      </c>
      <c r="ER10" s="141">
        <f>IFERROR(HLOOKUP(ER1,'Datavant QC'!$B$1:$E$3,3,0),0)</f>
        <v>0</v>
      </c>
      <c r="ES10" s="141">
        <f>IFERROR(HLOOKUP(ES1,'Datavant QC'!$B$1:$E$3,3,0),0)</f>
        <v>0</v>
      </c>
      <c r="ET10" s="141">
        <f>IFERROR(HLOOKUP(ET1,'Datavant QC'!$B$1:$E$3,3,0),0)</f>
        <v>0</v>
      </c>
      <c r="EU10" s="141">
        <f>IFERROR(HLOOKUP(EU1,'Datavant QC'!$B$1:$E$3,3,0),0)</f>
        <v>0</v>
      </c>
      <c r="EV10" s="141">
        <f>IFERROR(HLOOKUP(EV1,'Datavant QC'!$B$1:$E$3,3,0),0)</f>
        <v>0</v>
      </c>
      <c r="EW10" s="141">
        <f>IFERROR(HLOOKUP(EW1,'Datavant QC'!$B$1:$E$3,3,0),0)</f>
        <v>0</v>
      </c>
      <c r="EX10" s="141">
        <f>IFERROR(HLOOKUP(EX1,'Datavant QC'!$B$1:$E$3,3,0),0)</f>
        <v>0</v>
      </c>
      <c r="EY10" s="141">
        <f>IFERROR(HLOOKUP(EY1,'Datavant QC'!$B$1:$E$3,3,0),0)</f>
        <v>0</v>
      </c>
      <c r="EZ10" s="141">
        <f>IFERROR(HLOOKUP(EZ1,'Datavant QC'!$B$1:$E$3,3,0),0)</f>
        <v>5</v>
      </c>
      <c r="FA10" s="141">
        <f>IFERROR(HLOOKUP(FA1,'Datavant QC'!$B$1:$E$3,3,0),0)</f>
        <v>0</v>
      </c>
      <c r="FB10" s="141">
        <f>IFERROR(HLOOKUP(FB1,'Datavant QC'!$B$1:$E$3,3,0),0)</f>
        <v>0</v>
      </c>
      <c r="FC10" s="141">
        <f>IFERROR(HLOOKUP(FC1,'Datavant QC'!$B$1:$E$3,3,0),0)</f>
        <v>0</v>
      </c>
      <c r="FD10" s="141">
        <f>IFERROR(HLOOKUP(FD1,'Datavant QC'!$B$1:$E$3,3,0),0)</f>
        <v>0</v>
      </c>
      <c r="FE10" s="141">
        <f>IFERROR(HLOOKUP(FE1,'Datavant QC'!$B$1:$E$3,3,0),0)</f>
        <v>92</v>
      </c>
      <c r="FF10" s="141">
        <f>IFERROR(HLOOKUP(FF1,'Datavant QC'!$B$1:$E$3,3,0),0)</f>
        <v>0</v>
      </c>
      <c r="FG10" s="141">
        <f>IFERROR(HLOOKUP(FG1,'Datavant QC'!$B$1:$E$3,3,0),0)</f>
        <v>0</v>
      </c>
      <c r="FH10" s="141">
        <f>IFERROR(HLOOKUP(FH1,'Datavant QC'!$B$1:$E$3,3,0),0)</f>
        <v>0</v>
      </c>
      <c r="FI10" s="141">
        <f>IFERROR(HLOOKUP(FI1,'Datavant QC'!$B$1:$E$3,3,0),0)</f>
        <v>0</v>
      </c>
      <c r="FJ10" s="141">
        <f>IFERROR(HLOOKUP(FJ1,'Datavant QC'!$B$1:$E$3,3,0),0)</f>
        <v>0</v>
      </c>
      <c r="FK10" s="141">
        <f>IFERROR(HLOOKUP(FK1,'Datavant QC'!$B$1:$E$3,3,0),0)</f>
        <v>0</v>
      </c>
      <c r="FL10" s="141">
        <f>IFERROR(HLOOKUP(FL1,'Datavant QC'!$B$1:$E$3,3,0),0)</f>
        <v>0</v>
      </c>
      <c r="FM10" s="141">
        <f>IFERROR(HLOOKUP(FM1,'Datavant QC'!$B$1:$E$3,3,0),0)</f>
        <v>0</v>
      </c>
      <c r="FN10" s="141">
        <f>IFERROR(HLOOKUP(FN1,'Datavant QC'!$B$1:$E$3,3,0),0)</f>
        <v>0</v>
      </c>
      <c r="FO10" s="141">
        <f>IFERROR(HLOOKUP(FO1,'Datavant QC'!$B$1:$E$3,3,0),0)</f>
        <v>0</v>
      </c>
      <c r="FP10" s="141">
        <f>IFERROR(HLOOKUP(FP1,'Datavant QC'!$B$1:$E$3,3,0),0)</f>
        <v>0</v>
      </c>
      <c r="FQ10" s="141">
        <f>IFERROR(HLOOKUP(FQ1,'Datavant QC'!$B$1:$E$3,3,0),0)</f>
        <v>0</v>
      </c>
      <c r="FR10" s="141">
        <f>IFERROR(HLOOKUP(FR1,'Datavant QC'!$B$1:$E$3,3,0),0)</f>
        <v>0</v>
      </c>
      <c r="FS10" s="141">
        <f>IFERROR(HLOOKUP(FS1,'Datavant QC'!$B$1:$E$3,3,0),0)</f>
        <v>0</v>
      </c>
      <c r="FT10" s="141">
        <f>IFERROR(HLOOKUP(FT1,'Datavant QC'!$B$1:$E$3,3,0),0)</f>
        <v>0</v>
      </c>
      <c r="FU10" s="141">
        <f>IFERROR(HLOOKUP(FU1,'Datavant QC'!$B$1:$E$3,3,0),0)</f>
        <v>0</v>
      </c>
      <c r="FV10" s="141">
        <f>IFERROR(HLOOKUP(FV1,'Datavant QC'!$B$1:$E$3,3,0),0)</f>
        <v>0</v>
      </c>
      <c r="FW10" s="141">
        <f>IFERROR(HLOOKUP(FW1,'Datavant QC'!$B$1:$E$3,3,0),0)</f>
        <v>0</v>
      </c>
      <c r="FX10" s="141">
        <f>IFERROR(HLOOKUP(FX1,'Datavant QC'!$B$1:$E$3,3,0),0)</f>
        <v>0</v>
      </c>
      <c r="FY10" s="141">
        <f>IFERROR(HLOOKUP(FY1,'Datavant QC'!$B$1:$E$3,3,0),0)</f>
        <v>0</v>
      </c>
      <c r="FZ10" s="141">
        <f>IFERROR(HLOOKUP(FZ1,'Datavant QC'!$B$1:$E$3,3,0),0)</f>
        <v>0</v>
      </c>
      <c r="GA10" s="141">
        <f>IFERROR(HLOOKUP(GA1,'Datavant QC'!$B$1:$E$3,3,0),0)</f>
        <v>0</v>
      </c>
      <c r="GB10" s="141">
        <f>IFERROR(HLOOKUP(GB1,'Datavant QC'!$B$1:$E$3,3,0),0)</f>
        <v>0</v>
      </c>
      <c r="GC10" s="141">
        <f>IFERROR(HLOOKUP(GC1,'Datavant QC'!$B$1:$E$3,3,0),0)</f>
        <v>0</v>
      </c>
      <c r="GD10" s="141">
        <f>IFERROR(HLOOKUP(GD1,'Datavant QC'!$B$1:$E$3,3,0),0)</f>
        <v>0</v>
      </c>
      <c r="GE10" s="141">
        <f>IFERROR(HLOOKUP(GE1,'Datavant QC'!$B$1:$E$3,3,0),0)</f>
        <v>0</v>
      </c>
      <c r="GF10" s="141">
        <f>IFERROR(HLOOKUP(GF1,'Datavant QC'!$B$1:$E$3,3,0),0)</f>
        <v>0</v>
      </c>
      <c r="GG10" s="141">
        <f>IFERROR(HLOOKUP(GG1,'Datavant QC'!$B$1:$E$3,3,0),0)</f>
        <v>0</v>
      </c>
      <c r="GH10" s="141">
        <f>IFERROR(HLOOKUP(GH1,'Datavant QC'!$B$1:$E$3,3,0),0)</f>
        <v>0</v>
      </c>
      <c r="GI10" s="141">
        <f>IFERROR(HLOOKUP(GI1,'Datavant QC'!$B$1:$E$3,3,0),0)</f>
        <v>0</v>
      </c>
      <c r="GJ10" s="141">
        <f>IFERROR(HLOOKUP(GJ1,'Datavant QC'!$B$1:$E$3,3,0),0)</f>
        <v>0</v>
      </c>
      <c r="GK10" s="141">
        <f>IFERROR(HLOOKUP(GK1,'Datavant QC'!$B$1:$E$3,3,0),0)</f>
        <v>0</v>
      </c>
      <c r="GL10" s="141">
        <f>IFERROR(HLOOKUP(GL1,'Datavant QC'!$B$1:$E$3,3,0),0)</f>
        <v>0</v>
      </c>
      <c r="GM10" s="141">
        <f>IFERROR(HLOOKUP(GM1,'Datavant QC'!$B$1:$E$3,3,0),0)</f>
        <v>0</v>
      </c>
      <c r="GN10" s="141">
        <f>IFERROR(HLOOKUP(GN1,'Datavant QC'!$B$1:$E$3,3,0),0)</f>
        <v>0</v>
      </c>
      <c r="GO10" s="141">
        <f>IFERROR(HLOOKUP(GO1,'Datavant QC'!$B$1:$E$3,3,0),0)</f>
        <v>0</v>
      </c>
      <c r="GP10" s="141">
        <f>IFERROR(HLOOKUP(GP1,'Datavant QC'!$B$1:$E$3,3,0),0)</f>
        <v>0</v>
      </c>
      <c r="GQ10" s="141">
        <f>IFERROR(HLOOKUP(GQ1,'Datavant QC'!$B$1:$E$3,3,0),0)</f>
        <v>0</v>
      </c>
      <c r="GR10" s="141">
        <f>IFERROR(HLOOKUP(GR1,'Datavant QC'!$B$1:$E$3,3,0),0)</f>
        <v>0</v>
      </c>
    </row>
    <row r="11" spans="1:200">
      <c r="A11" s="197" t="s">
        <v>220</v>
      </c>
      <c r="B11" s="188">
        <f t="shared" si="0"/>
        <v>174456.59999999998</v>
      </c>
      <c r="C11" s="144">
        <f>SUM(C2:C10)</f>
        <v>4391.5</v>
      </c>
      <c r="D11" s="144">
        <f t="shared" ref="D11:BO11" si="1">SUM(D2:D10)</f>
        <v>4556.8500000000004</v>
      </c>
      <c r="E11" s="144">
        <f t="shared" si="1"/>
        <v>8</v>
      </c>
      <c r="F11" s="144">
        <f t="shared" si="1"/>
        <v>3530.15</v>
      </c>
      <c r="G11" s="144">
        <f t="shared" si="1"/>
        <v>318.5</v>
      </c>
      <c r="H11" s="144">
        <f t="shared" si="1"/>
        <v>1191.25</v>
      </c>
      <c r="I11" s="144">
        <f t="shared" si="1"/>
        <v>3313.25</v>
      </c>
      <c r="J11" s="144">
        <f t="shared" si="1"/>
        <v>10.5</v>
      </c>
      <c r="K11" s="144">
        <f t="shared" si="1"/>
        <v>0</v>
      </c>
      <c r="L11" s="144">
        <f t="shared" si="1"/>
        <v>396</v>
      </c>
      <c r="M11" s="144">
        <f t="shared" si="1"/>
        <v>510.15</v>
      </c>
      <c r="N11" s="144">
        <f t="shared" si="1"/>
        <v>436.8</v>
      </c>
      <c r="O11" s="144">
        <f t="shared" si="1"/>
        <v>1247</v>
      </c>
      <c r="P11" s="144">
        <f t="shared" si="1"/>
        <v>333.5</v>
      </c>
      <c r="Q11" s="144">
        <f t="shared" si="1"/>
        <v>1059</v>
      </c>
      <c r="R11" s="144">
        <f t="shared" si="1"/>
        <v>695.8</v>
      </c>
      <c r="S11" s="144">
        <f t="shared" si="1"/>
        <v>2099.4500000000003</v>
      </c>
      <c r="T11" s="144">
        <f t="shared" si="1"/>
        <v>328</v>
      </c>
      <c r="U11" s="144">
        <f t="shared" si="1"/>
        <v>150</v>
      </c>
      <c r="V11" s="144">
        <f t="shared" si="1"/>
        <v>775.75</v>
      </c>
      <c r="W11" s="144">
        <f t="shared" si="1"/>
        <v>1</v>
      </c>
      <c r="X11" s="144">
        <f t="shared" si="1"/>
        <v>2256.25</v>
      </c>
      <c r="Y11" s="144">
        <f t="shared" si="1"/>
        <v>529.1</v>
      </c>
      <c r="Z11" s="144">
        <f t="shared" si="1"/>
        <v>201.5</v>
      </c>
      <c r="AA11" s="144">
        <f t="shared" si="1"/>
        <v>248.5</v>
      </c>
      <c r="AB11" s="144">
        <f t="shared" si="1"/>
        <v>17.5</v>
      </c>
      <c r="AC11" s="144">
        <f t="shared" si="1"/>
        <v>731.15000000000009</v>
      </c>
      <c r="AD11" s="144">
        <f t="shared" si="1"/>
        <v>433.2</v>
      </c>
      <c r="AE11" s="144">
        <f t="shared" si="1"/>
        <v>12.5</v>
      </c>
      <c r="AF11" s="144">
        <f t="shared" si="1"/>
        <v>396.5</v>
      </c>
      <c r="AG11" s="144">
        <f t="shared" si="1"/>
        <v>133.35</v>
      </c>
      <c r="AH11" s="144">
        <f t="shared" si="1"/>
        <v>1286.75</v>
      </c>
      <c r="AI11" s="144">
        <f t="shared" si="1"/>
        <v>2050</v>
      </c>
      <c r="AJ11" s="144">
        <f t="shared" si="1"/>
        <v>455.6</v>
      </c>
      <c r="AK11" s="144">
        <f t="shared" si="1"/>
        <v>585.25</v>
      </c>
      <c r="AL11" s="144">
        <f t="shared" si="1"/>
        <v>2063.25</v>
      </c>
      <c r="AM11" s="144">
        <f t="shared" si="1"/>
        <v>209.25</v>
      </c>
      <c r="AN11" s="144">
        <f t="shared" si="1"/>
        <v>21.450000000000003</v>
      </c>
      <c r="AO11" s="144">
        <f t="shared" si="1"/>
        <v>146.5</v>
      </c>
      <c r="AP11" s="144">
        <f t="shared" si="1"/>
        <v>53</v>
      </c>
      <c r="AQ11" s="144">
        <f t="shared" si="1"/>
        <v>962.5</v>
      </c>
      <c r="AR11" s="144">
        <f t="shared" si="1"/>
        <v>514.25</v>
      </c>
      <c r="AS11" s="144">
        <f t="shared" si="1"/>
        <v>848.25</v>
      </c>
      <c r="AT11" s="144">
        <f t="shared" si="1"/>
        <v>111.15</v>
      </c>
      <c r="AU11" s="144">
        <f t="shared" si="1"/>
        <v>46.8</v>
      </c>
      <c r="AV11" s="144">
        <f t="shared" si="1"/>
        <v>536.9</v>
      </c>
      <c r="AW11" s="144">
        <f t="shared" si="1"/>
        <v>750.15000000000009</v>
      </c>
      <c r="AX11" s="144">
        <f t="shared" si="1"/>
        <v>37.700000000000003</v>
      </c>
      <c r="AY11" s="144">
        <f t="shared" si="1"/>
        <v>126</v>
      </c>
      <c r="AZ11" s="144">
        <f t="shared" si="1"/>
        <v>893.1</v>
      </c>
      <c r="BA11" s="144">
        <f t="shared" si="1"/>
        <v>785.25</v>
      </c>
      <c r="BB11" s="144">
        <f t="shared" si="1"/>
        <v>2489.35</v>
      </c>
      <c r="BC11" s="144">
        <f t="shared" si="1"/>
        <v>1355.6</v>
      </c>
      <c r="BD11" s="144">
        <f t="shared" si="1"/>
        <v>420.1</v>
      </c>
      <c r="BE11" s="144">
        <f t="shared" si="1"/>
        <v>477</v>
      </c>
      <c r="BF11" s="144">
        <f t="shared" si="1"/>
        <v>358</v>
      </c>
      <c r="BG11" s="144">
        <f t="shared" si="1"/>
        <v>66.95</v>
      </c>
      <c r="BH11" s="144">
        <f t="shared" si="1"/>
        <v>661.75</v>
      </c>
      <c r="BI11" s="144">
        <f t="shared" si="1"/>
        <v>182.5</v>
      </c>
      <c r="BJ11" s="144">
        <f t="shared" si="1"/>
        <v>2</v>
      </c>
      <c r="BK11" s="144">
        <f t="shared" si="1"/>
        <v>404</v>
      </c>
      <c r="BL11" s="144">
        <f t="shared" si="1"/>
        <v>5</v>
      </c>
      <c r="BM11" s="144">
        <f t="shared" si="1"/>
        <v>1251.55</v>
      </c>
      <c r="BN11" s="144">
        <f t="shared" si="1"/>
        <v>259</v>
      </c>
      <c r="BO11" s="144">
        <f t="shared" si="1"/>
        <v>167</v>
      </c>
      <c r="BP11" s="144">
        <f t="shared" ref="BP11:EA11" si="2">SUM(BP2:BP10)</f>
        <v>746.5</v>
      </c>
      <c r="BQ11" s="144">
        <f t="shared" si="2"/>
        <v>0</v>
      </c>
      <c r="BR11" s="144">
        <f t="shared" si="2"/>
        <v>221</v>
      </c>
      <c r="BS11" s="144">
        <f t="shared" si="2"/>
        <v>0</v>
      </c>
      <c r="BT11" s="144">
        <f t="shared" si="2"/>
        <v>592.5</v>
      </c>
      <c r="BU11" s="144">
        <f t="shared" si="2"/>
        <v>300.75</v>
      </c>
      <c r="BV11" s="144">
        <f t="shared" si="2"/>
        <v>448.5</v>
      </c>
      <c r="BW11" s="144">
        <f t="shared" si="2"/>
        <v>500.25</v>
      </c>
      <c r="BX11" s="144">
        <f t="shared" si="2"/>
        <v>2</v>
      </c>
      <c r="BY11" s="144">
        <f t="shared" si="2"/>
        <v>1842.7</v>
      </c>
      <c r="BZ11" s="144">
        <f t="shared" si="2"/>
        <v>496.5</v>
      </c>
      <c r="CA11" s="144">
        <f t="shared" si="2"/>
        <v>884</v>
      </c>
      <c r="CB11" s="144">
        <f t="shared" si="2"/>
        <v>312.64999999999998</v>
      </c>
      <c r="CC11" s="144">
        <f t="shared" si="2"/>
        <v>4527.4000000000005</v>
      </c>
      <c r="CD11" s="144">
        <f t="shared" si="2"/>
        <v>806</v>
      </c>
      <c r="CE11" s="144">
        <f t="shared" si="2"/>
        <v>110.5</v>
      </c>
      <c r="CF11" s="144">
        <f t="shared" si="2"/>
        <v>2.5</v>
      </c>
      <c r="CG11" s="144">
        <f t="shared" si="2"/>
        <v>627.25</v>
      </c>
      <c r="CH11" s="144">
        <f t="shared" si="2"/>
        <v>1518</v>
      </c>
      <c r="CI11" s="144">
        <f t="shared" si="2"/>
        <v>2084.5</v>
      </c>
      <c r="CJ11" s="144">
        <f t="shared" si="2"/>
        <v>15</v>
      </c>
      <c r="CK11" s="144">
        <f t="shared" si="2"/>
        <v>1391.75</v>
      </c>
      <c r="CL11" s="144">
        <f t="shared" si="2"/>
        <v>6346</v>
      </c>
      <c r="CM11" s="144">
        <f t="shared" si="2"/>
        <v>754.9</v>
      </c>
      <c r="CN11" s="144">
        <f t="shared" si="2"/>
        <v>172.1</v>
      </c>
      <c r="CO11" s="144">
        <f t="shared" si="2"/>
        <v>1490.75</v>
      </c>
      <c r="CP11" s="144">
        <f t="shared" si="2"/>
        <v>1290</v>
      </c>
      <c r="CQ11" s="144">
        <f t="shared" si="2"/>
        <v>3902.75</v>
      </c>
      <c r="CR11" s="144">
        <f t="shared" si="2"/>
        <v>69.55</v>
      </c>
      <c r="CS11" s="144">
        <f t="shared" si="2"/>
        <v>461.4</v>
      </c>
      <c r="CT11" s="144">
        <f t="shared" si="2"/>
        <v>1512.25</v>
      </c>
      <c r="CU11" s="144">
        <f t="shared" si="2"/>
        <v>650.85</v>
      </c>
      <c r="CV11" s="144">
        <f t="shared" si="2"/>
        <v>5</v>
      </c>
      <c r="CW11" s="144">
        <f t="shared" si="2"/>
        <v>0</v>
      </c>
      <c r="CX11" s="144">
        <f t="shared" si="2"/>
        <v>2231.9</v>
      </c>
      <c r="CY11" s="144">
        <f t="shared" si="2"/>
        <v>968.55</v>
      </c>
      <c r="CZ11" s="144">
        <f t="shared" si="2"/>
        <v>484.90000000000003</v>
      </c>
      <c r="DA11" s="144">
        <f t="shared" si="2"/>
        <v>3752.75</v>
      </c>
      <c r="DB11" s="144">
        <f t="shared" si="2"/>
        <v>2.5</v>
      </c>
      <c r="DC11" s="144">
        <f t="shared" si="2"/>
        <v>1139.9000000000001</v>
      </c>
      <c r="DD11" s="144">
        <f t="shared" si="2"/>
        <v>1858.25</v>
      </c>
      <c r="DE11" s="144">
        <f t="shared" si="2"/>
        <v>22.5</v>
      </c>
      <c r="DF11" s="144">
        <f t="shared" si="2"/>
        <v>270.5</v>
      </c>
      <c r="DG11" s="144">
        <f t="shared" si="2"/>
        <v>123</v>
      </c>
      <c r="DH11" s="144">
        <f t="shared" si="2"/>
        <v>909.5</v>
      </c>
      <c r="DI11" s="144">
        <f t="shared" si="2"/>
        <v>7</v>
      </c>
      <c r="DJ11" s="144">
        <f t="shared" si="2"/>
        <v>2257.3999999999996</v>
      </c>
      <c r="DK11" s="144">
        <f t="shared" si="2"/>
        <v>164.45000000000002</v>
      </c>
      <c r="DL11" s="144">
        <f t="shared" si="2"/>
        <v>801.75</v>
      </c>
      <c r="DM11" s="144">
        <f t="shared" si="2"/>
        <v>1167.05</v>
      </c>
      <c r="DN11" s="144">
        <f t="shared" si="2"/>
        <v>262.10000000000002</v>
      </c>
      <c r="DO11" s="144">
        <f t="shared" si="2"/>
        <v>355.2</v>
      </c>
      <c r="DP11" s="144">
        <f t="shared" si="2"/>
        <v>346</v>
      </c>
      <c r="DQ11" s="144">
        <f t="shared" si="2"/>
        <v>634.5</v>
      </c>
      <c r="DR11" s="144">
        <f t="shared" si="2"/>
        <v>635.70000000000005</v>
      </c>
      <c r="DS11" s="144">
        <f t="shared" si="2"/>
        <v>534</v>
      </c>
      <c r="DT11" s="144">
        <f t="shared" si="2"/>
        <v>250.25</v>
      </c>
      <c r="DU11" s="144">
        <f t="shared" si="2"/>
        <v>6</v>
      </c>
      <c r="DV11" s="144">
        <f t="shared" si="2"/>
        <v>7</v>
      </c>
      <c r="DW11" s="144">
        <f t="shared" si="2"/>
        <v>6892.55</v>
      </c>
      <c r="DX11" s="144">
        <f t="shared" si="2"/>
        <v>1256.0999999999999</v>
      </c>
      <c r="DY11" s="144">
        <f t="shared" si="2"/>
        <v>1401.55</v>
      </c>
      <c r="DZ11" s="144">
        <f t="shared" si="2"/>
        <v>3</v>
      </c>
      <c r="EA11" s="144">
        <f t="shared" si="2"/>
        <v>534.15</v>
      </c>
      <c r="EB11" s="144">
        <f t="shared" ref="EB11:GM11" si="3">SUM(EB2:EB10)</f>
        <v>112.5</v>
      </c>
      <c r="EC11" s="144">
        <f t="shared" si="3"/>
        <v>1220.5</v>
      </c>
      <c r="ED11" s="144">
        <f t="shared" si="3"/>
        <v>422</v>
      </c>
      <c r="EE11" s="144">
        <f t="shared" si="3"/>
        <v>544.5</v>
      </c>
      <c r="EF11" s="144">
        <f t="shared" si="3"/>
        <v>39</v>
      </c>
      <c r="EG11" s="144">
        <f t="shared" si="3"/>
        <v>643.54999999999995</v>
      </c>
      <c r="EH11" s="144">
        <f t="shared" si="3"/>
        <v>509.5</v>
      </c>
      <c r="EI11" s="144">
        <f t="shared" si="3"/>
        <v>419.25</v>
      </c>
      <c r="EJ11" s="144">
        <f t="shared" si="3"/>
        <v>947</v>
      </c>
      <c r="EK11" s="144">
        <f t="shared" si="3"/>
        <v>383.5</v>
      </c>
      <c r="EL11" s="144">
        <f t="shared" si="3"/>
        <v>347</v>
      </c>
      <c r="EM11" s="144">
        <f t="shared" si="3"/>
        <v>619</v>
      </c>
      <c r="EN11" s="144">
        <f t="shared" si="3"/>
        <v>473.85</v>
      </c>
      <c r="EO11" s="144">
        <f t="shared" si="3"/>
        <v>186</v>
      </c>
      <c r="EP11" s="144">
        <f t="shared" si="3"/>
        <v>118</v>
      </c>
      <c r="EQ11" s="144">
        <f t="shared" si="3"/>
        <v>252.85000000000002</v>
      </c>
      <c r="ER11" s="144">
        <f t="shared" si="3"/>
        <v>118</v>
      </c>
      <c r="ES11" s="144">
        <f t="shared" si="3"/>
        <v>1437.25</v>
      </c>
      <c r="ET11" s="144">
        <f t="shared" si="3"/>
        <v>885.3</v>
      </c>
      <c r="EU11" s="144">
        <f t="shared" si="3"/>
        <v>932.6</v>
      </c>
      <c r="EV11" s="144">
        <f t="shared" si="3"/>
        <v>352.05</v>
      </c>
      <c r="EW11" s="144">
        <f t="shared" si="3"/>
        <v>344.5</v>
      </c>
      <c r="EX11" s="144">
        <f t="shared" si="3"/>
        <v>732.45</v>
      </c>
      <c r="EY11" s="144">
        <f t="shared" si="3"/>
        <v>165.10000000000002</v>
      </c>
      <c r="EZ11" s="144">
        <f t="shared" si="3"/>
        <v>719.5</v>
      </c>
      <c r="FA11" s="144">
        <f t="shared" si="3"/>
        <v>1493.7</v>
      </c>
      <c r="FB11" s="144">
        <f t="shared" si="3"/>
        <v>0</v>
      </c>
      <c r="FC11" s="144">
        <f t="shared" si="3"/>
        <v>141.19999999999999</v>
      </c>
      <c r="FD11" s="144">
        <f t="shared" si="3"/>
        <v>385.75</v>
      </c>
      <c r="FE11" s="144">
        <f t="shared" si="3"/>
        <v>2163.75</v>
      </c>
      <c r="FF11" s="144">
        <f t="shared" si="3"/>
        <v>6.5</v>
      </c>
      <c r="FG11" s="144">
        <f t="shared" si="3"/>
        <v>2704</v>
      </c>
      <c r="FH11" s="144">
        <f t="shared" si="3"/>
        <v>229</v>
      </c>
      <c r="FI11" s="144">
        <f t="shared" si="3"/>
        <v>13</v>
      </c>
      <c r="FJ11" s="144">
        <f t="shared" si="3"/>
        <v>334.5</v>
      </c>
      <c r="FK11" s="144">
        <f t="shared" si="3"/>
        <v>4.5</v>
      </c>
      <c r="FL11" s="144">
        <f t="shared" si="3"/>
        <v>562.75</v>
      </c>
      <c r="FM11" s="144">
        <f t="shared" si="3"/>
        <v>1846.5</v>
      </c>
      <c r="FN11" s="144">
        <f t="shared" si="3"/>
        <v>751.15</v>
      </c>
      <c r="FO11" s="144">
        <f t="shared" si="3"/>
        <v>441</v>
      </c>
      <c r="FP11" s="144">
        <f t="shared" si="3"/>
        <v>1063.4000000000001</v>
      </c>
      <c r="FQ11" s="144">
        <f t="shared" si="3"/>
        <v>142</v>
      </c>
      <c r="FR11" s="144">
        <f t="shared" si="3"/>
        <v>1193.2</v>
      </c>
      <c r="FS11" s="144">
        <f t="shared" si="3"/>
        <v>510.25</v>
      </c>
      <c r="FT11" s="144">
        <f t="shared" si="3"/>
        <v>3836</v>
      </c>
      <c r="FU11" s="144">
        <f t="shared" si="3"/>
        <v>1479.25</v>
      </c>
      <c r="FV11" s="144">
        <f t="shared" si="3"/>
        <v>2.5</v>
      </c>
      <c r="FW11" s="144">
        <f t="shared" si="3"/>
        <v>14.5</v>
      </c>
      <c r="FX11" s="144">
        <f t="shared" si="3"/>
        <v>4973</v>
      </c>
      <c r="FY11" s="144">
        <f t="shared" si="3"/>
        <v>522.6</v>
      </c>
      <c r="FZ11" s="144">
        <f t="shared" si="3"/>
        <v>770.3</v>
      </c>
      <c r="GA11" s="144">
        <f t="shared" si="3"/>
        <v>1553.25</v>
      </c>
      <c r="GB11" s="144">
        <f t="shared" si="3"/>
        <v>0</v>
      </c>
      <c r="GC11" s="144">
        <f t="shared" si="3"/>
        <v>433.3</v>
      </c>
      <c r="GD11" s="144">
        <f t="shared" si="3"/>
        <v>797.55000000000007</v>
      </c>
      <c r="GE11" s="144">
        <f t="shared" si="3"/>
        <v>1356.05</v>
      </c>
      <c r="GF11" s="144">
        <f t="shared" si="3"/>
        <v>423.5</v>
      </c>
      <c r="GG11" s="144">
        <f t="shared" si="3"/>
        <v>122.5</v>
      </c>
      <c r="GH11" s="144">
        <f t="shared" si="3"/>
        <v>1684.4</v>
      </c>
      <c r="GI11" s="144">
        <f t="shared" si="3"/>
        <v>695</v>
      </c>
      <c r="GJ11" s="144">
        <f t="shared" si="3"/>
        <v>702.65000000000009</v>
      </c>
      <c r="GK11" s="144">
        <f t="shared" si="3"/>
        <v>469.95000000000005</v>
      </c>
      <c r="GL11" s="144">
        <f t="shared" si="3"/>
        <v>1218.8000000000002</v>
      </c>
      <c r="GM11" s="144">
        <f t="shared" si="3"/>
        <v>1094.75</v>
      </c>
      <c r="GN11" s="144">
        <f t="shared" ref="GN11:GR11" si="4">SUM(GN2:GN10)</f>
        <v>689.95</v>
      </c>
      <c r="GO11" s="144">
        <f t="shared" si="4"/>
        <v>1287.7</v>
      </c>
      <c r="GP11" s="144">
        <f t="shared" si="4"/>
        <v>4781</v>
      </c>
      <c r="GQ11" s="144">
        <f t="shared" si="4"/>
        <v>294.5</v>
      </c>
      <c r="GR11" s="144">
        <f t="shared" si="4"/>
        <v>4082</v>
      </c>
    </row>
    <row r="13" spans="1:200">
      <c r="B13" s="186">
        <f>SUM(B2:B10)</f>
        <v>174456.60000000003</v>
      </c>
      <c r="CV13" s="186"/>
      <c r="DS13" s="186"/>
    </row>
    <row r="14" spans="1:200" ht="12.6" thickBot="1"/>
    <row r="15" spans="1:200" ht="12.6" thickBot="1">
      <c r="A15" s="164" t="s">
        <v>221</v>
      </c>
      <c r="B15" s="169">
        <f>Payroll!C19</f>
        <v>52690.200000000004</v>
      </c>
      <c r="C15" s="169"/>
    </row>
    <row r="16" spans="1:200" ht="24">
      <c r="A16" s="140" t="s">
        <v>212</v>
      </c>
      <c r="B16" s="169">
        <f>B3</f>
        <v>17500</v>
      </c>
      <c r="C16" s="170"/>
      <c r="F16" s="192"/>
    </row>
    <row r="17" spans="1:7">
      <c r="A17" s="143" t="s">
        <v>213</v>
      </c>
      <c r="B17" s="169">
        <f>B4</f>
        <v>2000</v>
      </c>
      <c r="C17" s="170"/>
      <c r="F17" s="186"/>
      <c r="G17" s="186"/>
    </row>
    <row r="18" spans="1:7" ht="24">
      <c r="A18" s="143" t="s">
        <v>214</v>
      </c>
      <c r="B18" s="169">
        <f>'Processing Count'!G63</f>
        <v>32743.200000000001</v>
      </c>
      <c r="C18" s="170"/>
      <c r="F18" s="195"/>
      <c r="G18" s="193"/>
    </row>
    <row r="19" spans="1:7">
      <c r="A19" s="143" t="s">
        <v>215</v>
      </c>
      <c r="B19" s="169">
        <f>'Payroll Datavant'!B6</f>
        <v>39748.25</v>
      </c>
      <c r="C19" s="170"/>
      <c r="F19" s="194"/>
    </row>
    <row r="20" spans="1:7">
      <c r="A20" s="143" t="s">
        <v>216</v>
      </c>
      <c r="B20" s="169" cm="1">
        <f t="array" ref="B20:C20">'Logging Payout count'!B30:C30</f>
        <v>7079.2000000000016</v>
      </c>
      <c r="C20" s="170">
        <v>0</v>
      </c>
    </row>
    <row r="21" spans="1:7">
      <c r="A21" s="143" t="s">
        <v>217</v>
      </c>
      <c r="B21" s="169">
        <f>'Release &amp; QC'!B2</f>
        <v>22170.25</v>
      </c>
      <c r="C21" s="169">
        <f>B8-B21</f>
        <v>0</v>
      </c>
    </row>
    <row r="22" spans="1:7">
      <c r="A22" s="143" t="s">
        <v>218</v>
      </c>
      <c r="B22" s="169">
        <f>'Arrears_Nov''25'!B5</f>
        <v>0</v>
      </c>
      <c r="C22" s="170"/>
    </row>
    <row r="23" spans="1:7">
      <c r="A23" s="143" t="s">
        <v>219</v>
      </c>
      <c r="B23" s="169">
        <f>'Datavant QC'!A4</f>
        <v>525.5</v>
      </c>
      <c r="C23" s="170"/>
    </row>
    <row r="24" spans="1:7">
      <c r="A24" s="143" t="s">
        <v>220</v>
      </c>
      <c r="B24" s="169">
        <f>SUM(B15:B23)</f>
        <v>174456.60000000003</v>
      </c>
      <c r="C24" s="170"/>
    </row>
    <row r="25" spans="1:7">
      <c r="A25" s="170" t="s">
        <v>222</v>
      </c>
      <c r="B25" s="169">
        <f>B11-B24</f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A4E9-3AF3-4D47-9A72-73A99DD867E7}">
  <dimension ref="A1:E10"/>
  <sheetViews>
    <sheetView workbookViewId="0">
      <pane xSplit="1" ySplit="1" topLeftCell="B2" activePane="bottomRight" state="frozen"/>
      <selection pane="bottomRight" activeCell="B2" sqref="B2"/>
      <selection pane="bottomLeft" activeCell="A2" sqref="A2"/>
      <selection pane="topRight" activeCell="B1" sqref="B1"/>
    </sheetView>
  </sheetViews>
  <sheetFormatPr defaultColWidth="17.42578125" defaultRowHeight="14.45"/>
  <cols>
    <col min="1" max="1" width="17.5703125" style="161" bestFit="1" customWidth="1"/>
    <col min="2" max="2" width="14.7109375" style="161" bestFit="1" customWidth="1"/>
    <col min="3" max="3" width="10" style="161" bestFit="1" customWidth="1"/>
    <col min="4" max="4" width="14.7109375" style="161" bestFit="1" customWidth="1"/>
    <col min="5" max="5" width="13.28515625" style="161" bestFit="1" customWidth="1"/>
    <col min="6" max="16384" width="17.42578125" style="161"/>
  </cols>
  <sheetData>
    <row r="1" spans="1:5">
      <c r="A1" s="39" t="s">
        <v>223</v>
      </c>
      <c r="B1" s="39" t="s">
        <v>23</v>
      </c>
      <c r="C1" s="145" t="s">
        <v>104</v>
      </c>
      <c r="D1" s="145" t="s">
        <v>157</v>
      </c>
      <c r="E1" s="39" t="s">
        <v>162</v>
      </c>
    </row>
    <row r="2" spans="1:5">
      <c r="A2" s="39" t="s">
        <v>224</v>
      </c>
      <c r="B2" s="39">
        <v>73</v>
      </c>
      <c r="C2" s="39">
        <v>784</v>
      </c>
      <c r="D2" s="39">
        <v>10</v>
      </c>
      <c r="E2" s="39">
        <v>184</v>
      </c>
    </row>
    <row r="3" spans="1:5">
      <c r="A3" s="39">
        <f>SUM(B2:E2)</f>
        <v>1051</v>
      </c>
      <c r="B3" s="213">
        <f t="shared" ref="B3:E3" si="0">B2*0.5</f>
        <v>36.5</v>
      </c>
      <c r="C3" s="213">
        <f t="shared" si="0"/>
        <v>392</v>
      </c>
      <c r="D3" s="213">
        <f t="shared" si="0"/>
        <v>5</v>
      </c>
      <c r="E3" s="213">
        <f t="shared" si="0"/>
        <v>92</v>
      </c>
    </row>
    <row r="4" spans="1:5">
      <c r="A4" s="214">
        <f>A3*0.5</f>
        <v>525.5</v>
      </c>
    </row>
    <row r="7" spans="1:5">
      <c r="A7" s="161" t="s">
        <v>225</v>
      </c>
    </row>
    <row r="8" spans="1:5">
      <c r="A8" s="161" t="s">
        <v>226</v>
      </c>
    </row>
    <row r="9" spans="1:5">
      <c r="A9" s="161" t="s">
        <v>227</v>
      </c>
    </row>
    <row r="10" spans="1:5">
      <c r="A10" s="161" t="s">
        <v>228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E274D-54FF-4CE9-A36B-56DE27A370FE}">
  <dimension ref="A1:GU14"/>
  <sheetViews>
    <sheetView zoomScaleNormal="100" workbookViewId="0">
      <pane xSplit="2" ySplit="1" topLeftCell="C2" activePane="bottomRight" state="frozen"/>
      <selection pane="bottomRight" activeCell="B4" sqref="B4"/>
      <selection pane="bottomLeft" activeCell="A3" sqref="A3"/>
      <selection pane="topRight" activeCell="D1" sqref="D1"/>
    </sheetView>
  </sheetViews>
  <sheetFormatPr defaultColWidth="8.85546875" defaultRowHeight="13.9"/>
  <cols>
    <col min="1" max="1" width="20.7109375" style="168" bestFit="1" customWidth="1"/>
    <col min="2" max="2" width="11.140625" style="168" bestFit="1" customWidth="1"/>
    <col min="3" max="3" width="5.7109375" style="168" bestFit="1" customWidth="1"/>
    <col min="4" max="4" width="11.5703125" style="168" bestFit="1" customWidth="1"/>
    <col min="5" max="5" width="9.85546875" style="168" bestFit="1" customWidth="1"/>
    <col min="6" max="6" width="9.7109375" style="168" bestFit="1" customWidth="1"/>
    <col min="7" max="7" width="7.85546875" style="168" bestFit="1" customWidth="1"/>
    <col min="8" max="8" width="8.5703125" style="168" bestFit="1" customWidth="1"/>
    <col min="9" max="9" width="11.7109375" style="168" bestFit="1" customWidth="1"/>
    <col min="10" max="10" width="14.28515625" style="168" bestFit="1" customWidth="1"/>
    <col min="11" max="12" width="9.7109375" style="168" bestFit="1" customWidth="1"/>
    <col min="13" max="13" width="10.28515625" style="168" bestFit="1" customWidth="1"/>
    <col min="14" max="14" width="10.140625" style="168" bestFit="1" customWidth="1"/>
    <col min="15" max="15" width="13.7109375" style="168" bestFit="1" customWidth="1"/>
    <col min="16" max="16" width="8.7109375" style="168" bestFit="1" customWidth="1"/>
    <col min="17" max="17" width="10.28515625" style="168" bestFit="1" customWidth="1"/>
    <col min="18" max="18" width="10.7109375" style="168" bestFit="1" customWidth="1"/>
    <col min="19" max="19" width="15.5703125" style="168" bestFit="1" customWidth="1"/>
    <col min="20" max="20" width="11.7109375" style="168" bestFit="1" customWidth="1"/>
    <col min="21" max="21" width="20" style="168" bestFit="1" customWidth="1"/>
    <col min="22" max="22" width="10.85546875" style="168" bestFit="1" customWidth="1"/>
    <col min="23" max="23" width="11.85546875" style="168" bestFit="1" customWidth="1"/>
    <col min="24" max="24" width="17.85546875" style="168" bestFit="1" customWidth="1"/>
    <col min="25" max="25" width="11.42578125" style="168" bestFit="1" customWidth="1"/>
    <col min="26" max="26" width="12.140625" style="168" bestFit="1" customWidth="1"/>
    <col min="27" max="27" width="12.5703125" style="168" bestFit="1" customWidth="1"/>
    <col min="28" max="28" width="16.7109375" style="168" bestFit="1" customWidth="1"/>
    <col min="29" max="29" width="10" style="168" bestFit="1" customWidth="1"/>
    <col min="30" max="30" width="12.28515625" style="168" bestFit="1" customWidth="1"/>
    <col min="31" max="31" width="8.7109375" style="168" bestFit="1" customWidth="1"/>
    <col min="32" max="32" width="14.7109375" style="168" bestFit="1" customWidth="1"/>
    <col min="33" max="33" width="14.28515625" style="168" bestFit="1" customWidth="1"/>
    <col min="34" max="34" width="10.28515625" style="168" bestFit="1" customWidth="1"/>
    <col min="35" max="35" width="19.140625" style="168" bestFit="1" customWidth="1"/>
    <col min="36" max="36" width="16" style="168" bestFit="1" customWidth="1"/>
    <col min="37" max="37" width="8.7109375" style="168" bestFit="1" customWidth="1"/>
    <col min="38" max="38" width="17.28515625" style="168" bestFit="1" customWidth="1"/>
    <col min="39" max="39" width="7.85546875" style="168" bestFit="1" customWidth="1"/>
    <col min="40" max="40" width="11.140625" style="168" bestFit="1" customWidth="1"/>
    <col min="41" max="41" width="12.7109375" style="168" bestFit="1" customWidth="1"/>
    <col min="42" max="42" width="8.7109375" style="168" bestFit="1" customWidth="1"/>
    <col min="43" max="43" width="11" style="168" bestFit="1" customWidth="1"/>
    <col min="44" max="44" width="9.28515625" style="168" bestFit="1" customWidth="1"/>
    <col min="45" max="45" width="8.7109375" style="168" bestFit="1" customWidth="1"/>
    <col min="46" max="46" width="7" style="168" bestFit="1" customWidth="1"/>
    <col min="47" max="47" width="12.5703125" style="168" bestFit="1" customWidth="1"/>
    <col min="48" max="48" width="13.42578125" style="168" bestFit="1" customWidth="1"/>
    <col min="49" max="49" width="24.28515625" style="168" bestFit="1" customWidth="1"/>
    <col min="50" max="50" width="12" style="168" bestFit="1" customWidth="1"/>
    <col min="51" max="51" width="13" style="168" bestFit="1" customWidth="1"/>
    <col min="52" max="52" width="11" style="168" bestFit="1" customWidth="1"/>
    <col min="53" max="53" width="10.28515625" style="168" bestFit="1" customWidth="1"/>
    <col min="54" max="54" width="10.140625" style="168" bestFit="1" customWidth="1"/>
    <col min="55" max="55" width="9.5703125" style="168" bestFit="1" customWidth="1"/>
    <col min="56" max="56" width="18.42578125" style="168" bestFit="1" customWidth="1"/>
    <col min="57" max="57" width="8.7109375" style="168" bestFit="1" customWidth="1"/>
    <col min="58" max="58" width="10.7109375" style="168" bestFit="1" customWidth="1"/>
    <col min="59" max="59" width="6.7109375" style="168" bestFit="1" customWidth="1"/>
    <col min="60" max="60" width="17.42578125" style="168" bestFit="1" customWidth="1"/>
    <col min="61" max="62" width="11.85546875" style="168" bestFit="1" customWidth="1"/>
    <col min="63" max="63" width="10.7109375" style="168" bestFit="1" customWidth="1"/>
    <col min="64" max="64" width="15" style="168" bestFit="1" customWidth="1"/>
    <col min="65" max="65" width="8.7109375" style="168" bestFit="1" customWidth="1"/>
    <col min="66" max="66" width="17.5703125" style="168" bestFit="1" customWidth="1"/>
    <col min="67" max="67" width="16.7109375" style="168" bestFit="1" customWidth="1"/>
    <col min="68" max="69" width="11.42578125" style="168" bestFit="1" customWidth="1"/>
    <col min="70" max="70" width="9.28515625" style="168" bestFit="1" customWidth="1"/>
    <col min="71" max="71" width="12.140625" style="168" bestFit="1" customWidth="1"/>
    <col min="72" max="72" width="16.42578125" style="168" bestFit="1" customWidth="1"/>
    <col min="73" max="73" width="8.7109375" style="168" bestFit="1" customWidth="1"/>
    <col min="74" max="74" width="13.28515625" style="168" bestFit="1" customWidth="1"/>
    <col min="75" max="75" width="19.5703125" style="168" bestFit="1" customWidth="1"/>
    <col min="76" max="76" width="11.7109375" style="168" bestFit="1" customWidth="1"/>
    <col min="77" max="77" width="9.42578125" style="168" bestFit="1" customWidth="1"/>
    <col min="78" max="78" width="10.7109375" style="168" bestFit="1" customWidth="1"/>
    <col min="79" max="79" width="9.7109375" style="168" bestFit="1" customWidth="1"/>
    <col min="80" max="80" width="11" style="168" bestFit="1" customWidth="1"/>
    <col min="81" max="81" width="15.28515625" style="168" bestFit="1" customWidth="1"/>
    <col min="82" max="83" width="9.85546875" style="168" bestFit="1" customWidth="1"/>
    <col min="84" max="84" width="10.5703125" style="168" bestFit="1" customWidth="1"/>
    <col min="85" max="85" width="16.42578125" style="168" bestFit="1" customWidth="1"/>
    <col min="86" max="86" width="10.140625" style="168" bestFit="1" customWidth="1"/>
    <col min="87" max="87" width="11.28515625" style="168" bestFit="1" customWidth="1"/>
    <col min="88" max="88" width="12.85546875" style="168" bestFit="1" customWidth="1"/>
    <col min="89" max="89" width="9.28515625" style="168" bestFit="1" customWidth="1"/>
    <col min="90" max="90" width="8.28515625" style="168" bestFit="1" customWidth="1"/>
    <col min="91" max="91" width="18.42578125" style="168" bestFit="1" customWidth="1"/>
    <col min="92" max="92" width="20.42578125" style="168" bestFit="1" customWidth="1"/>
    <col min="93" max="93" width="10.140625" style="168" bestFit="1" customWidth="1"/>
    <col min="94" max="94" width="11.140625" style="168" bestFit="1" customWidth="1"/>
    <col min="95" max="95" width="12.5703125" style="168" bestFit="1" customWidth="1"/>
    <col min="96" max="96" width="18.7109375" style="168" bestFit="1" customWidth="1"/>
    <col min="97" max="97" width="20" style="168" bestFit="1" customWidth="1"/>
    <col min="98" max="98" width="10.7109375" style="168" bestFit="1" customWidth="1"/>
    <col min="99" max="99" width="9.85546875" style="168" bestFit="1" customWidth="1"/>
    <col min="100" max="100" width="19.5703125" style="168" bestFit="1" customWidth="1"/>
    <col min="101" max="101" width="18.5703125" style="168" bestFit="1" customWidth="1"/>
    <col min="102" max="102" width="8.85546875" style="168" bestFit="1" customWidth="1"/>
    <col min="103" max="103" width="10" style="168" bestFit="1" customWidth="1"/>
    <col min="104" max="104" width="14.85546875" style="168" bestFit="1" customWidth="1"/>
    <col min="105" max="105" width="12.28515625" style="168" bestFit="1" customWidth="1"/>
    <col min="106" max="106" width="9.28515625" style="168" bestFit="1" customWidth="1"/>
    <col min="107" max="107" width="14.85546875" style="168" bestFit="1" customWidth="1"/>
    <col min="108" max="108" width="17.7109375" style="168" bestFit="1" customWidth="1"/>
    <col min="109" max="109" width="13.140625" style="168" bestFit="1" customWidth="1"/>
    <col min="110" max="110" width="11.140625" style="168" bestFit="1" customWidth="1"/>
    <col min="111" max="111" width="20.140625" style="168" bestFit="1" customWidth="1"/>
    <col min="112" max="112" width="13.42578125" style="168" bestFit="1" customWidth="1"/>
    <col min="113" max="113" width="16.28515625" style="168" bestFit="1" customWidth="1"/>
    <col min="114" max="114" width="7.85546875" style="168" bestFit="1" customWidth="1"/>
    <col min="115" max="115" width="12.140625" style="168" bestFit="1" customWidth="1"/>
    <col min="116" max="116" width="15.7109375" style="168" bestFit="1" customWidth="1"/>
    <col min="117" max="117" width="13.28515625" style="168" bestFit="1" customWidth="1"/>
    <col min="118" max="118" width="10.28515625" style="168" bestFit="1" customWidth="1"/>
    <col min="119" max="119" width="14.7109375" style="168" bestFit="1" customWidth="1"/>
    <col min="120" max="120" width="24" style="168" bestFit="1" customWidth="1"/>
    <col min="121" max="121" width="15.7109375" style="168" bestFit="1" customWidth="1"/>
    <col min="122" max="122" width="17.28515625" style="168" bestFit="1" customWidth="1"/>
    <col min="123" max="123" width="14" style="168" bestFit="1" customWidth="1"/>
    <col min="124" max="124" width="17.85546875" style="168" bestFit="1" customWidth="1"/>
    <col min="125" max="125" width="8.28515625" style="168" bestFit="1" customWidth="1"/>
    <col min="126" max="126" width="9.28515625" style="168" bestFit="1" customWidth="1"/>
    <col min="127" max="127" width="12.28515625" style="168" bestFit="1" customWidth="1"/>
    <col min="128" max="128" width="11.28515625" style="168" bestFit="1" customWidth="1"/>
    <col min="129" max="129" width="8.42578125" style="168" bestFit="1" customWidth="1"/>
    <col min="130" max="130" width="10.85546875" style="168" bestFit="1" customWidth="1"/>
    <col min="131" max="131" width="15.7109375" style="168" bestFit="1" customWidth="1"/>
    <col min="132" max="132" width="10.28515625" style="168" bestFit="1" customWidth="1"/>
    <col min="133" max="133" width="20.42578125" style="168" bestFit="1" customWidth="1"/>
    <col min="134" max="134" width="11.28515625" style="168" bestFit="1" customWidth="1"/>
    <col min="135" max="135" width="9.85546875" style="168" bestFit="1" customWidth="1"/>
    <col min="136" max="136" width="7.7109375" style="168" bestFit="1" customWidth="1"/>
    <col min="137" max="137" width="9.42578125" style="168" bestFit="1" customWidth="1"/>
    <col min="138" max="138" width="9.140625" style="168" bestFit="1" customWidth="1"/>
    <col min="139" max="139" width="8.42578125" style="168" bestFit="1" customWidth="1"/>
    <col min="140" max="140" width="14.85546875" style="168" bestFit="1" customWidth="1"/>
    <col min="141" max="141" width="13.5703125" style="168" bestFit="1" customWidth="1"/>
    <col min="142" max="143" width="10.85546875" style="168" bestFit="1" customWidth="1"/>
    <col min="144" max="144" width="11.5703125" style="168" bestFit="1" customWidth="1"/>
    <col min="145" max="145" width="13.28515625" style="168" bestFit="1" customWidth="1"/>
    <col min="146" max="146" width="9.7109375" style="168" bestFit="1" customWidth="1"/>
    <col min="147" max="147" width="11.42578125" style="168" bestFit="1" customWidth="1"/>
    <col min="148" max="148" width="16" style="168" bestFit="1" customWidth="1"/>
    <col min="149" max="149" width="11.28515625" style="168" bestFit="1" customWidth="1"/>
    <col min="150" max="150" width="13.5703125" style="168" bestFit="1" customWidth="1"/>
    <col min="151" max="151" width="15.28515625" style="168" bestFit="1" customWidth="1"/>
    <col min="152" max="152" width="12.7109375" style="168" bestFit="1" customWidth="1"/>
    <col min="153" max="153" width="14.85546875" style="168" bestFit="1" customWidth="1"/>
    <col min="154" max="154" width="10.28515625" style="168" bestFit="1" customWidth="1"/>
    <col min="155" max="155" width="12.28515625" style="168" bestFit="1" customWidth="1"/>
    <col min="156" max="156" width="14.7109375" style="168" bestFit="1" customWidth="1"/>
    <col min="157" max="157" width="11.7109375" style="168" bestFit="1" customWidth="1"/>
    <col min="158" max="159" width="9.7109375" style="168" bestFit="1" customWidth="1"/>
    <col min="160" max="160" width="8.7109375" style="168" bestFit="1" customWidth="1"/>
    <col min="161" max="161" width="10" style="168" bestFit="1" customWidth="1"/>
    <col min="162" max="162" width="14.85546875" style="168" bestFit="1" customWidth="1"/>
    <col min="163" max="163" width="11.5703125" style="168" bestFit="1" customWidth="1"/>
    <col min="164" max="164" width="11.42578125" style="168" bestFit="1" customWidth="1"/>
    <col min="165" max="165" width="10.42578125" style="168" bestFit="1" customWidth="1"/>
    <col min="166" max="166" width="7.28515625" style="168" bestFit="1" customWidth="1"/>
    <col min="167" max="167" width="9.28515625" style="168" bestFit="1" customWidth="1"/>
    <col min="168" max="168" width="10.85546875" style="168" bestFit="1" customWidth="1"/>
    <col min="169" max="169" width="19.7109375" style="168" bestFit="1" customWidth="1"/>
    <col min="170" max="170" width="13.28515625" style="168" bestFit="1" customWidth="1"/>
    <col min="171" max="171" width="14.28515625" style="168" bestFit="1" customWidth="1"/>
    <col min="172" max="172" width="18.7109375" style="168" bestFit="1" customWidth="1"/>
    <col min="173" max="173" width="11.140625" style="168" bestFit="1" customWidth="1"/>
    <col min="174" max="174" width="15" style="168" bestFit="1" customWidth="1"/>
    <col min="175" max="175" width="10.28515625" style="168" bestFit="1" customWidth="1"/>
    <col min="176" max="176" width="8.28515625" style="168" bestFit="1" customWidth="1"/>
    <col min="177" max="177" width="8.7109375" style="168" bestFit="1" customWidth="1"/>
    <col min="178" max="178" width="9.28515625" style="168" bestFit="1" customWidth="1"/>
    <col min="179" max="179" width="17.85546875" style="168" bestFit="1" customWidth="1"/>
    <col min="180" max="180" width="9.140625" style="168" bestFit="1" customWidth="1"/>
    <col min="181" max="181" width="9.5703125" style="168" bestFit="1" customWidth="1"/>
    <col min="182" max="182" width="9" style="168" bestFit="1" customWidth="1"/>
    <col min="183" max="183" width="8.7109375" style="168" bestFit="1" customWidth="1"/>
    <col min="184" max="184" width="10.7109375" style="168" bestFit="1" customWidth="1"/>
    <col min="185" max="185" width="6" style="168" bestFit="1" customWidth="1"/>
    <col min="186" max="186" width="18.28515625" style="168" bestFit="1" customWidth="1"/>
    <col min="187" max="187" width="14.5703125" style="168" bestFit="1" customWidth="1"/>
    <col min="188" max="188" width="21.7109375" style="168" bestFit="1" customWidth="1"/>
    <col min="189" max="189" width="17.7109375" style="168" bestFit="1" customWidth="1"/>
    <col min="190" max="190" width="16.140625" style="168" bestFit="1" customWidth="1"/>
    <col min="191" max="191" width="11" style="168" bestFit="1" customWidth="1"/>
    <col min="192" max="192" width="9" style="168" bestFit="1" customWidth="1"/>
    <col min="193" max="193" width="9.42578125" style="168" bestFit="1" customWidth="1"/>
    <col min="194" max="194" width="9.28515625" style="168" bestFit="1" customWidth="1"/>
    <col min="195" max="195" width="10.28515625" style="168" bestFit="1" customWidth="1"/>
    <col min="196" max="196" width="15.7109375" style="168" bestFit="1" customWidth="1"/>
    <col min="197" max="197" width="16.5703125" style="168" bestFit="1" customWidth="1"/>
    <col min="198" max="198" width="10.140625" style="168" bestFit="1" customWidth="1"/>
    <col min="199" max="199" width="14.28515625" style="168" bestFit="1" customWidth="1"/>
    <col min="200" max="203" width="5.7109375" style="168" bestFit="1" customWidth="1"/>
    <col min="204" max="16384" width="8.85546875" style="168"/>
  </cols>
  <sheetData>
    <row r="1" spans="1:203" ht="14.45" thickBot="1">
      <c r="A1" s="167" t="s">
        <v>229</v>
      </c>
      <c r="B1" s="167" t="s">
        <v>208</v>
      </c>
      <c r="C1" s="145" t="s">
        <v>4</v>
      </c>
      <c r="D1" s="145" t="s">
        <v>5</v>
      </c>
      <c r="E1" s="145" t="s">
        <v>6</v>
      </c>
      <c r="F1" s="145" t="s">
        <v>7</v>
      </c>
      <c r="G1" s="145" t="s">
        <v>8</v>
      </c>
      <c r="H1" s="145" t="s">
        <v>9</v>
      </c>
      <c r="I1" s="145" t="s">
        <v>10</v>
      </c>
      <c r="J1" s="145" t="s">
        <v>11</v>
      </c>
      <c r="K1" s="145" t="s">
        <v>12</v>
      </c>
      <c r="L1" s="145" t="s">
        <v>13</v>
      </c>
      <c r="M1" s="145" t="s">
        <v>14</v>
      </c>
      <c r="N1" s="145" t="s">
        <v>15</v>
      </c>
      <c r="O1" s="145" t="s">
        <v>16</v>
      </c>
      <c r="P1" s="145" t="s">
        <v>17</v>
      </c>
      <c r="Q1" s="145" t="s">
        <v>18</v>
      </c>
      <c r="R1" s="145" t="s">
        <v>19</v>
      </c>
      <c r="S1" s="145" t="s">
        <v>20</v>
      </c>
      <c r="T1" s="145" t="s">
        <v>21</v>
      </c>
      <c r="U1" s="145" t="s">
        <v>22</v>
      </c>
      <c r="V1" s="145" t="s">
        <v>23</v>
      </c>
      <c r="W1" s="145" t="s">
        <v>24</v>
      </c>
      <c r="X1" s="145" t="s">
        <v>25</v>
      </c>
      <c r="Y1" s="145" t="s">
        <v>26</v>
      </c>
      <c r="Z1" s="145" t="s">
        <v>27</v>
      </c>
      <c r="AA1" s="145" t="s">
        <v>28</v>
      </c>
      <c r="AB1" s="145" t="s">
        <v>29</v>
      </c>
      <c r="AC1" s="152" t="s">
        <v>30</v>
      </c>
      <c r="AD1" s="145" t="s">
        <v>31</v>
      </c>
      <c r="AE1" s="145" t="s">
        <v>32</v>
      </c>
      <c r="AF1" s="145" t="s">
        <v>33</v>
      </c>
      <c r="AG1" s="145" t="s">
        <v>34</v>
      </c>
      <c r="AH1" s="145" t="s">
        <v>35</v>
      </c>
      <c r="AI1" s="145" t="s">
        <v>36</v>
      </c>
      <c r="AJ1" s="145" t="s">
        <v>37</v>
      </c>
      <c r="AK1" s="145" t="s">
        <v>38</v>
      </c>
      <c r="AL1" s="145" t="s">
        <v>39</v>
      </c>
      <c r="AM1" s="145" t="s">
        <v>40</v>
      </c>
      <c r="AN1" s="145" t="s">
        <v>41</v>
      </c>
      <c r="AO1" s="145" t="s">
        <v>42</v>
      </c>
      <c r="AP1" s="145" t="s">
        <v>43</v>
      </c>
      <c r="AQ1" s="145" t="s">
        <v>44</v>
      </c>
      <c r="AR1" s="145" t="s">
        <v>45</v>
      </c>
      <c r="AS1" s="145" t="s">
        <v>46</v>
      </c>
      <c r="AT1" s="145" t="s">
        <v>47</v>
      </c>
      <c r="AU1" s="145" t="s">
        <v>48</v>
      </c>
      <c r="AV1" s="145" t="s">
        <v>49</v>
      </c>
      <c r="AW1" s="145" t="s">
        <v>50</v>
      </c>
      <c r="AX1" s="145" t="s">
        <v>51</v>
      </c>
      <c r="AY1" s="145" t="s">
        <v>52</v>
      </c>
      <c r="AZ1" s="145" t="s">
        <v>53</v>
      </c>
      <c r="BA1" s="145" t="s">
        <v>54</v>
      </c>
      <c r="BB1" s="145" t="s">
        <v>55</v>
      </c>
      <c r="BC1" s="145" t="s">
        <v>56</v>
      </c>
      <c r="BD1" s="145" t="s">
        <v>57</v>
      </c>
      <c r="BE1" s="145" t="s">
        <v>58</v>
      </c>
      <c r="BF1" s="145" t="s">
        <v>59</v>
      </c>
      <c r="BG1" s="145" t="s">
        <v>60</v>
      </c>
      <c r="BH1" s="145" t="s">
        <v>61</v>
      </c>
      <c r="BI1" s="145" t="s">
        <v>62</v>
      </c>
      <c r="BJ1" s="145" t="s">
        <v>63</v>
      </c>
      <c r="BK1" s="145" t="s">
        <v>64</v>
      </c>
      <c r="BL1" s="145" t="s">
        <v>65</v>
      </c>
      <c r="BM1" s="145" t="s">
        <v>66</v>
      </c>
      <c r="BN1" s="145" t="s">
        <v>67</v>
      </c>
      <c r="BO1" s="145" t="s">
        <v>68</v>
      </c>
      <c r="BP1" s="145" t="s">
        <v>69</v>
      </c>
      <c r="BQ1" s="145" t="s">
        <v>70</v>
      </c>
      <c r="BR1" s="145" t="s">
        <v>71</v>
      </c>
      <c r="BS1" s="145" t="s">
        <v>72</v>
      </c>
      <c r="BT1" s="145" t="s">
        <v>73</v>
      </c>
      <c r="BU1" s="145" t="s">
        <v>74</v>
      </c>
      <c r="BV1" s="145" t="s">
        <v>75</v>
      </c>
      <c r="BW1" s="145" t="s">
        <v>76</v>
      </c>
      <c r="BX1" s="145" t="s">
        <v>77</v>
      </c>
      <c r="BY1" s="145" t="s">
        <v>78</v>
      </c>
      <c r="BZ1" s="145" t="s">
        <v>79</v>
      </c>
      <c r="CA1" s="145" t="s">
        <v>80</v>
      </c>
      <c r="CB1" s="145" t="s">
        <v>81</v>
      </c>
      <c r="CC1" s="145" t="s">
        <v>82</v>
      </c>
      <c r="CD1" s="145" t="s">
        <v>83</v>
      </c>
      <c r="CE1" s="145" t="s">
        <v>84</v>
      </c>
      <c r="CF1" s="145" t="s">
        <v>85</v>
      </c>
      <c r="CG1" s="145" t="s">
        <v>86</v>
      </c>
      <c r="CH1" s="145" t="s">
        <v>87</v>
      </c>
      <c r="CI1" s="145" t="s">
        <v>88</v>
      </c>
      <c r="CJ1" s="145" t="s">
        <v>89</v>
      </c>
      <c r="CK1" s="145" t="s">
        <v>90</v>
      </c>
      <c r="CL1" s="145" t="s">
        <v>91</v>
      </c>
      <c r="CM1" s="145" t="s">
        <v>92</v>
      </c>
      <c r="CN1" s="145" t="s">
        <v>93</v>
      </c>
      <c r="CO1" s="145" t="s">
        <v>94</v>
      </c>
      <c r="CP1" s="145" t="s">
        <v>95</v>
      </c>
      <c r="CQ1" s="145" t="s">
        <v>96</v>
      </c>
      <c r="CR1" s="145" t="s">
        <v>97</v>
      </c>
      <c r="CS1" s="145" t="s">
        <v>98</v>
      </c>
      <c r="CT1" s="145" t="s">
        <v>99</v>
      </c>
      <c r="CU1" s="145" t="s">
        <v>100</v>
      </c>
      <c r="CV1" s="145" t="s">
        <v>101</v>
      </c>
      <c r="CW1" s="145" t="s">
        <v>102</v>
      </c>
      <c r="CX1" s="145" t="s">
        <v>103</v>
      </c>
      <c r="CY1" s="145" t="s">
        <v>104</v>
      </c>
      <c r="CZ1" s="145" t="s">
        <v>105</v>
      </c>
      <c r="DA1" s="145" t="s">
        <v>106</v>
      </c>
      <c r="DB1" s="145" t="s">
        <v>107</v>
      </c>
      <c r="DC1" s="145" t="s">
        <v>108</v>
      </c>
      <c r="DD1" s="145" t="s">
        <v>109</v>
      </c>
      <c r="DE1" s="145" t="s">
        <v>110</v>
      </c>
      <c r="DF1" s="145" t="s">
        <v>111</v>
      </c>
      <c r="DG1" s="145" t="s">
        <v>112</v>
      </c>
      <c r="DH1" s="145" t="s">
        <v>113</v>
      </c>
      <c r="DI1" s="145" t="s">
        <v>114</v>
      </c>
      <c r="DJ1" s="145" t="s">
        <v>115</v>
      </c>
      <c r="DK1" s="145" t="s">
        <v>116</v>
      </c>
      <c r="DL1" s="145" t="s">
        <v>117</v>
      </c>
      <c r="DM1" s="145" t="s">
        <v>118</v>
      </c>
      <c r="DN1" s="145" t="s">
        <v>119</v>
      </c>
      <c r="DO1" s="145" t="s">
        <v>120</v>
      </c>
      <c r="DP1" s="145" t="s">
        <v>121</v>
      </c>
      <c r="DQ1" s="145" t="s">
        <v>122</v>
      </c>
      <c r="DR1" s="145" t="s">
        <v>123</v>
      </c>
      <c r="DS1" s="145" t="s">
        <v>124</v>
      </c>
      <c r="DT1" s="145" t="s">
        <v>125</v>
      </c>
      <c r="DU1" s="145" t="s">
        <v>126</v>
      </c>
      <c r="DV1" s="145" t="s">
        <v>127</v>
      </c>
      <c r="DW1" s="145" t="s">
        <v>128</v>
      </c>
      <c r="DX1" s="145" t="s">
        <v>129</v>
      </c>
      <c r="DY1" s="145" t="s">
        <v>130</v>
      </c>
      <c r="DZ1" s="145" t="s">
        <v>131</v>
      </c>
      <c r="EA1" s="145" t="s">
        <v>132</v>
      </c>
      <c r="EB1" s="145" t="s">
        <v>133</v>
      </c>
      <c r="EC1" s="145" t="s">
        <v>134</v>
      </c>
      <c r="ED1" s="145" t="s">
        <v>135</v>
      </c>
      <c r="EE1" s="145" t="s">
        <v>136</v>
      </c>
      <c r="EF1" s="145" t="s">
        <v>137</v>
      </c>
      <c r="EG1" s="145" t="s">
        <v>138</v>
      </c>
      <c r="EH1" s="145" t="s">
        <v>139</v>
      </c>
      <c r="EI1" s="145" t="s">
        <v>140</v>
      </c>
      <c r="EJ1" s="145" t="s">
        <v>141</v>
      </c>
      <c r="EK1" s="145" t="s">
        <v>142</v>
      </c>
      <c r="EL1" s="145" t="s">
        <v>143</v>
      </c>
      <c r="EM1" s="145" t="s">
        <v>144</v>
      </c>
      <c r="EN1" s="145" t="s">
        <v>145</v>
      </c>
      <c r="EO1" s="145" t="s">
        <v>146</v>
      </c>
      <c r="EP1" s="145" t="s">
        <v>147</v>
      </c>
      <c r="EQ1" s="145" t="s">
        <v>148</v>
      </c>
      <c r="ER1" s="145" t="s">
        <v>149</v>
      </c>
      <c r="ES1" s="145" t="s">
        <v>150</v>
      </c>
      <c r="ET1" s="145" t="s">
        <v>151</v>
      </c>
      <c r="EU1" s="145" t="s">
        <v>152</v>
      </c>
      <c r="EV1" s="145" t="s">
        <v>153</v>
      </c>
      <c r="EW1" s="145" t="s">
        <v>154</v>
      </c>
      <c r="EX1" s="145" t="s">
        <v>155</v>
      </c>
      <c r="EY1" s="145" t="s">
        <v>156</v>
      </c>
      <c r="EZ1" s="145" t="s">
        <v>157</v>
      </c>
      <c r="FA1" s="145" t="s">
        <v>158</v>
      </c>
      <c r="FB1" s="145" t="s">
        <v>159</v>
      </c>
      <c r="FC1" s="145" t="s">
        <v>160</v>
      </c>
      <c r="FD1" s="145" t="s">
        <v>161</v>
      </c>
      <c r="FE1" s="145" t="s">
        <v>162</v>
      </c>
      <c r="FF1" s="145" t="s">
        <v>163</v>
      </c>
      <c r="FG1" s="145" t="s">
        <v>164</v>
      </c>
      <c r="FH1" s="145" t="s">
        <v>165</v>
      </c>
      <c r="FI1" s="145" t="s">
        <v>166</v>
      </c>
      <c r="FJ1" s="145" t="s">
        <v>167</v>
      </c>
      <c r="FK1" s="145" t="s">
        <v>168</v>
      </c>
      <c r="FL1" s="145" t="s">
        <v>169</v>
      </c>
      <c r="FM1" s="145" t="s">
        <v>170</v>
      </c>
      <c r="FN1" s="145" t="s">
        <v>171</v>
      </c>
      <c r="FO1" s="145" t="s">
        <v>172</v>
      </c>
      <c r="FP1" s="145" t="s">
        <v>173</v>
      </c>
      <c r="FQ1" s="145" t="s">
        <v>174</v>
      </c>
      <c r="FR1" s="145" t="s">
        <v>175</v>
      </c>
      <c r="FS1" s="145" t="s">
        <v>176</v>
      </c>
      <c r="FT1" s="145" t="s">
        <v>177</v>
      </c>
      <c r="FU1" s="145" t="s">
        <v>178</v>
      </c>
      <c r="FV1" s="145" t="s">
        <v>179</v>
      </c>
      <c r="FW1" s="145" t="s">
        <v>180</v>
      </c>
      <c r="FX1" s="145" t="s">
        <v>181</v>
      </c>
      <c r="FY1" s="145" t="s">
        <v>182</v>
      </c>
      <c r="FZ1" s="145" t="s">
        <v>183</v>
      </c>
      <c r="GA1" s="145" t="s">
        <v>184</v>
      </c>
      <c r="GB1" s="145" t="s">
        <v>185</v>
      </c>
      <c r="GC1" s="145" t="s">
        <v>186</v>
      </c>
      <c r="GD1" s="145" t="s">
        <v>187</v>
      </c>
      <c r="GE1" s="145" t="s">
        <v>188</v>
      </c>
      <c r="GF1" s="145" t="s">
        <v>189</v>
      </c>
      <c r="GG1" s="145" t="s">
        <v>190</v>
      </c>
      <c r="GH1" s="145" t="s">
        <v>191</v>
      </c>
      <c r="GI1" s="145" t="s">
        <v>192</v>
      </c>
      <c r="GJ1" s="145" t="s">
        <v>193</v>
      </c>
      <c r="GK1" s="145" t="s">
        <v>194</v>
      </c>
      <c r="GL1" s="145" t="s">
        <v>195</v>
      </c>
      <c r="GM1" s="145" t="s">
        <v>196</v>
      </c>
      <c r="GN1" s="145" t="s">
        <v>197</v>
      </c>
      <c r="GO1" s="145" t="s">
        <v>198</v>
      </c>
      <c r="GP1" s="145" t="s">
        <v>199</v>
      </c>
      <c r="GQ1" s="145" t="s">
        <v>200</v>
      </c>
      <c r="GR1" s="145"/>
      <c r="GS1" s="145"/>
      <c r="GT1" s="145"/>
      <c r="GU1" s="145"/>
    </row>
    <row r="2" spans="1:203" ht="14.45">
      <c r="A2" s="153" t="s">
        <v>230</v>
      </c>
      <c r="B2" s="28">
        <f>SUM(C2:GU2)</f>
        <v>23226</v>
      </c>
      <c r="C2" s="29" t="str">
        <f>IFERROR(HLOOKUP(C1,'Datavant Data'!$B$1:$BF$3,2,0),"0")</f>
        <v>0</v>
      </c>
      <c r="D2" s="29">
        <f>IFERROR(HLOOKUP(D1,'Datavant Data'!$B$1:$BF$3,2,0),"0")</f>
        <v>1516</v>
      </c>
      <c r="E2" s="29" t="str">
        <f>IFERROR(HLOOKUP(E1,'Datavant Data'!$B$1:$BF$3,2,0),"0")</f>
        <v>0</v>
      </c>
      <c r="F2" s="29" t="str">
        <f>IFERROR(HLOOKUP(F1,'Datavant Data'!$B$1:$BF$3,2,0),"0")</f>
        <v>0</v>
      </c>
      <c r="G2" s="29" t="str">
        <f>IFERROR(HLOOKUP(G1,'Datavant Data'!$B$1:$BF$3,2,0),"0")</f>
        <v>0</v>
      </c>
      <c r="H2" s="29" t="str">
        <f>IFERROR(HLOOKUP(H1,'Datavant Data'!$B$1:$BF$3,2,0),"0")</f>
        <v>0</v>
      </c>
      <c r="I2" s="29">
        <f>IFERROR(HLOOKUP(I1,'Datavant Data'!$B$1:$BF$3,2,0),"0")</f>
        <v>370</v>
      </c>
      <c r="J2" s="29" t="str">
        <f>IFERROR(HLOOKUP(J1,'Datavant Data'!$B$1:$BF$3,2,0),"0")</f>
        <v>0</v>
      </c>
      <c r="K2" s="29" t="str">
        <f>IFERROR(HLOOKUP(K1,'Datavant Data'!$B$1:$BF$3,2,0),"0")</f>
        <v>0</v>
      </c>
      <c r="L2" s="29">
        <f>IFERROR(HLOOKUP(L1,'Datavant Data'!$B$1:$BF$3,2,0),"0")</f>
        <v>80</v>
      </c>
      <c r="M2" s="29" t="str">
        <f>IFERROR(HLOOKUP(M1,'Datavant Data'!$B$1:$BF$3,2,0),"0")</f>
        <v>0</v>
      </c>
      <c r="N2" s="29" t="str">
        <f>IFERROR(HLOOKUP(N1,'Datavant Data'!$B$1:$BF$3,2,0),"0")</f>
        <v>0</v>
      </c>
      <c r="O2" s="29" t="str">
        <f>IFERROR(HLOOKUP(O1,'Datavant Data'!$B$1:$BF$3,2,0),"0")</f>
        <v>0</v>
      </c>
      <c r="P2" s="29" t="str">
        <f>IFERROR(HLOOKUP(P1,'Datavant Data'!$B$1:$BF$3,2,0),"0")</f>
        <v>0</v>
      </c>
      <c r="Q2" s="29" t="str">
        <f>IFERROR(HLOOKUP(Q1,'Datavant Data'!$B$1:$BF$3,2,0),"0")</f>
        <v>0</v>
      </c>
      <c r="R2" s="29" t="str">
        <f>IFERROR(HLOOKUP(R1,'Datavant Data'!$B$1:$BF$3,2,0),"0")</f>
        <v>0</v>
      </c>
      <c r="S2" s="29" t="str">
        <f>IFERROR(HLOOKUP(S1,'Datavant Data'!$B$1:$BF$3,2,0),"0")</f>
        <v>0</v>
      </c>
      <c r="T2" s="29" t="str">
        <f>IFERROR(HLOOKUP(T1,'Datavant Data'!$B$1:$BF$3,2,0),"0")</f>
        <v>0</v>
      </c>
      <c r="U2" s="29" t="str">
        <f>IFERROR(HLOOKUP(U1,'Datavant Data'!$B$1:$BF$3,2,0),"0")</f>
        <v>0</v>
      </c>
      <c r="V2" s="29">
        <f>IFERROR(HLOOKUP(V1,'Datavant Data'!$B$1:$BF$3,2,0),"0")</f>
        <v>8</v>
      </c>
      <c r="W2" s="29" t="str">
        <f>IFERROR(HLOOKUP(W1,'Datavant Data'!$B$1:$BF$3,2,0),"0")</f>
        <v>0</v>
      </c>
      <c r="X2" s="29" t="str">
        <f>IFERROR(HLOOKUP(X1,'Datavant Data'!$B$1:$BF$3,2,0),"0")</f>
        <v>0</v>
      </c>
      <c r="Y2" s="29" t="str">
        <f>IFERROR(HLOOKUP(Y1,'Datavant Data'!$B$1:$BF$3,2,0),"0")</f>
        <v>0</v>
      </c>
      <c r="Z2" s="29" t="str">
        <f>IFERROR(HLOOKUP(Z1,'Datavant Data'!$B$1:$BF$3,2,0),"0")</f>
        <v>0</v>
      </c>
      <c r="AA2" s="29" t="str">
        <f>IFERROR(HLOOKUP(AA1,'Datavant Data'!$B$1:$BF$3,2,0),"0")</f>
        <v>0</v>
      </c>
      <c r="AB2" s="29">
        <f>IFERROR(HLOOKUP(AB1,'Datavant Data'!$B$1:$BF$3,2,0),"0")</f>
        <v>0</v>
      </c>
      <c r="AC2" s="29" t="str">
        <f>IFERROR(HLOOKUP(AC1,'Datavant Data'!$B$1:$BF$3,2,0),"0")</f>
        <v>0</v>
      </c>
      <c r="AD2" s="29">
        <f>IFERROR(HLOOKUP(AD1,'Datavant Data'!$B$1:$BF$3,2,0),"0")</f>
        <v>256</v>
      </c>
      <c r="AE2" s="29" t="str">
        <f>IFERROR(HLOOKUP(AE1,'Datavant Data'!$B$1:$BF$3,2,0),"0")</f>
        <v>0</v>
      </c>
      <c r="AF2" s="29" t="str">
        <f>IFERROR(HLOOKUP(AF1,'Datavant Data'!$B$1:$BF$3,2,0),"0")</f>
        <v>0</v>
      </c>
      <c r="AG2" s="29" t="str">
        <f>IFERROR(HLOOKUP(AG1,'Datavant Data'!$B$1:$BF$3,2,0),"0")</f>
        <v>0</v>
      </c>
      <c r="AH2" s="29">
        <f>IFERROR(HLOOKUP(AH1,'Datavant Data'!$B$1:$BF$3,2,0),"0")</f>
        <v>388</v>
      </c>
      <c r="AI2" s="29">
        <f>IFERROR(HLOOKUP(AI1,'Datavant Data'!$B$1:$BF$3,2,0),"0")</f>
        <v>1450</v>
      </c>
      <c r="AJ2" s="29">
        <f>IFERROR(HLOOKUP(AJ1,'Datavant Data'!$B$1:$BF$3,2,0),"0")</f>
        <v>321</v>
      </c>
      <c r="AK2" s="29">
        <f>IFERROR(HLOOKUP(AK1,'Datavant Data'!$B$1:$BF$3,2,0),"0")</f>
        <v>172</v>
      </c>
      <c r="AL2" s="29">
        <f>IFERROR(HLOOKUP(AL1,'Datavant Data'!$B$1:$BF$3,2,0),"0")</f>
        <v>1105</v>
      </c>
      <c r="AM2" s="29" t="str">
        <f>IFERROR(HLOOKUP(AM1,'Datavant Data'!$B$1:$BF$3,2,0),"0")</f>
        <v>0</v>
      </c>
      <c r="AN2" s="29" t="str">
        <f>IFERROR(HLOOKUP(AN1,'Datavant Data'!$B$1:$BF$3,2,0),"0")</f>
        <v>0</v>
      </c>
      <c r="AO2" s="29" t="str">
        <f>IFERROR(HLOOKUP(AO1,'Datavant Data'!$B$1:$BF$3,2,0),"0")</f>
        <v>0</v>
      </c>
      <c r="AP2" s="29" t="str">
        <f>IFERROR(HLOOKUP(AP1,'Datavant Data'!$B$1:$BF$3,2,0),"0")</f>
        <v>0</v>
      </c>
      <c r="AQ2" s="29">
        <f>IFERROR(HLOOKUP(AQ1,'Datavant Data'!$B$1:$BF$3,2,0),"0")</f>
        <v>773</v>
      </c>
      <c r="AR2" s="29">
        <f>IFERROR(HLOOKUP(AR1,'Datavant Data'!$B$1:$BF$3,2,0),"0")</f>
        <v>349</v>
      </c>
      <c r="AS2" s="29">
        <f>IFERROR(HLOOKUP(AS1,'Datavant Data'!$B$1:$BF$3,2,0),"0")</f>
        <v>408</v>
      </c>
      <c r="AT2" s="29" t="str">
        <f>IFERROR(HLOOKUP(AT1,'Datavant Data'!$B$1:$BF$3,2,0),"0")</f>
        <v>0</v>
      </c>
      <c r="AU2" s="29" t="str">
        <f>IFERROR(HLOOKUP(AU1,'Datavant Data'!$B$1:$BF$3,2,0),"0")</f>
        <v>0</v>
      </c>
      <c r="AV2" s="29" t="str">
        <f>IFERROR(HLOOKUP(AV1,'Datavant Data'!$B$1:$BF$3,2,0),"0")</f>
        <v>0</v>
      </c>
      <c r="AW2" s="29" t="str">
        <f>IFERROR(HLOOKUP(AW1,'Datavant Data'!$B$1:$BF$3,2,0),"0")</f>
        <v>0</v>
      </c>
      <c r="AX2" s="29" t="str">
        <f>IFERROR(HLOOKUP(AX1,'Datavant Data'!$B$1:$BF$3,2,0),"0")</f>
        <v>0</v>
      </c>
      <c r="AY2" s="29" t="str">
        <f>IFERROR(HLOOKUP(AY1,'Datavant Data'!$B$1:$BF$3,2,0),"0")</f>
        <v>0</v>
      </c>
      <c r="AZ2" s="29" t="str">
        <f>IFERROR(HLOOKUP(AZ1,'Datavant Data'!$B$1:$BF$3,2,0),"0")</f>
        <v>0</v>
      </c>
      <c r="BA2" s="29" t="str">
        <f>IFERROR(HLOOKUP(BA1,'Datavant Data'!$B$1:$BF$3,2,0),"0")</f>
        <v>0</v>
      </c>
      <c r="BB2" s="29">
        <f>IFERROR(HLOOKUP(BB1,'Datavant Data'!$B$1:$BF$3,2,0),"0")</f>
        <v>1597</v>
      </c>
      <c r="BC2" s="29" t="str">
        <f>IFERROR(HLOOKUP(BC1,'Datavant Data'!$B$1:$BF$3,2,0),"0")</f>
        <v>0</v>
      </c>
      <c r="BD2" s="29" t="str">
        <f>IFERROR(HLOOKUP(BD1,'Datavant Data'!$B$1:$BF$3,2,0),"0")</f>
        <v>0</v>
      </c>
      <c r="BE2" s="29">
        <f>IFERROR(HLOOKUP(BE1,'Datavant Data'!$B$1:$BF$3,2,0),"0")</f>
        <v>167</v>
      </c>
      <c r="BF2" s="29" t="str">
        <f>IFERROR(HLOOKUP(BF1,'Datavant Data'!$B$1:$BF$3,2,0),"0")</f>
        <v>0</v>
      </c>
      <c r="BG2" s="29" t="str">
        <f>IFERROR(HLOOKUP(BG1,'Datavant Data'!$B$1:$BF$3,2,0),"0")</f>
        <v>0</v>
      </c>
      <c r="BH2" s="29" t="str">
        <f>IFERROR(HLOOKUP(BH1,'Datavant Data'!$B$1:$BF$3,2,0),"0")</f>
        <v>0</v>
      </c>
      <c r="BI2" s="29" t="str">
        <f>IFERROR(HLOOKUP(BI1,'Datavant Data'!$B$1:$BF$3,2,0),"0")</f>
        <v>0</v>
      </c>
      <c r="BJ2" s="29" t="str">
        <f>IFERROR(HLOOKUP(BJ1,'Datavant Data'!$B$1:$BF$3,2,0),"0")</f>
        <v>0</v>
      </c>
      <c r="BK2" s="29" t="str">
        <f>IFERROR(HLOOKUP(BK1,'Datavant Data'!$B$1:$BF$3,2,0),"0")</f>
        <v>0</v>
      </c>
      <c r="BL2" s="29" t="str">
        <f>IFERROR(HLOOKUP(BL1,'Datavant Data'!$B$1:$BF$3,2,0),"0")</f>
        <v>0</v>
      </c>
      <c r="BM2" s="29">
        <f>IFERROR(HLOOKUP(BM1,'Datavant Data'!$B$1:$BF$3,2,0),"0")</f>
        <v>674</v>
      </c>
      <c r="BN2" s="29" t="str">
        <f>IFERROR(HLOOKUP(BN1,'Datavant Data'!$B$1:$BF$3,2,0),"0")</f>
        <v>0</v>
      </c>
      <c r="BO2" s="29" t="str">
        <f>IFERROR(HLOOKUP(BO1,'Datavant Data'!$B$1:$BF$3,2,0),"0")</f>
        <v>0</v>
      </c>
      <c r="BP2" s="29">
        <f>IFERROR(HLOOKUP(BP1,'Datavant Data'!$B$1:$BF$3,2,0),"0")</f>
        <v>369</v>
      </c>
      <c r="BQ2" s="29" t="str">
        <f>IFERROR(HLOOKUP(BQ1,'Datavant Data'!$B$1:$BF$3,2,0),"0")</f>
        <v>0</v>
      </c>
      <c r="BR2" s="29" t="str">
        <f>IFERROR(HLOOKUP(BR1,'Datavant Data'!$B$1:$BF$3,2,0),"0")</f>
        <v>0</v>
      </c>
      <c r="BS2" s="29" t="str">
        <f>IFERROR(HLOOKUP(BS1,'Datavant Data'!$B$1:$BF$3,2,0),"0")</f>
        <v>0</v>
      </c>
      <c r="BT2" s="29" t="str">
        <f>IFERROR(HLOOKUP(BT1,'Datavant Data'!$B$1:$BF$3,2,0),"0")</f>
        <v>0</v>
      </c>
      <c r="BU2" s="29">
        <f>IFERROR(HLOOKUP(BU1,'Datavant Data'!$B$1:$BF$3,2,0),"0")</f>
        <v>74</v>
      </c>
      <c r="BV2" s="29" t="str">
        <f>IFERROR(HLOOKUP(BV1,'Datavant Data'!$B$1:$BF$3,2,0),"0")</f>
        <v>0</v>
      </c>
      <c r="BW2" s="29" t="str">
        <f>IFERROR(HLOOKUP(BW1,'Datavant Data'!$B$1:$BF$3,2,0),"0")</f>
        <v>0</v>
      </c>
      <c r="BX2" s="29" t="str">
        <f>IFERROR(HLOOKUP(BX1,'Datavant Data'!$B$1:$BF$3,2,0),"0")</f>
        <v>0</v>
      </c>
      <c r="BY2" s="29" t="str">
        <f>IFERROR(HLOOKUP(BY1,'Datavant Data'!$B$1:$BF$3,2,0),"0")</f>
        <v>0</v>
      </c>
      <c r="BZ2" s="29" t="str">
        <f>IFERROR(HLOOKUP(BZ1,'Datavant Data'!$B$1:$BF$3,2,0),"0")</f>
        <v>0</v>
      </c>
      <c r="CA2" s="29">
        <f>IFERROR(HLOOKUP(CA1,'Datavant Data'!$B$1:$BF$3,2,0),"0")</f>
        <v>242</v>
      </c>
      <c r="CB2" s="29" t="str">
        <f>IFERROR(HLOOKUP(CB1,'Datavant Data'!$B$1:$BF$3,2,0),"0")</f>
        <v>0</v>
      </c>
      <c r="CC2" s="29" t="str">
        <f>IFERROR(HLOOKUP(CC1,'Datavant Data'!$B$1:$BF$3,2,0),"0")</f>
        <v>0</v>
      </c>
      <c r="CD2" s="29">
        <f>IFERROR(HLOOKUP(CD1,'Datavant Data'!$B$1:$BF$3,2,0),"0")</f>
        <v>224</v>
      </c>
      <c r="CE2" s="29" t="str">
        <f>IFERROR(HLOOKUP(CE1,'Datavant Data'!$B$1:$BF$3,2,0),"0")</f>
        <v>0</v>
      </c>
      <c r="CF2" s="29" t="str">
        <f>IFERROR(HLOOKUP(CF1,'Datavant Data'!$B$1:$BF$3,2,0),"0")</f>
        <v>0</v>
      </c>
      <c r="CG2" s="29" t="str">
        <f>IFERROR(HLOOKUP(CG1,'Datavant Data'!$B$1:$BF$3,2,0),"0")</f>
        <v>0</v>
      </c>
      <c r="CH2" s="29">
        <f>IFERROR(HLOOKUP(CH1,'Datavant Data'!$B$1:$BF$3,2,0),"0")</f>
        <v>1039</v>
      </c>
      <c r="CI2" s="29">
        <f>IFERROR(HLOOKUP(CI1,'Datavant Data'!$B$1:$BF$3,2,0),"0")</f>
        <v>25</v>
      </c>
      <c r="CJ2" s="29" t="str">
        <f>IFERROR(HLOOKUP(CJ1,'Datavant Data'!$B$1:$BF$3,2,0),"0")</f>
        <v>0</v>
      </c>
      <c r="CK2" s="29" t="str">
        <f>IFERROR(HLOOKUP(CK1,'Datavant Data'!$B$1:$BF$3,2,0),"0")</f>
        <v>0</v>
      </c>
      <c r="CL2" s="29" t="str">
        <f>IFERROR(HLOOKUP(CL1,'Datavant Data'!$B$1:$BF$3,2,0),"0")</f>
        <v>0</v>
      </c>
      <c r="CM2" s="29" t="str">
        <f>IFERROR(HLOOKUP(CM1,'Datavant Data'!$B$1:$BF$3,2,0),"0")</f>
        <v>0</v>
      </c>
      <c r="CN2" s="29">
        <f>IFERROR(HLOOKUP(CN1,'Datavant Data'!$B$1:$BF$3,2,0),"0")</f>
        <v>27</v>
      </c>
      <c r="CO2" s="29">
        <f>IFERROR(HLOOKUP(CO1,'Datavant Data'!$B$1:$BF$3,2,0),"0")</f>
        <v>1254</v>
      </c>
      <c r="CP2" s="29">
        <f>IFERROR(HLOOKUP(CP1,'Datavant Data'!$B$1:$BF$3,2,0),"0")</f>
        <v>785</v>
      </c>
      <c r="CQ2" s="29">
        <f>IFERROR(HLOOKUP(CQ1,'Datavant Data'!$B$1:$BF$3,2,0),"0")</f>
        <v>141</v>
      </c>
      <c r="CR2" s="29" t="str">
        <f>IFERROR(HLOOKUP(CR1,'Datavant Data'!$B$1:$BF$3,2,0),"0")</f>
        <v>0</v>
      </c>
      <c r="CS2" s="29" t="str">
        <f>IFERROR(HLOOKUP(CS1,'Datavant Data'!$B$1:$BF$3,2,0),"0")</f>
        <v>0</v>
      </c>
      <c r="CT2" s="29">
        <f>IFERROR(HLOOKUP(CT1,'Datavant Data'!$B$1:$BF$3,2,0),"0")</f>
        <v>22</v>
      </c>
      <c r="CU2" s="29">
        <f>IFERROR(HLOOKUP(CU1,'Datavant Data'!$B$1:$BF$3,2,0),"0")</f>
        <v>658</v>
      </c>
      <c r="CV2" s="29" t="str">
        <f>IFERROR(HLOOKUP(CV1,'Datavant Data'!$B$1:$BF$3,2,0),"0")</f>
        <v>0</v>
      </c>
      <c r="CW2" s="29" t="str">
        <f>IFERROR(HLOOKUP(CW1,'Datavant Data'!$B$1:$BF$3,2,0),"0")</f>
        <v>0</v>
      </c>
      <c r="CX2" s="29" t="str">
        <f>IFERROR(HLOOKUP(CX1,'Datavant Data'!$B$1:$BF$3,2,0),"0")</f>
        <v>0</v>
      </c>
      <c r="CY2" s="29" t="str">
        <f>IFERROR(HLOOKUP(CY1,'Datavant Data'!$B$1:$BF$3,2,0),"0")</f>
        <v>0</v>
      </c>
      <c r="CZ2" s="29" t="str">
        <f>IFERROR(HLOOKUP(CZ1,'Datavant Data'!$B$1:$BF$3,2,0),"0")</f>
        <v>0</v>
      </c>
      <c r="DA2" s="29">
        <f>IFERROR(HLOOKUP(DA1,'Datavant Data'!$B$1:$BF$3,2,0),"0")</f>
        <v>557</v>
      </c>
      <c r="DB2" s="29" t="str">
        <f>IFERROR(HLOOKUP(DB1,'Datavant Data'!$B$1:$BF$3,2,0),"0")</f>
        <v>0</v>
      </c>
      <c r="DC2" s="29">
        <f>IFERROR(HLOOKUP(DC1,'Datavant Data'!$B$1:$BF$3,2,0),"0")</f>
        <v>269</v>
      </c>
      <c r="DD2" s="29">
        <f>IFERROR(HLOOKUP(DD1,'Datavant Data'!$B$1:$BF$3,2,0),"0")</f>
        <v>7</v>
      </c>
      <c r="DE2" s="29">
        <f>IFERROR(HLOOKUP(DE1,'Datavant Data'!$B$1:$BF$3,2,0),"0")</f>
        <v>0</v>
      </c>
      <c r="DF2" s="29" t="str">
        <f>IFERROR(HLOOKUP(DF1,'Datavant Data'!$B$1:$BF$3,2,0),"0")</f>
        <v>0</v>
      </c>
      <c r="DG2" s="29" t="str">
        <f>IFERROR(HLOOKUP(DG1,'Datavant Data'!$B$1:$BF$3,2,0),"0")</f>
        <v>0</v>
      </c>
      <c r="DH2" s="29" t="str">
        <f>IFERROR(HLOOKUP(DH1,'Datavant Data'!$B$1:$BF$3,2,0),"0")</f>
        <v>0</v>
      </c>
      <c r="DI2" s="29" t="str">
        <f>IFERROR(HLOOKUP(DI1,'Datavant Data'!$B$1:$BF$3,2,0),"0")</f>
        <v>0</v>
      </c>
      <c r="DJ2" s="29" t="str">
        <f>IFERROR(HLOOKUP(DJ1,'Datavant Data'!$B$1:$BF$3,2,0),"0")</f>
        <v>0</v>
      </c>
      <c r="DK2" s="29" t="str">
        <f>IFERROR(HLOOKUP(DK1,'Datavant Data'!$B$1:$BF$3,2,0),"0")</f>
        <v>0</v>
      </c>
      <c r="DL2" s="29">
        <f>IFERROR(HLOOKUP(DL1,'Datavant Data'!$B$1:$BF$3,2,0),"0")</f>
        <v>56</v>
      </c>
      <c r="DM2" s="29">
        <f>IFERROR(HLOOKUP(DM1,'Datavant Data'!$B$1:$BF$3,2,0),"0")</f>
        <v>76</v>
      </c>
      <c r="DN2" s="29" t="str">
        <f>IFERROR(HLOOKUP(DN1,'Datavant Data'!$B$1:$BF$3,2,0),"0")</f>
        <v>0</v>
      </c>
      <c r="DO2" s="29">
        <f>IFERROR(HLOOKUP(DO1,'Datavant Data'!$B$1:$BF$3,2,0),"0")</f>
        <v>30</v>
      </c>
      <c r="DP2" s="29" t="str">
        <f>IFERROR(HLOOKUP(DP1,'Datavant Data'!$B$1:$BF$3,2,0),"0")</f>
        <v>0</v>
      </c>
      <c r="DQ2" s="29" t="str">
        <f>IFERROR(HLOOKUP(DQ1,'Datavant Data'!$B$1:$BF$3,2,0),"0")</f>
        <v>0</v>
      </c>
      <c r="DR2" s="29" t="str">
        <f>IFERROR(HLOOKUP(DR1,'Datavant Data'!$B$1:$BF$3,2,0),"0")</f>
        <v>0</v>
      </c>
      <c r="DS2" s="29" t="str">
        <f>IFERROR(HLOOKUP(DS1,'Datavant Data'!$B$1:$BF$3,2,0),"0")</f>
        <v>0</v>
      </c>
      <c r="DT2" s="29" t="str">
        <f>IFERROR(HLOOKUP(DT1,'Datavant Data'!$B$1:$BF$3,2,0),"0")</f>
        <v>0</v>
      </c>
      <c r="DU2" s="29" t="str">
        <f>IFERROR(HLOOKUP(DU1,'Datavant Data'!$B$1:$BF$3,2,0),"0")</f>
        <v>0</v>
      </c>
      <c r="DV2" s="29" t="str">
        <f>IFERROR(HLOOKUP(DV1,'Datavant Data'!$B$1:$BF$3,2,0),"0")</f>
        <v>0</v>
      </c>
      <c r="DW2" s="29" t="str">
        <f>IFERROR(HLOOKUP(DW1,'Datavant Data'!$B$1:$BF$3,2,0),"0")</f>
        <v>0</v>
      </c>
      <c r="DX2" s="29">
        <f>IFERROR(HLOOKUP(DX1,'Datavant Data'!$B$1:$BF$3,2,0),"0")</f>
        <v>159</v>
      </c>
      <c r="DY2" s="29" t="str">
        <f>IFERROR(HLOOKUP(DY1,'Datavant Data'!$B$1:$BF$3,2,0),"0")</f>
        <v>0</v>
      </c>
      <c r="DZ2" s="29" t="str">
        <f>IFERROR(HLOOKUP(DZ1,'Datavant Data'!$B$1:$BF$3,2,0),"0")</f>
        <v>0</v>
      </c>
      <c r="EA2" s="29" t="str">
        <f>IFERROR(HLOOKUP(EA1,'Datavant Data'!$B$1:$BF$3,2,0),"0")</f>
        <v>0</v>
      </c>
      <c r="EB2" s="29" t="str">
        <f>IFERROR(HLOOKUP(EB1,'Datavant Data'!$B$1:$BF$3,2,0),"0")</f>
        <v>0</v>
      </c>
      <c r="EC2" s="29">
        <f>IFERROR(HLOOKUP(EC1,'Datavant Data'!$B$1:$BF$3,2,0),"0")</f>
        <v>195</v>
      </c>
      <c r="ED2" s="29">
        <f>IFERROR(HLOOKUP(ED1,'Datavant Data'!$B$1:$BF$3,2,0),"0")</f>
        <v>120</v>
      </c>
      <c r="EE2" s="29" t="str">
        <f>IFERROR(HLOOKUP(EE1,'Datavant Data'!$B$1:$BF$3,2,0),"0")</f>
        <v>0</v>
      </c>
      <c r="EF2" s="29" t="str">
        <f>IFERROR(HLOOKUP(EF1,'Datavant Data'!$B$1:$BF$3,2,0),"0")</f>
        <v>0</v>
      </c>
      <c r="EG2" s="29">
        <f>IFERROR(HLOOKUP(EG1,'Datavant Data'!$B$1:$BF$3,2,0),"0")</f>
        <v>272</v>
      </c>
      <c r="EH2" s="29" t="str">
        <f>IFERROR(HLOOKUP(EH1,'Datavant Data'!$B$1:$BF$3,2,0),"0")</f>
        <v>0</v>
      </c>
      <c r="EI2" s="29" t="str">
        <f>IFERROR(HLOOKUP(EI1,'Datavant Data'!$B$1:$BF$3,2,0),"0")</f>
        <v>0</v>
      </c>
      <c r="EJ2" s="29">
        <f>IFERROR(HLOOKUP(EJ1,'Datavant Data'!$B$1:$BF$3,2,0),"0")</f>
        <v>402</v>
      </c>
      <c r="EK2" s="29" t="str">
        <f>IFERROR(HLOOKUP(EK1,'Datavant Data'!$B$1:$BF$3,2,0),"0")</f>
        <v>0</v>
      </c>
      <c r="EL2" s="29" t="str">
        <f>IFERROR(HLOOKUP(EL1,'Datavant Data'!$B$1:$BF$3,2,0),"0")</f>
        <v>0</v>
      </c>
      <c r="EM2" s="29" t="str">
        <f>IFERROR(HLOOKUP(EM1,'Datavant Data'!$B$1:$BF$3,2,0),"0")</f>
        <v>0</v>
      </c>
      <c r="EN2" s="29" t="str">
        <f>IFERROR(HLOOKUP(EN1,'Datavant Data'!$B$1:$BF$3,2,0),"0")</f>
        <v>0</v>
      </c>
      <c r="EO2" s="29" t="str">
        <f>IFERROR(HLOOKUP(EO1,'Datavant Data'!$B$1:$BF$3,2,0),"0")</f>
        <v>0</v>
      </c>
      <c r="EP2" s="29" t="str">
        <f>IFERROR(HLOOKUP(EP1,'Datavant Data'!$B$1:$BF$3,2,0),"0")</f>
        <v>0</v>
      </c>
      <c r="EQ2" s="29" t="str">
        <f>IFERROR(HLOOKUP(EQ1,'Datavant Data'!$B$1:$BF$3,2,0),"0")</f>
        <v>0</v>
      </c>
      <c r="ER2" s="29" t="str">
        <f>IFERROR(HLOOKUP(ER1,'Datavant Data'!$B$1:$BF$3,2,0),"0")</f>
        <v>0</v>
      </c>
      <c r="ES2" s="29">
        <f>IFERROR(HLOOKUP(ES1,'Datavant Data'!$B$1:$BF$3,2,0),"0")</f>
        <v>495</v>
      </c>
      <c r="ET2" s="29" t="str">
        <f>IFERROR(HLOOKUP(ET1,'Datavant Data'!$B$1:$BF$3,2,0),"0")</f>
        <v>0</v>
      </c>
      <c r="EU2" s="29" t="str">
        <f>IFERROR(HLOOKUP(EU1,'Datavant Data'!$B$1:$BF$3,2,0),"0")</f>
        <v>0</v>
      </c>
      <c r="EV2" s="29" t="str">
        <f>IFERROR(HLOOKUP(EV1,'Datavant Data'!$B$1:$BF$3,2,0),"0")</f>
        <v>0</v>
      </c>
      <c r="EW2" s="29" t="str">
        <f>IFERROR(HLOOKUP(EW1,'Datavant Data'!$B$1:$BF$3,2,0),"0")</f>
        <v>0</v>
      </c>
      <c r="EX2" s="29">
        <f>IFERROR(HLOOKUP(EX1,'Datavant Data'!$B$1:$BF$3,2,0),"0")</f>
        <v>308</v>
      </c>
      <c r="EY2" s="29" t="str">
        <f>IFERROR(HLOOKUP(EY1,'Datavant Data'!$B$1:$BF$3,2,0),"0")</f>
        <v>0</v>
      </c>
      <c r="EZ2" s="29">
        <f>IFERROR(HLOOKUP(EZ1,'Datavant Data'!$B$1:$BF$3,2,0),"0")</f>
        <v>431</v>
      </c>
      <c r="FA2" s="29">
        <f>IFERROR(HLOOKUP(FA1,'Datavant Data'!$B$1:$BF$3,2,0),"0")</f>
        <v>881</v>
      </c>
      <c r="FB2" s="29" t="str">
        <f>IFERROR(HLOOKUP(FB1,'Datavant Data'!$B$1:$BF$3,2,0),"0")</f>
        <v>0</v>
      </c>
      <c r="FC2" s="29">
        <f>IFERROR(HLOOKUP(FC1,'Datavant Data'!$B$1:$BF$3,2,0),"0")</f>
        <v>65</v>
      </c>
      <c r="FD2" s="29">
        <f>IFERROR(HLOOKUP(FD1,'Datavant Data'!$B$1:$BF$3,2,0),"0")</f>
        <v>1</v>
      </c>
      <c r="FE2" s="29">
        <f>IFERROR(HLOOKUP(FE1,'Datavant Data'!$B$1:$BF$3,2,0),"0")</f>
        <v>553</v>
      </c>
      <c r="FF2" s="29" t="str">
        <f>IFERROR(HLOOKUP(FF1,'Datavant Data'!$B$1:$BF$3,2,0),"0")</f>
        <v>0</v>
      </c>
      <c r="FG2" s="29" t="str">
        <f>IFERROR(HLOOKUP(FG1,'Datavant Data'!$B$1:$BF$3,2,0),"0")</f>
        <v>0</v>
      </c>
      <c r="FH2" s="29" t="str">
        <f>IFERROR(HLOOKUP(FH1,'Datavant Data'!$B$1:$BF$3,2,0),"0")</f>
        <v>0</v>
      </c>
      <c r="FI2" s="29" t="str">
        <f>IFERROR(HLOOKUP(FI1,'Datavant Data'!$B$1:$BF$3,2,0),"0")</f>
        <v>0</v>
      </c>
      <c r="FJ2" s="29" t="str">
        <f>IFERROR(HLOOKUP(FJ1,'Datavant Data'!$B$1:$BF$3,2,0),"0")</f>
        <v>0</v>
      </c>
      <c r="FK2" s="29" t="str">
        <f>IFERROR(HLOOKUP(FK1,'Datavant Data'!$B$1:$BF$3,2,0),"0")</f>
        <v>0</v>
      </c>
      <c r="FL2" s="29">
        <f>IFERROR(HLOOKUP(FL1,'Datavant Data'!$B$1:$BF$3,2,0),"0")</f>
        <v>233</v>
      </c>
      <c r="FM2" s="29">
        <f>IFERROR(HLOOKUP(FM1,'Datavant Data'!$B$1:$BF$3,2,0),"0")</f>
        <v>1252</v>
      </c>
      <c r="FN2" s="29">
        <f>IFERROR(HLOOKUP(FN1,'Datavant Data'!$B$1:$BF$3,2,0),"0")</f>
        <v>70</v>
      </c>
      <c r="FO2" s="29" t="str">
        <f>IFERROR(HLOOKUP(FO1,'Datavant Data'!$B$1:$BF$3,2,0),"0")</f>
        <v>0</v>
      </c>
      <c r="FP2" s="29" t="str">
        <f>IFERROR(HLOOKUP(FP1,'Datavant Data'!$B$1:$BF$3,2,0),"0")</f>
        <v>0</v>
      </c>
      <c r="FQ2" s="29" t="str">
        <f>IFERROR(HLOOKUP(FQ1,'Datavant Data'!$B$1:$BF$3,2,0),"0")</f>
        <v>0</v>
      </c>
      <c r="FR2" s="29" t="str">
        <f>IFERROR(HLOOKUP(FR1,'Datavant Data'!$B$1:$BF$3,2,0),"0")</f>
        <v>0</v>
      </c>
      <c r="FS2" s="29" t="str">
        <f>IFERROR(HLOOKUP(FS1,'Datavant Data'!$B$1:$BF$3,2,0),"0")</f>
        <v>0</v>
      </c>
      <c r="FT2" s="29" t="str">
        <f>IFERROR(HLOOKUP(FT1,'Datavant Data'!$B$1:$BF$3,2,0),"0")</f>
        <v>0</v>
      </c>
      <c r="FU2" s="29">
        <f>IFERROR(HLOOKUP(FU1,'Datavant Data'!$B$1:$BF$3,2,0),"0")</f>
        <v>91</v>
      </c>
      <c r="FV2" s="29" t="str">
        <f>IFERROR(HLOOKUP(FV1,'Datavant Data'!$B$1:$BF$3,2,0),"0")</f>
        <v>0</v>
      </c>
      <c r="FW2" s="29" t="str">
        <f>IFERROR(HLOOKUP(FW1,'Datavant Data'!$B$1:$BF$3,2,0),"0")</f>
        <v>0</v>
      </c>
      <c r="FX2" s="29">
        <f>IFERROR(HLOOKUP(FX1,'Datavant Data'!$B$1:$BF$3,2,0),"0")</f>
        <v>29</v>
      </c>
      <c r="FY2" s="29" t="str">
        <f>IFERROR(HLOOKUP(FY1,'Datavant Data'!$B$1:$BF$3,2,0),"0")</f>
        <v>0</v>
      </c>
      <c r="FZ2" s="29">
        <f>IFERROR(HLOOKUP(FZ1,'Datavant Data'!$B$1:$BF$3,2,0),"0")</f>
        <v>556</v>
      </c>
      <c r="GA2" s="29">
        <f>IFERROR(HLOOKUP(GA1,'Datavant Data'!$B$1:$BF$3,2,0),"0")</f>
        <v>96</v>
      </c>
      <c r="GB2" s="29" t="str">
        <f>IFERROR(HLOOKUP(GB1,'Datavant Data'!$B$1:$BF$3,2,0),"0")</f>
        <v>0</v>
      </c>
      <c r="GC2" s="29" t="str">
        <f>IFERROR(HLOOKUP(GC1,'Datavant Data'!$B$1:$BF$3,2,0),"0")</f>
        <v>0</v>
      </c>
      <c r="GD2" s="29" t="str">
        <f>IFERROR(HLOOKUP(GD1,'Datavant Data'!$B$1:$BF$3,2,0),"0")</f>
        <v>0</v>
      </c>
      <c r="GE2" s="29">
        <f>IFERROR(HLOOKUP(GE1,'Datavant Data'!$B$1:$BF$3,2,0),"0")</f>
        <v>729</v>
      </c>
      <c r="GF2" s="29" t="str">
        <f>IFERROR(HLOOKUP(GF1,'Datavant Data'!$B$1:$BF$3,2,0),"0")</f>
        <v>0</v>
      </c>
      <c r="GG2" s="29" t="str">
        <f>IFERROR(HLOOKUP(GG1,'Datavant Data'!$B$1:$BF$3,2,0),"0")</f>
        <v>0</v>
      </c>
      <c r="GH2" s="29">
        <f>IFERROR(HLOOKUP(GH1,'Datavant Data'!$B$1:$BF$3,2,0),"0")</f>
        <v>799</v>
      </c>
      <c r="GI2" s="29" t="str">
        <f>IFERROR(HLOOKUP(GI1,'Datavant Data'!$B$1:$BF$3,2,0),"0")</f>
        <v>0</v>
      </c>
      <c r="GJ2" s="29" t="str">
        <f>IFERROR(HLOOKUP(GJ1,'Datavant Data'!$B$1:$BF$3,2,0),"0")</f>
        <v>0</v>
      </c>
      <c r="GK2" s="29" t="str">
        <f>IFERROR(HLOOKUP(GK1,'Datavant Data'!$B$1:$BF$3,2,0),"0")</f>
        <v>0</v>
      </c>
      <c r="GL2" s="29" t="str">
        <f>IFERROR(HLOOKUP(GL1,'Datavant Data'!$B$1:$BF$3,2,0),"0")</f>
        <v>0</v>
      </c>
      <c r="GM2" s="29" t="str">
        <f>IFERROR(HLOOKUP(GM1,'Datavant Data'!$B$1:$BF$3,2,0),"0")</f>
        <v>0</v>
      </c>
      <c r="GN2" s="29" t="str">
        <f>IFERROR(HLOOKUP(GN1,'Datavant Data'!$B$1:$BF$3,2,0),"0")</f>
        <v>0</v>
      </c>
      <c r="GO2" s="29" t="str">
        <f>IFERROR(HLOOKUP(GO1,'Datavant Data'!$B$1:$BF$3,2,0),"0")</f>
        <v>0</v>
      </c>
      <c r="GP2" s="29" t="str">
        <f>IFERROR(HLOOKUP(GP1,'Datavant Data'!$B$1:$BF$3,2,0),"0")</f>
        <v>0</v>
      </c>
      <c r="GQ2" s="29" t="str">
        <f>IFERROR(HLOOKUP(GQ1,'Datavant Data'!$B$1:$BF$3,2,0),"0")</f>
        <v>0</v>
      </c>
      <c r="GR2" s="29" t="str">
        <f>IFERROR(HLOOKUP(GR1,'Datavant Data'!$B$1:$BF$3,2,0),"0")</f>
        <v>0</v>
      </c>
      <c r="GS2" s="29" t="str">
        <f>IFERROR(HLOOKUP(GS1,'Datavant Data'!$B$1:$BF$3,2,0),"0")</f>
        <v>0</v>
      </c>
      <c r="GT2" s="29" t="str">
        <f>IFERROR(HLOOKUP(GT1,'Datavant Data'!$B$1:$BF$3,2,0),"0")</f>
        <v>0</v>
      </c>
      <c r="GU2" s="29" t="str">
        <f>IFERROR(HLOOKUP(GU1,'Datavant Data'!$B$1:$BF$3,2,0),"0")</f>
        <v>0</v>
      </c>
    </row>
    <row r="3" spans="1:203" ht="14.45">
      <c r="A3" s="155" t="s">
        <v>231</v>
      </c>
      <c r="B3" s="157">
        <f>SUM(C3:GU3)</f>
        <v>17419.5</v>
      </c>
      <c r="C3" s="159">
        <f>C2*0.75</f>
        <v>0</v>
      </c>
      <c r="D3" s="159">
        <f t="shared" ref="D3:BO3" si="0">D2*0.75</f>
        <v>1137</v>
      </c>
      <c r="E3" s="159">
        <f t="shared" si="0"/>
        <v>0</v>
      </c>
      <c r="F3" s="159">
        <f t="shared" si="0"/>
        <v>0</v>
      </c>
      <c r="G3" s="159">
        <f t="shared" si="0"/>
        <v>0</v>
      </c>
      <c r="H3" s="159">
        <f t="shared" si="0"/>
        <v>0</v>
      </c>
      <c r="I3" s="159">
        <f t="shared" si="0"/>
        <v>277.5</v>
      </c>
      <c r="J3" s="159">
        <f t="shared" si="0"/>
        <v>0</v>
      </c>
      <c r="K3" s="159">
        <f t="shared" si="0"/>
        <v>0</v>
      </c>
      <c r="L3" s="159">
        <f t="shared" si="0"/>
        <v>60</v>
      </c>
      <c r="M3" s="159">
        <f t="shared" si="0"/>
        <v>0</v>
      </c>
      <c r="N3" s="159">
        <f t="shared" si="0"/>
        <v>0</v>
      </c>
      <c r="O3" s="159">
        <f t="shared" si="0"/>
        <v>0</v>
      </c>
      <c r="P3" s="159">
        <f t="shared" si="0"/>
        <v>0</v>
      </c>
      <c r="Q3" s="159">
        <f t="shared" si="0"/>
        <v>0</v>
      </c>
      <c r="R3" s="159">
        <f t="shared" si="0"/>
        <v>0</v>
      </c>
      <c r="S3" s="159">
        <f t="shared" si="0"/>
        <v>0</v>
      </c>
      <c r="T3" s="159">
        <f t="shared" si="0"/>
        <v>0</v>
      </c>
      <c r="U3" s="159">
        <f t="shared" si="0"/>
        <v>0</v>
      </c>
      <c r="V3" s="159">
        <f t="shared" si="0"/>
        <v>6</v>
      </c>
      <c r="W3" s="159">
        <f t="shared" si="0"/>
        <v>0</v>
      </c>
      <c r="X3" s="159">
        <f t="shared" si="0"/>
        <v>0</v>
      </c>
      <c r="Y3" s="159">
        <f t="shared" si="0"/>
        <v>0</v>
      </c>
      <c r="Z3" s="159">
        <f t="shared" si="0"/>
        <v>0</v>
      </c>
      <c r="AA3" s="159">
        <f t="shared" si="0"/>
        <v>0</v>
      </c>
      <c r="AB3" s="159">
        <f t="shared" si="0"/>
        <v>0</v>
      </c>
      <c r="AC3" s="159">
        <f t="shared" si="0"/>
        <v>0</v>
      </c>
      <c r="AD3" s="159">
        <f t="shared" si="0"/>
        <v>192</v>
      </c>
      <c r="AE3" s="159">
        <f t="shared" si="0"/>
        <v>0</v>
      </c>
      <c r="AF3" s="159">
        <f t="shared" si="0"/>
        <v>0</v>
      </c>
      <c r="AG3" s="159">
        <f t="shared" si="0"/>
        <v>0</v>
      </c>
      <c r="AH3" s="159">
        <f t="shared" si="0"/>
        <v>291</v>
      </c>
      <c r="AI3" s="159">
        <f t="shared" si="0"/>
        <v>1087.5</v>
      </c>
      <c r="AJ3" s="159">
        <f t="shared" si="0"/>
        <v>240.75</v>
      </c>
      <c r="AK3" s="159">
        <f t="shared" si="0"/>
        <v>129</v>
      </c>
      <c r="AL3" s="159">
        <f t="shared" si="0"/>
        <v>828.75</v>
      </c>
      <c r="AM3" s="159">
        <f t="shared" si="0"/>
        <v>0</v>
      </c>
      <c r="AN3" s="159">
        <f t="shared" si="0"/>
        <v>0</v>
      </c>
      <c r="AO3" s="159">
        <f t="shared" si="0"/>
        <v>0</v>
      </c>
      <c r="AP3" s="159">
        <f t="shared" si="0"/>
        <v>0</v>
      </c>
      <c r="AQ3" s="159">
        <f t="shared" si="0"/>
        <v>579.75</v>
      </c>
      <c r="AR3" s="159">
        <f t="shared" si="0"/>
        <v>261.75</v>
      </c>
      <c r="AS3" s="159">
        <f t="shared" si="0"/>
        <v>306</v>
      </c>
      <c r="AT3" s="159">
        <f t="shared" si="0"/>
        <v>0</v>
      </c>
      <c r="AU3" s="159">
        <f t="shared" si="0"/>
        <v>0</v>
      </c>
      <c r="AV3" s="159">
        <f t="shared" si="0"/>
        <v>0</v>
      </c>
      <c r="AW3" s="159">
        <f t="shared" si="0"/>
        <v>0</v>
      </c>
      <c r="AX3" s="159">
        <f t="shared" si="0"/>
        <v>0</v>
      </c>
      <c r="AY3" s="159">
        <f t="shared" si="0"/>
        <v>0</v>
      </c>
      <c r="AZ3" s="159">
        <f t="shared" si="0"/>
        <v>0</v>
      </c>
      <c r="BA3" s="159">
        <f t="shared" si="0"/>
        <v>0</v>
      </c>
      <c r="BB3" s="159">
        <f t="shared" si="0"/>
        <v>1197.75</v>
      </c>
      <c r="BC3" s="159">
        <f t="shared" si="0"/>
        <v>0</v>
      </c>
      <c r="BD3" s="159">
        <f t="shared" si="0"/>
        <v>0</v>
      </c>
      <c r="BE3" s="159">
        <f t="shared" si="0"/>
        <v>125.25</v>
      </c>
      <c r="BF3" s="159">
        <f t="shared" si="0"/>
        <v>0</v>
      </c>
      <c r="BG3" s="159">
        <f t="shared" si="0"/>
        <v>0</v>
      </c>
      <c r="BH3" s="159">
        <f t="shared" si="0"/>
        <v>0</v>
      </c>
      <c r="BI3" s="159">
        <f t="shared" si="0"/>
        <v>0</v>
      </c>
      <c r="BJ3" s="159">
        <f t="shared" si="0"/>
        <v>0</v>
      </c>
      <c r="BK3" s="159">
        <f t="shared" si="0"/>
        <v>0</v>
      </c>
      <c r="BL3" s="159">
        <f t="shared" si="0"/>
        <v>0</v>
      </c>
      <c r="BM3" s="159">
        <f t="shared" si="0"/>
        <v>505.5</v>
      </c>
      <c r="BN3" s="159">
        <f t="shared" si="0"/>
        <v>0</v>
      </c>
      <c r="BO3" s="159">
        <f t="shared" si="0"/>
        <v>0</v>
      </c>
      <c r="BP3" s="159">
        <f t="shared" ref="BP3:EA3" si="1">BP2*0.75</f>
        <v>276.75</v>
      </c>
      <c r="BQ3" s="159">
        <f t="shared" si="1"/>
        <v>0</v>
      </c>
      <c r="BR3" s="159">
        <f t="shared" si="1"/>
        <v>0</v>
      </c>
      <c r="BS3" s="159">
        <f t="shared" si="1"/>
        <v>0</v>
      </c>
      <c r="BT3" s="159">
        <f t="shared" si="1"/>
        <v>0</v>
      </c>
      <c r="BU3" s="159">
        <f t="shared" si="1"/>
        <v>55.5</v>
      </c>
      <c r="BV3" s="159">
        <f t="shared" si="1"/>
        <v>0</v>
      </c>
      <c r="BW3" s="159">
        <f t="shared" si="1"/>
        <v>0</v>
      </c>
      <c r="BX3" s="159">
        <f t="shared" si="1"/>
        <v>0</v>
      </c>
      <c r="BY3" s="159">
        <f t="shared" si="1"/>
        <v>0</v>
      </c>
      <c r="BZ3" s="159">
        <f t="shared" si="1"/>
        <v>0</v>
      </c>
      <c r="CA3" s="159">
        <f t="shared" si="1"/>
        <v>181.5</v>
      </c>
      <c r="CB3" s="159">
        <f t="shared" si="1"/>
        <v>0</v>
      </c>
      <c r="CC3" s="159">
        <f t="shared" si="1"/>
        <v>0</v>
      </c>
      <c r="CD3" s="159">
        <f t="shared" si="1"/>
        <v>168</v>
      </c>
      <c r="CE3" s="159">
        <f t="shared" si="1"/>
        <v>0</v>
      </c>
      <c r="CF3" s="159">
        <f t="shared" si="1"/>
        <v>0</v>
      </c>
      <c r="CG3" s="159">
        <f t="shared" si="1"/>
        <v>0</v>
      </c>
      <c r="CH3" s="159">
        <f t="shared" si="1"/>
        <v>779.25</v>
      </c>
      <c r="CI3" s="159">
        <f t="shared" si="1"/>
        <v>18.75</v>
      </c>
      <c r="CJ3" s="159">
        <f t="shared" si="1"/>
        <v>0</v>
      </c>
      <c r="CK3" s="159">
        <f t="shared" si="1"/>
        <v>0</v>
      </c>
      <c r="CL3" s="159">
        <f t="shared" si="1"/>
        <v>0</v>
      </c>
      <c r="CM3" s="159">
        <f t="shared" si="1"/>
        <v>0</v>
      </c>
      <c r="CN3" s="159">
        <f t="shared" si="1"/>
        <v>20.25</v>
      </c>
      <c r="CO3" s="159">
        <f t="shared" si="1"/>
        <v>940.5</v>
      </c>
      <c r="CP3" s="159">
        <f t="shared" si="1"/>
        <v>588.75</v>
      </c>
      <c r="CQ3" s="159">
        <f t="shared" si="1"/>
        <v>105.75</v>
      </c>
      <c r="CR3" s="159">
        <f t="shared" si="1"/>
        <v>0</v>
      </c>
      <c r="CS3" s="159">
        <f t="shared" si="1"/>
        <v>0</v>
      </c>
      <c r="CT3" s="159">
        <f t="shared" si="1"/>
        <v>16.5</v>
      </c>
      <c r="CU3" s="159">
        <f t="shared" si="1"/>
        <v>493.5</v>
      </c>
      <c r="CV3" s="159">
        <f t="shared" si="1"/>
        <v>0</v>
      </c>
      <c r="CW3" s="159">
        <f t="shared" si="1"/>
        <v>0</v>
      </c>
      <c r="CX3" s="159">
        <f t="shared" si="1"/>
        <v>0</v>
      </c>
      <c r="CY3" s="159">
        <f t="shared" si="1"/>
        <v>0</v>
      </c>
      <c r="CZ3" s="159">
        <f t="shared" si="1"/>
        <v>0</v>
      </c>
      <c r="DA3" s="159">
        <f t="shared" si="1"/>
        <v>417.75</v>
      </c>
      <c r="DB3" s="159">
        <f t="shared" si="1"/>
        <v>0</v>
      </c>
      <c r="DC3" s="159">
        <f t="shared" si="1"/>
        <v>201.75</v>
      </c>
      <c r="DD3" s="159">
        <f t="shared" si="1"/>
        <v>5.25</v>
      </c>
      <c r="DE3" s="159">
        <f t="shared" si="1"/>
        <v>0</v>
      </c>
      <c r="DF3" s="159">
        <f t="shared" si="1"/>
        <v>0</v>
      </c>
      <c r="DG3" s="159">
        <f t="shared" si="1"/>
        <v>0</v>
      </c>
      <c r="DH3" s="159">
        <f t="shared" si="1"/>
        <v>0</v>
      </c>
      <c r="DI3" s="159">
        <f t="shared" si="1"/>
        <v>0</v>
      </c>
      <c r="DJ3" s="159">
        <f t="shared" si="1"/>
        <v>0</v>
      </c>
      <c r="DK3" s="159">
        <f t="shared" si="1"/>
        <v>0</v>
      </c>
      <c r="DL3" s="159">
        <f t="shared" si="1"/>
        <v>42</v>
      </c>
      <c r="DM3" s="159">
        <f t="shared" si="1"/>
        <v>57</v>
      </c>
      <c r="DN3" s="159">
        <f t="shared" si="1"/>
        <v>0</v>
      </c>
      <c r="DO3" s="159">
        <f t="shared" si="1"/>
        <v>22.5</v>
      </c>
      <c r="DP3" s="159">
        <f t="shared" si="1"/>
        <v>0</v>
      </c>
      <c r="DQ3" s="159">
        <f t="shared" si="1"/>
        <v>0</v>
      </c>
      <c r="DR3" s="159">
        <f t="shared" si="1"/>
        <v>0</v>
      </c>
      <c r="DS3" s="159">
        <f t="shared" si="1"/>
        <v>0</v>
      </c>
      <c r="DT3" s="159">
        <f t="shared" si="1"/>
        <v>0</v>
      </c>
      <c r="DU3" s="159">
        <f t="shared" si="1"/>
        <v>0</v>
      </c>
      <c r="DV3" s="159">
        <f t="shared" si="1"/>
        <v>0</v>
      </c>
      <c r="DW3" s="159">
        <f t="shared" si="1"/>
        <v>0</v>
      </c>
      <c r="DX3" s="159">
        <f t="shared" si="1"/>
        <v>119.25</v>
      </c>
      <c r="DY3" s="159">
        <f t="shared" si="1"/>
        <v>0</v>
      </c>
      <c r="DZ3" s="159">
        <f t="shared" si="1"/>
        <v>0</v>
      </c>
      <c r="EA3" s="159">
        <f t="shared" si="1"/>
        <v>0</v>
      </c>
      <c r="EB3" s="159">
        <f t="shared" ref="EB3:FP3" si="2">EB2*0.75</f>
        <v>0</v>
      </c>
      <c r="EC3" s="159">
        <f t="shared" si="2"/>
        <v>146.25</v>
      </c>
      <c r="ED3" s="159">
        <f t="shared" si="2"/>
        <v>90</v>
      </c>
      <c r="EE3" s="159">
        <f t="shared" si="2"/>
        <v>0</v>
      </c>
      <c r="EF3" s="159">
        <f t="shared" si="2"/>
        <v>0</v>
      </c>
      <c r="EG3" s="159">
        <f t="shared" si="2"/>
        <v>204</v>
      </c>
      <c r="EH3" s="159">
        <f t="shared" si="2"/>
        <v>0</v>
      </c>
      <c r="EI3" s="159">
        <f t="shared" si="2"/>
        <v>0</v>
      </c>
      <c r="EJ3" s="159">
        <f t="shared" si="2"/>
        <v>301.5</v>
      </c>
      <c r="EK3" s="159">
        <f t="shared" si="2"/>
        <v>0</v>
      </c>
      <c r="EL3" s="159">
        <f t="shared" si="2"/>
        <v>0</v>
      </c>
      <c r="EM3" s="159">
        <f t="shared" si="2"/>
        <v>0</v>
      </c>
      <c r="EN3" s="159">
        <f t="shared" si="2"/>
        <v>0</v>
      </c>
      <c r="EO3" s="159">
        <f t="shared" si="2"/>
        <v>0</v>
      </c>
      <c r="EP3" s="159">
        <f t="shared" si="2"/>
        <v>0</v>
      </c>
      <c r="EQ3" s="159">
        <f t="shared" si="2"/>
        <v>0</v>
      </c>
      <c r="ER3" s="159">
        <f t="shared" si="2"/>
        <v>0</v>
      </c>
      <c r="ES3" s="159">
        <f t="shared" si="2"/>
        <v>371.25</v>
      </c>
      <c r="ET3" s="159">
        <f t="shared" si="2"/>
        <v>0</v>
      </c>
      <c r="EU3" s="159">
        <f t="shared" si="2"/>
        <v>0</v>
      </c>
      <c r="EV3" s="159">
        <f t="shared" si="2"/>
        <v>0</v>
      </c>
      <c r="EW3" s="159">
        <f t="shared" si="2"/>
        <v>0</v>
      </c>
      <c r="EX3" s="159">
        <f t="shared" si="2"/>
        <v>231</v>
      </c>
      <c r="EY3" s="159">
        <f t="shared" si="2"/>
        <v>0</v>
      </c>
      <c r="EZ3" s="159">
        <f t="shared" si="2"/>
        <v>323.25</v>
      </c>
      <c r="FA3" s="159">
        <f t="shared" si="2"/>
        <v>660.75</v>
      </c>
      <c r="FB3" s="159">
        <f t="shared" si="2"/>
        <v>0</v>
      </c>
      <c r="FC3" s="159">
        <f t="shared" si="2"/>
        <v>48.75</v>
      </c>
      <c r="FD3" s="159">
        <f t="shared" si="2"/>
        <v>0.75</v>
      </c>
      <c r="FE3" s="159">
        <f t="shared" si="2"/>
        <v>414.75</v>
      </c>
      <c r="FF3" s="159">
        <f t="shared" si="2"/>
        <v>0</v>
      </c>
      <c r="FG3" s="159">
        <f t="shared" si="2"/>
        <v>0</v>
      </c>
      <c r="FH3" s="159">
        <f t="shared" si="2"/>
        <v>0</v>
      </c>
      <c r="FI3" s="159">
        <f t="shared" si="2"/>
        <v>0</v>
      </c>
      <c r="FJ3" s="159">
        <f t="shared" si="2"/>
        <v>0</v>
      </c>
      <c r="FK3" s="159">
        <f t="shared" si="2"/>
        <v>0</v>
      </c>
      <c r="FL3" s="159">
        <f t="shared" si="2"/>
        <v>174.75</v>
      </c>
      <c r="FM3" s="159">
        <f t="shared" si="2"/>
        <v>939</v>
      </c>
      <c r="FN3" s="159">
        <f t="shared" si="2"/>
        <v>52.5</v>
      </c>
      <c r="FO3" s="159">
        <f t="shared" si="2"/>
        <v>0</v>
      </c>
      <c r="FP3" s="159">
        <f t="shared" si="2"/>
        <v>0</v>
      </c>
      <c r="FQ3" s="159">
        <f t="shared" ref="FQ3:GA3" si="3">FQ2*0.75</f>
        <v>0</v>
      </c>
      <c r="FR3" s="159">
        <f t="shared" si="3"/>
        <v>0</v>
      </c>
      <c r="FS3" s="159">
        <f t="shared" si="3"/>
        <v>0</v>
      </c>
      <c r="FT3" s="159">
        <f t="shared" si="3"/>
        <v>0</v>
      </c>
      <c r="FU3" s="159">
        <f t="shared" si="3"/>
        <v>68.25</v>
      </c>
      <c r="FV3" s="159">
        <f t="shared" si="3"/>
        <v>0</v>
      </c>
      <c r="FW3" s="159">
        <f t="shared" si="3"/>
        <v>0</v>
      </c>
      <c r="FX3" s="159">
        <f t="shared" si="3"/>
        <v>21.75</v>
      </c>
      <c r="FY3" s="159">
        <f t="shared" si="3"/>
        <v>0</v>
      </c>
      <c r="FZ3" s="159">
        <f t="shared" si="3"/>
        <v>417</v>
      </c>
      <c r="GA3" s="159">
        <f t="shared" si="3"/>
        <v>72</v>
      </c>
      <c r="GB3" s="159">
        <f t="shared" ref="GB3:GN3" si="4">GB2*0.75</f>
        <v>0</v>
      </c>
      <c r="GC3" s="159">
        <f t="shared" si="4"/>
        <v>0</v>
      </c>
      <c r="GD3" s="159">
        <f t="shared" si="4"/>
        <v>0</v>
      </c>
      <c r="GE3" s="159">
        <f t="shared" si="4"/>
        <v>546.75</v>
      </c>
      <c r="GF3" s="159">
        <f t="shared" si="4"/>
        <v>0</v>
      </c>
      <c r="GG3" s="159">
        <f t="shared" si="4"/>
        <v>0</v>
      </c>
      <c r="GH3" s="159">
        <f t="shared" si="4"/>
        <v>599.25</v>
      </c>
      <c r="GI3" s="159">
        <f t="shared" si="4"/>
        <v>0</v>
      </c>
      <c r="GJ3" s="159">
        <f t="shared" si="4"/>
        <v>0</v>
      </c>
      <c r="GK3" s="159">
        <f t="shared" si="4"/>
        <v>0</v>
      </c>
      <c r="GL3" s="159">
        <f t="shared" si="4"/>
        <v>0</v>
      </c>
      <c r="GM3" s="159">
        <f t="shared" si="4"/>
        <v>0</v>
      </c>
      <c r="GN3" s="159">
        <f t="shared" si="4"/>
        <v>0</v>
      </c>
      <c r="GO3" s="159">
        <f t="shared" ref="GO3:GU3" si="5">GO2*0.75</f>
        <v>0</v>
      </c>
      <c r="GP3" s="159">
        <f t="shared" si="5"/>
        <v>0</v>
      </c>
      <c r="GQ3" s="159">
        <f t="shared" si="5"/>
        <v>0</v>
      </c>
      <c r="GR3" s="159">
        <f t="shared" si="5"/>
        <v>0</v>
      </c>
      <c r="GS3" s="159">
        <f t="shared" si="5"/>
        <v>0</v>
      </c>
      <c r="GT3" s="159">
        <f t="shared" si="5"/>
        <v>0</v>
      </c>
      <c r="GU3" s="159">
        <f t="shared" si="5"/>
        <v>0</v>
      </c>
    </row>
    <row r="4" spans="1:203" ht="14.45">
      <c r="A4" s="154" t="s">
        <v>232</v>
      </c>
      <c r="B4" s="28">
        <f>SUM(C4:GU4)</f>
        <v>17863</v>
      </c>
      <c r="C4" s="29" t="str">
        <f>IFERROR(HLOOKUP(C1,'Datavant Data'!$B$1:$BF$3,3,0),"0")</f>
        <v>0</v>
      </c>
      <c r="D4" s="29">
        <f>IFERROR(HLOOKUP(D1,'Datavant Data'!$B$1:$BF$3,3,0),"0")</f>
        <v>629</v>
      </c>
      <c r="E4" s="29" t="str">
        <f>IFERROR(HLOOKUP(E1,'Datavant Data'!$B$1:$BF$3,3,0),"0")</f>
        <v>0</v>
      </c>
      <c r="F4" s="29" t="str">
        <f>IFERROR(HLOOKUP(F1,'Datavant Data'!$B$1:$BF$3,3,0),"0")</f>
        <v>0</v>
      </c>
      <c r="G4" s="29" t="str">
        <f>IFERROR(HLOOKUP(G1,'Datavant Data'!$B$1:$BF$3,3,0),"0")</f>
        <v>0</v>
      </c>
      <c r="H4" s="29" t="str">
        <f>IFERROR(HLOOKUP(H1,'Datavant Data'!$B$1:$BF$3,3,0),"0")</f>
        <v>0</v>
      </c>
      <c r="I4" s="29">
        <f>IFERROR(HLOOKUP(I1,'Datavant Data'!$B$1:$BF$3,3,0),"0")</f>
        <v>201</v>
      </c>
      <c r="J4" s="29" t="str">
        <f>IFERROR(HLOOKUP(J1,'Datavant Data'!$B$1:$BF$3,3,0),"0")</f>
        <v>0</v>
      </c>
      <c r="K4" s="29" t="str">
        <f>IFERROR(HLOOKUP(K1,'Datavant Data'!$B$1:$BF$3,3,0),"0")</f>
        <v>0</v>
      </c>
      <c r="L4" s="29">
        <f>IFERROR(HLOOKUP(L1,'Datavant Data'!$B$1:$BF$3,3,0),"0")</f>
        <v>78</v>
      </c>
      <c r="M4" s="29" t="str">
        <f>IFERROR(HLOOKUP(M1,'Datavant Data'!$B$1:$BF$3,3,0),"0")</f>
        <v>0</v>
      </c>
      <c r="N4" s="29" t="str">
        <f>IFERROR(HLOOKUP(N1,'Datavant Data'!$B$1:$BF$3,3,0),"0")</f>
        <v>0</v>
      </c>
      <c r="O4" s="29" t="str">
        <f>IFERROR(HLOOKUP(O1,'Datavant Data'!$B$1:$BF$3,3,0),"0")</f>
        <v>0</v>
      </c>
      <c r="P4" s="29" t="str">
        <f>IFERROR(HLOOKUP(P1,'Datavant Data'!$B$1:$BF$3,3,0),"0")</f>
        <v>0</v>
      </c>
      <c r="Q4" s="29" t="str">
        <f>IFERROR(HLOOKUP(Q1,'Datavant Data'!$B$1:$BF$3,3,0),"0")</f>
        <v>0</v>
      </c>
      <c r="R4" s="29" t="str">
        <f>IFERROR(HLOOKUP(R1,'Datavant Data'!$B$1:$BF$3,3,0),"0")</f>
        <v>0</v>
      </c>
      <c r="S4" s="29" t="str">
        <f>IFERROR(HLOOKUP(S1,'Datavant Data'!$B$1:$BF$3,3,0),"0")</f>
        <v>0</v>
      </c>
      <c r="T4" s="29" t="str">
        <f>IFERROR(HLOOKUP(T1,'Datavant Data'!$B$1:$BF$3,3,0),"0")</f>
        <v>0</v>
      </c>
      <c r="U4" s="29" t="str">
        <f>IFERROR(HLOOKUP(U1,'Datavant Data'!$B$1:$BF$3,3,0),"0")</f>
        <v>0</v>
      </c>
      <c r="V4" s="29">
        <f>IFERROR(HLOOKUP(V1,'Datavant Data'!$B$1:$BF$3,3,0),"0")</f>
        <v>392</v>
      </c>
      <c r="W4" s="29" t="str">
        <f>IFERROR(HLOOKUP(W1,'Datavant Data'!$B$1:$BF$3,3,0),"0")</f>
        <v>0</v>
      </c>
      <c r="X4" s="29" t="str">
        <f>IFERROR(HLOOKUP(X1,'Datavant Data'!$B$1:$BF$3,3,0),"0")</f>
        <v>0</v>
      </c>
      <c r="Y4" s="29" t="str">
        <f>IFERROR(HLOOKUP(Y1,'Datavant Data'!$B$1:$BF$3,3,0),"0")</f>
        <v>0</v>
      </c>
      <c r="Z4" s="29" t="str">
        <f>IFERROR(HLOOKUP(Z1,'Datavant Data'!$B$1:$BF$3,3,0),"0")</f>
        <v>0</v>
      </c>
      <c r="AA4" s="29" t="str">
        <f>IFERROR(HLOOKUP(AA1,'Datavant Data'!$B$1:$BF$3,3,0),"0")</f>
        <v>0</v>
      </c>
      <c r="AB4" s="29">
        <f>IFERROR(HLOOKUP(AB1,'Datavant Data'!$B$1:$BF$3,3,0),"0")</f>
        <v>14</v>
      </c>
      <c r="AC4" s="29" t="str">
        <f>IFERROR(HLOOKUP(AC1,'Datavant Data'!$B$1:$BF$3,3,0),"0")</f>
        <v>0</v>
      </c>
      <c r="AD4" s="29">
        <f>IFERROR(HLOOKUP(AD1,'Datavant Data'!$B$1:$BF$3,3,0),"0")</f>
        <v>129</v>
      </c>
      <c r="AE4" s="29" t="str">
        <f>IFERROR(HLOOKUP(AE1,'Datavant Data'!$B$1:$BF$3,3,0),"0")</f>
        <v>0</v>
      </c>
      <c r="AF4" s="29" t="str">
        <f>IFERROR(HLOOKUP(AF1,'Datavant Data'!$B$1:$BF$3,3,0),"0")</f>
        <v>0</v>
      </c>
      <c r="AG4" s="29" t="str">
        <f>IFERROR(HLOOKUP(AG1,'Datavant Data'!$B$1:$BF$3,3,0),"0")</f>
        <v>0</v>
      </c>
      <c r="AH4" s="29">
        <f>IFERROR(HLOOKUP(AH1,'Datavant Data'!$B$1:$BF$3,3,0),"0")</f>
        <v>701</v>
      </c>
      <c r="AI4" s="29">
        <f>IFERROR(HLOOKUP(AI1,'Datavant Data'!$B$1:$BF$3,3,0),"0")</f>
        <v>770</v>
      </c>
      <c r="AJ4" s="29">
        <f>IFERROR(HLOOKUP(AJ1,'Datavant Data'!$B$1:$BF$3,3,0),"0")</f>
        <v>101</v>
      </c>
      <c r="AK4" s="29">
        <f>IFERROR(HLOOKUP(AK1,'Datavant Data'!$B$1:$BF$3,3,0),"0")</f>
        <v>148</v>
      </c>
      <c r="AL4" s="29">
        <f>IFERROR(HLOOKUP(AL1,'Datavant Data'!$B$1:$BF$3,3,0),"0")</f>
        <v>663</v>
      </c>
      <c r="AM4" s="29" t="str">
        <f>IFERROR(HLOOKUP(AM1,'Datavant Data'!$B$1:$BF$3,3,0),"0")</f>
        <v>0</v>
      </c>
      <c r="AN4" s="29" t="str">
        <f>IFERROR(HLOOKUP(AN1,'Datavant Data'!$B$1:$BF$3,3,0),"0")</f>
        <v>0</v>
      </c>
      <c r="AO4" s="29" t="str">
        <f>IFERROR(HLOOKUP(AO1,'Datavant Data'!$B$1:$BF$3,3,0),"0")</f>
        <v>0</v>
      </c>
      <c r="AP4" s="29" t="str">
        <f>IFERROR(HLOOKUP(AP1,'Datavant Data'!$B$1:$BF$3,3,0),"0")</f>
        <v>0</v>
      </c>
      <c r="AQ4" s="29">
        <f>IFERROR(HLOOKUP(AQ1,'Datavant Data'!$B$1:$BF$3,3,0),"0")</f>
        <v>16</v>
      </c>
      <c r="AR4" s="29">
        <f>IFERROR(HLOOKUP(AR1,'Datavant Data'!$B$1:$BF$3,3,0),"0")</f>
        <v>202</v>
      </c>
      <c r="AS4" s="29">
        <f>IFERROR(HLOOKUP(AS1,'Datavant Data'!$B$1:$BF$3,3,0),"0")</f>
        <v>207</v>
      </c>
      <c r="AT4" s="29" t="str">
        <f>IFERROR(HLOOKUP(AT1,'Datavant Data'!$B$1:$BF$3,3,0),"0")</f>
        <v>0</v>
      </c>
      <c r="AU4" s="29" t="str">
        <f>IFERROR(HLOOKUP(AU1,'Datavant Data'!$B$1:$BF$3,3,0),"0")</f>
        <v>0</v>
      </c>
      <c r="AV4" s="29" t="str">
        <f>IFERROR(HLOOKUP(AV1,'Datavant Data'!$B$1:$BF$3,3,0),"0")</f>
        <v>0</v>
      </c>
      <c r="AW4" s="29" t="str">
        <f>IFERROR(HLOOKUP(AW1,'Datavant Data'!$B$1:$BF$3,3,0),"0")</f>
        <v>0</v>
      </c>
      <c r="AX4" s="29" t="str">
        <f>IFERROR(HLOOKUP(AX1,'Datavant Data'!$B$1:$BF$3,3,0),"0")</f>
        <v>0</v>
      </c>
      <c r="AY4" s="29" t="str">
        <f>IFERROR(HLOOKUP(AY1,'Datavant Data'!$B$1:$BF$3,3,0),"0")</f>
        <v>0</v>
      </c>
      <c r="AZ4" s="29" t="str">
        <f>IFERROR(HLOOKUP(AZ1,'Datavant Data'!$B$1:$BF$3,3,0),"0")</f>
        <v>0</v>
      </c>
      <c r="BA4" s="29" t="str">
        <f>IFERROR(HLOOKUP(BA1,'Datavant Data'!$B$1:$BF$3,3,0),"0")</f>
        <v>0</v>
      </c>
      <c r="BB4" s="29">
        <f>IFERROR(HLOOKUP(BB1,'Datavant Data'!$B$1:$BF$3,3,0),"0")</f>
        <v>870</v>
      </c>
      <c r="BC4" s="29" t="str">
        <f>IFERROR(HLOOKUP(BC1,'Datavant Data'!$B$1:$BF$3,3,0),"0")</f>
        <v>0</v>
      </c>
      <c r="BD4" s="29" t="str">
        <f>IFERROR(HLOOKUP(BD1,'Datavant Data'!$B$1:$BF$3,3,0),"0")</f>
        <v>0</v>
      </c>
      <c r="BE4" s="29">
        <f>IFERROR(HLOOKUP(BE1,'Datavant Data'!$B$1:$BF$3,3,0),"0")</f>
        <v>99</v>
      </c>
      <c r="BF4" s="29" t="str">
        <f>IFERROR(HLOOKUP(BF1,'Datavant Data'!$B$1:$BF$3,3,0),"0")</f>
        <v>0</v>
      </c>
      <c r="BG4" s="29" t="str">
        <f>IFERROR(HLOOKUP(BG1,'Datavant Data'!$B$1:$BF$3,3,0),"0")</f>
        <v>0</v>
      </c>
      <c r="BH4" s="29" t="str">
        <f>IFERROR(HLOOKUP(BH1,'Datavant Data'!$B$1:$BF$3,3,0),"0")</f>
        <v>0</v>
      </c>
      <c r="BI4" s="29" t="str">
        <f>IFERROR(HLOOKUP(BI1,'Datavant Data'!$B$1:$BF$3,3,0),"0")</f>
        <v>0</v>
      </c>
      <c r="BJ4" s="29" t="str">
        <f>IFERROR(HLOOKUP(BJ1,'Datavant Data'!$B$1:$BF$3,3,0),"0")</f>
        <v>0</v>
      </c>
      <c r="BK4" s="29" t="str">
        <f>IFERROR(HLOOKUP(BK1,'Datavant Data'!$B$1:$BF$3,3,0),"0")</f>
        <v>0</v>
      </c>
      <c r="BL4" s="29" t="str">
        <f>IFERROR(HLOOKUP(BL1,'Datavant Data'!$B$1:$BF$3,3,0),"0")</f>
        <v>0</v>
      </c>
      <c r="BM4" s="29">
        <f>IFERROR(HLOOKUP(BM1,'Datavant Data'!$B$1:$BF$3,3,0),"0")</f>
        <v>341</v>
      </c>
      <c r="BN4" s="29" t="str">
        <f>IFERROR(HLOOKUP(BN1,'Datavant Data'!$B$1:$BF$3,3,0),"0")</f>
        <v>0</v>
      </c>
      <c r="BO4" s="29" t="str">
        <f>IFERROR(HLOOKUP(BO1,'Datavant Data'!$B$1:$BF$3,3,0),"0")</f>
        <v>0</v>
      </c>
      <c r="BP4" s="29">
        <f>IFERROR(HLOOKUP(BP1,'Datavant Data'!$B$1:$BF$3,3,0),"0")</f>
        <v>167</v>
      </c>
      <c r="BQ4" s="29" t="str">
        <f>IFERROR(HLOOKUP(BQ1,'Datavant Data'!$B$1:$BF$3,3,0),"0")</f>
        <v>0</v>
      </c>
      <c r="BR4" s="29" t="str">
        <f>IFERROR(HLOOKUP(BR1,'Datavant Data'!$B$1:$BF$3,3,0),"0")</f>
        <v>0</v>
      </c>
      <c r="BS4" s="29" t="str">
        <f>IFERROR(HLOOKUP(BS1,'Datavant Data'!$B$1:$BF$3,3,0),"0")</f>
        <v>0</v>
      </c>
      <c r="BT4" s="29" t="str">
        <f>IFERROR(HLOOKUP(BT1,'Datavant Data'!$B$1:$BF$3,3,0),"0")</f>
        <v>0</v>
      </c>
      <c r="BU4" s="29">
        <f>IFERROR(HLOOKUP(BU1,'Datavant Data'!$B$1:$BF$3,3,0),"0")</f>
        <v>53</v>
      </c>
      <c r="BV4" s="29" t="str">
        <f>IFERROR(HLOOKUP(BV1,'Datavant Data'!$B$1:$BF$3,3,0),"0")</f>
        <v>0</v>
      </c>
      <c r="BW4" s="29" t="str">
        <f>IFERROR(HLOOKUP(BW1,'Datavant Data'!$B$1:$BF$3,3,0),"0")</f>
        <v>0</v>
      </c>
      <c r="BX4" s="29" t="str">
        <f>IFERROR(HLOOKUP(BX1,'Datavant Data'!$B$1:$BF$3,3,0),"0")</f>
        <v>0</v>
      </c>
      <c r="BY4" s="29" t="str">
        <f>IFERROR(HLOOKUP(BY1,'Datavant Data'!$B$1:$BF$3,3,0),"0")</f>
        <v>0</v>
      </c>
      <c r="BZ4" s="29" t="str">
        <f>IFERROR(HLOOKUP(BZ1,'Datavant Data'!$B$1:$BF$3,3,0),"0")</f>
        <v>0</v>
      </c>
      <c r="CA4" s="29">
        <f>IFERROR(HLOOKUP(CA1,'Datavant Data'!$B$1:$BF$3,3,0),"0")</f>
        <v>164</v>
      </c>
      <c r="CB4" s="29" t="str">
        <f>IFERROR(HLOOKUP(CB1,'Datavant Data'!$B$1:$BF$3,3,0),"0")</f>
        <v>0</v>
      </c>
      <c r="CC4" s="29" t="str">
        <f>IFERROR(HLOOKUP(CC1,'Datavant Data'!$B$1:$BF$3,3,0),"0")</f>
        <v>0</v>
      </c>
      <c r="CD4" s="29">
        <f>IFERROR(HLOOKUP(CD1,'Datavant Data'!$B$1:$BF$3,3,0),"0")</f>
        <v>159</v>
      </c>
      <c r="CE4" s="29" t="str">
        <f>IFERROR(HLOOKUP(CE1,'Datavant Data'!$B$1:$BF$3,3,0),"0")</f>
        <v>0</v>
      </c>
      <c r="CF4" s="29" t="str">
        <f>IFERROR(HLOOKUP(CF1,'Datavant Data'!$B$1:$BF$3,3,0),"0")</f>
        <v>0</v>
      </c>
      <c r="CG4" s="29" t="str">
        <f>IFERROR(HLOOKUP(CG1,'Datavant Data'!$B$1:$BF$3,3,0),"0")</f>
        <v>0</v>
      </c>
      <c r="CH4" s="29">
        <f>IFERROR(HLOOKUP(CH1,'Datavant Data'!$B$1:$BF$3,3,0),"0")</f>
        <v>591</v>
      </c>
      <c r="CI4" s="29">
        <f>IFERROR(HLOOKUP(CI1,'Datavant Data'!$B$1:$BF$3,3,0),"0")</f>
        <v>71</v>
      </c>
      <c r="CJ4" s="29" t="str">
        <f>IFERROR(HLOOKUP(CJ1,'Datavant Data'!$B$1:$BF$3,3,0),"0")</f>
        <v>0</v>
      </c>
      <c r="CK4" s="29" t="str">
        <f>IFERROR(HLOOKUP(CK1,'Datavant Data'!$B$1:$BF$3,3,0),"0")</f>
        <v>0</v>
      </c>
      <c r="CL4" s="29" t="str">
        <f>IFERROR(HLOOKUP(CL1,'Datavant Data'!$B$1:$BF$3,3,0),"0")</f>
        <v>0</v>
      </c>
      <c r="CM4" s="29" t="str">
        <f>IFERROR(HLOOKUP(CM1,'Datavant Data'!$B$1:$BF$3,3,0),"0")</f>
        <v>0</v>
      </c>
      <c r="CN4" s="29">
        <f>IFERROR(HLOOKUP(CN1,'Datavant Data'!$B$1:$BF$3,3,0),"0")</f>
        <v>10</v>
      </c>
      <c r="CO4" s="29">
        <f>IFERROR(HLOOKUP(CO1,'Datavant Data'!$B$1:$BF$3,3,0),"0")</f>
        <v>203</v>
      </c>
      <c r="CP4" s="29">
        <f>IFERROR(HLOOKUP(CP1,'Datavant Data'!$B$1:$BF$3,3,0),"0")</f>
        <v>561</v>
      </c>
      <c r="CQ4" s="29">
        <f>IFERROR(HLOOKUP(CQ1,'Datavant Data'!$B$1:$BF$3,3,0),"0")</f>
        <v>100</v>
      </c>
      <c r="CR4" s="29" t="str">
        <f>IFERROR(HLOOKUP(CR1,'Datavant Data'!$B$1:$BF$3,3,0),"0")</f>
        <v>0</v>
      </c>
      <c r="CS4" s="29" t="str">
        <f>IFERROR(HLOOKUP(CS1,'Datavant Data'!$B$1:$BF$3,3,0),"0")</f>
        <v>0</v>
      </c>
      <c r="CT4" s="29">
        <f>IFERROR(HLOOKUP(CT1,'Datavant Data'!$B$1:$BF$3,3,0),"0")</f>
        <v>87</v>
      </c>
      <c r="CU4" s="29">
        <f>IFERROR(HLOOKUP(CU1,'Datavant Data'!$B$1:$BF$3,3,0),"0")</f>
        <v>59</v>
      </c>
      <c r="CV4" s="29" t="str">
        <f>IFERROR(HLOOKUP(CV1,'Datavant Data'!$B$1:$BF$3,3,0),"0")</f>
        <v>0</v>
      </c>
      <c r="CW4" s="29" t="str">
        <f>IFERROR(HLOOKUP(CW1,'Datavant Data'!$B$1:$BF$3,3,0),"0")</f>
        <v>0</v>
      </c>
      <c r="CX4" s="29" t="str">
        <f>IFERROR(HLOOKUP(CX1,'Datavant Data'!$B$1:$BF$3,3,0),"0")</f>
        <v>0</v>
      </c>
      <c r="CY4" s="29" t="str">
        <f>IFERROR(HLOOKUP(CY1,'Datavant Data'!$B$1:$BF$3,3,0),"0")</f>
        <v>0</v>
      </c>
      <c r="CZ4" s="29" t="str">
        <f>IFERROR(HLOOKUP(CZ1,'Datavant Data'!$B$1:$BF$3,3,0),"0")</f>
        <v>0</v>
      </c>
      <c r="DA4" s="29">
        <f>IFERROR(HLOOKUP(DA1,'Datavant Data'!$B$1:$BF$3,3,0),"0")</f>
        <v>2668</v>
      </c>
      <c r="DB4" s="29" t="str">
        <f>IFERROR(HLOOKUP(DB1,'Datavant Data'!$B$1:$BF$3,3,0),"0")</f>
        <v>0</v>
      </c>
      <c r="DC4" s="29">
        <f>IFERROR(HLOOKUP(DC1,'Datavant Data'!$B$1:$BF$3,3,0),"0")</f>
        <v>395</v>
      </c>
      <c r="DD4" s="29">
        <f>IFERROR(HLOOKUP(DD1,'Datavant Data'!$B$1:$BF$3,3,0),"0")</f>
        <v>549</v>
      </c>
      <c r="DE4" s="29">
        <f>IFERROR(HLOOKUP(DE1,'Datavant Data'!$B$1:$BF$3,3,0),"0")</f>
        <v>18</v>
      </c>
      <c r="DF4" s="29" t="str">
        <f>IFERROR(HLOOKUP(DF1,'Datavant Data'!$B$1:$BF$3,3,0),"0")</f>
        <v>0</v>
      </c>
      <c r="DG4" s="29" t="str">
        <f>IFERROR(HLOOKUP(DG1,'Datavant Data'!$B$1:$BF$3,3,0),"0")</f>
        <v>0</v>
      </c>
      <c r="DH4" s="29" t="str">
        <f>IFERROR(HLOOKUP(DH1,'Datavant Data'!$B$1:$BF$3,3,0),"0")</f>
        <v>0</v>
      </c>
      <c r="DI4" s="29" t="str">
        <f>IFERROR(HLOOKUP(DI1,'Datavant Data'!$B$1:$BF$3,3,0),"0")</f>
        <v>0</v>
      </c>
      <c r="DJ4" s="29" t="str">
        <f>IFERROR(HLOOKUP(DJ1,'Datavant Data'!$B$1:$BF$3,3,0),"0")</f>
        <v>0</v>
      </c>
      <c r="DK4" s="29" t="str">
        <f>IFERROR(HLOOKUP(DK1,'Datavant Data'!$B$1:$BF$3,3,0),"0")</f>
        <v>0</v>
      </c>
      <c r="DL4" s="29">
        <f>IFERROR(HLOOKUP(DL1,'Datavant Data'!$B$1:$BF$3,3,0),"0")</f>
        <v>457</v>
      </c>
      <c r="DM4" s="29">
        <f>IFERROR(HLOOKUP(DM1,'Datavant Data'!$B$1:$BF$3,3,0),"0")</f>
        <v>120</v>
      </c>
      <c r="DN4" s="29" t="str">
        <f>IFERROR(HLOOKUP(DN1,'Datavant Data'!$B$1:$BF$3,3,0),"0")</f>
        <v>0</v>
      </c>
      <c r="DO4" s="29">
        <f>IFERROR(HLOOKUP(DO1,'Datavant Data'!$B$1:$BF$3,3,0),"0")</f>
        <v>107</v>
      </c>
      <c r="DP4" s="29" t="str">
        <f>IFERROR(HLOOKUP(DP1,'Datavant Data'!$B$1:$BF$3,3,0),"0")</f>
        <v>0</v>
      </c>
      <c r="DQ4" s="29" t="str">
        <f>IFERROR(HLOOKUP(DQ1,'Datavant Data'!$B$1:$BF$3,3,0),"0")</f>
        <v>0</v>
      </c>
      <c r="DR4" s="29" t="str">
        <f>IFERROR(HLOOKUP(DR1,'Datavant Data'!$B$1:$BF$3,3,0),"0")</f>
        <v>0</v>
      </c>
      <c r="DS4" s="29" t="str">
        <f>IFERROR(HLOOKUP(DS1,'Datavant Data'!$B$1:$BF$3,3,0),"0")</f>
        <v>0</v>
      </c>
      <c r="DT4" s="29" t="str">
        <f>IFERROR(HLOOKUP(DT1,'Datavant Data'!$B$1:$BF$3,3,0),"0")</f>
        <v>0</v>
      </c>
      <c r="DU4" s="29" t="str">
        <f>IFERROR(HLOOKUP(DU1,'Datavant Data'!$B$1:$BF$3,3,0),"0")</f>
        <v>0</v>
      </c>
      <c r="DV4" s="29" t="str">
        <f>IFERROR(HLOOKUP(DV1,'Datavant Data'!$B$1:$BF$3,3,0),"0")</f>
        <v>0</v>
      </c>
      <c r="DW4" s="29" t="str">
        <f>IFERROR(HLOOKUP(DW1,'Datavant Data'!$B$1:$BF$3,3,0),"0")</f>
        <v>0</v>
      </c>
      <c r="DX4" s="29">
        <f>IFERROR(HLOOKUP(DX1,'Datavant Data'!$B$1:$BF$3,3,0),"0")</f>
        <v>494</v>
      </c>
      <c r="DY4" s="29" t="str">
        <f>IFERROR(HLOOKUP(DY1,'Datavant Data'!$B$1:$BF$3,3,0),"0")</f>
        <v>0</v>
      </c>
      <c r="DZ4" s="29" t="str">
        <f>IFERROR(HLOOKUP(DZ1,'Datavant Data'!$B$1:$BF$3,3,0),"0")</f>
        <v>0</v>
      </c>
      <c r="EA4" s="29" t="str">
        <f>IFERROR(HLOOKUP(EA1,'Datavant Data'!$B$1:$BF$3,3,0),"0")</f>
        <v>0</v>
      </c>
      <c r="EB4" s="29" t="str">
        <f>IFERROR(HLOOKUP(EB1,'Datavant Data'!$B$1:$BF$3,3,0),"0")</f>
        <v>0</v>
      </c>
      <c r="EC4" s="29">
        <f>IFERROR(HLOOKUP(EC1,'Datavant Data'!$B$1:$BF$3,3,0),"0")</f>
        <v>88</v>
      </c>
      <c r="ED4" s="29">
        <f>IFERROR(HLOOKUP(ED1,'Datavant Data'!$B$1:$BF$3,3,0),"0")</f>
        <v>147</v>
      </c>
      <c r="EE4" s="29" t="str">
        <f>IFERROR(HLOOKUP(EE1,'Datavant Data'!$B$1:$BF$3,3,0),"0")</f>
        <v>0</v>
      </c>
      <c r="EF4" s="29" t="str">
        <f>IFERROR(HLOOKUP(EF1,'Datavant Data'!$B$1:$BF$3,3,0),"0")</f>
        <v>0</v>
      </c>
      <c r="EG4" s="29">
        <f>IFERROR(HLOOKUP(EG1,'Datavant Data'!$B$1:$BF$3,3,0),"0")</f>
        <v>270</v>
      </c>
      <c r="EH4" s="29" t="str">
        <f>IFERROR(HLOOKUP(EH1,'Datavant Data'!$B$1:$BF$3,3,0),"0")</f>
        <v>0</v>
      </c>
      <c r="EI4" s="29" t="str">
        <f>IFERROR(HLOOKUP(EI1,'Datavant Data'!$B$1:$BF$3,3,0),"0")</f>
        <v>0</v>
      </c>
      <c r="EJ4" s="29">
        <f>IFERROR(HLOOKUP(EJ1,'Datavant Data'!$B$1:$BF$3,3,0),"0")</f>
        <v>102</v>
      </c>
      <c r="EK4" s="29" t="str">
        <f>IFERROR(HLOOKUP(EK1,'Datavant Data'!$B$1:$BF$3,3,0),"0")</f>
        <v>0</v>
      </c>
      <c r="EL4" s="29" t="str">
        <f>IFERROR(HLOOKUP(EL1,'Datavant Data'!$B$1:$BF$3,3,0),"0")</f>
        <v>0</v>
      </c>
      <c r="EM4" s="29" t="str">
        <f>IFERROR(HLOOKUP(EM1,'Datavant Data'!$B$1:$BF$3,3,0),"0")</f>
        <v>0</v>
      </c>
      <c r="EN4" s="29" t="str">
        <f>IFERROR(HLOOKUP(EN1,'Datavant Data'!$B$1:$BF$3,3,0),"0")</f>
        <v>0</v>
      </c>
      <c r="EO4" s="29" t="str">
        <f>IFERROR(HLOOKUP(EO1,'Datavant Data'!$B$1:$BF$3,3,0),"0")</f>
        <v>0</v>
      </c>
      <c r="EP4" s="29" t="str">
        <f>IFERROR(HLOOKUP(EP1,'Datavant Data'!$B$1:$BF$3,3,0),"0")</f>
        <v>0</v>
      </c>
      <c r="EQ4" s="29" t="str">
        <f>IFERROR(HLOOKUP(EQ1,'Datavant Data'!$B$1:$BF$3,3,0),"0")</f>
        <v>0</v>
      </c>
      <c r="ER4" s="29" t="str">
        <f>IFERROR(HLOOKUP(ER1,'Datavant Data'!$B$1:$BF$3,3,0),"0")</f>
        <v>0</v>
      </c>
      <c r="ES4" s="29">
        <f>IFERROR(HLOOKUP(ES1,'Datavant Data'!$B$1:$BF$3,3,0),"0")</f>
        <v>396</v>
      </c>
      <c r="ET4" s="29" t="str">
        <f>IFERROR(HLOOKUP(ET1,'Datavant Data'!$B$1:$BF$3,3,0),"0")</f>
        <v>0</v>
      </c>
      <c r="EU4" s="29" t="str">
        <f>IFERROR(HLOOKUP(EU1,'Datavant Data'!$B$1:$BF$3,3,0),"0")</f>
        <v>0</v>
      </c>
      <c r="EV4" s="29" t="str">
        <f>IFERROR(HLOOKUP(EV1,'Datavant Data'!$B$1:$BF$3,3,0),"0")</f>
        <v>0</v>
      </c>
      <c r="EW4" s="29" t="str">
        <f>IFERROR(HLOOKUP(EW1,'Datavant Data'!$B$1:$BF$3,3,0),"0")</f>
        <v>0</v>
      </c>
      <c r="EX4" s="29">
        <f>IFERROR(HLOOKUP(EX1,'Datavant Data'!$B$1:$BF$3,3,0),"0")</f>
        <v>137</v>
      </c>
      <c r="EY4" s="29" t="str">
        <f>IFERROR(HLOOKUP(EY1,'Datavant Data'!$B$1:$BF$3,3,0),"0")</f>
        <v>0</v>
      </c>
      <c r="EZ4" s="29">
        <f>IFERROR(HLOOKUP(EZ1,'Datavant Data'!$B$1:$BF$3,3,0),"0")</f>
        <v>313</v>
      </c>
      <c r="FA4" s="29">
        <f>IFERROR(HLOOKUP(FA1,'Datavant Data'!$B$1:$BF$3,3,0),"0")</f>
        <v>421</v>
      </c>
      <c r="FB4" s="29" t="str">
        <f>IFERROR(HLOOKUP(FB1,'Datavant Data'!$B$1:$BF$3,3,0),"0")</f>
        <v>0</v>
      </c>
      <c r="FC4" s="29">
        <f>IFERROR(HLOOKUP(FC1,'Datavant Data'!$B$1:$BF$3,3,0),"0")</f>
        <v>23</v>
      </c>
      <c r="FD4" s="29">
        <f>IFERROR(HLOOKUP(FD1,'Datavant Data'!$B$1:$BF$3,3,0),"0")</f>
        <v>156</v>
      </c>
      <c r="FE4" s="29">
        <f>IFERROR(HLOOKUP(FE1,'Datavant Data'!$B$1:$BF$3,3,0),"0")</f>
        <v>366</v>
      </c>
      <c r="FF4" s="29" t="str">
        <f>IFERROR(HLOOKUP(FF1,'Datavant Data'!$B$1:$BF$3,3,0),"0")</f>
        <v>0</v>
      </c>
      <c r="FG4" s="29" t="str">
        <f>IFERROR(HLOOKUP(FG1,'Datavant Data'!$B$1:$BF$3,3,0),"0")</f>
        <v>0</v>
      </c>
      <c r="FH4" s="29" t="str">
        <f>IFERROR(HLOOKUP(FH1,'Datavant Data'!$B$1:$BF$3,3,0),"0")</f>
        <v>0</v>
      </c>
      <c r="FI4" s="29" t="str">
        <f>IFERROR(HLOOKUP(FI1,'Datavant Data'!$B$1:$BF$3,3,0),"0")</f>
        <v>0</v>
      </c>
      <c r="FJ4" s="29" t="str">
        <f>IFERROR(HLOOKUP(FJ1,'Datavant Data'!$B$1:$BF$3,3,0),"0")</f>
        <v>0</v>
      </c>
      <c r="FK4" s="29" t="str">
        <f>IFERROR(HLOOKUP(FK1,'Datavant Data'!$B$1:$BF$3,3,0),"0")</f>
        <v>0</v>
      </c>
      <c r="FL4" s="29">
        <f>IFERROR(HLOOKUP(FL1,'Datavant Data'!$B$1:$BF$3,3,0),"0")</f>
        <v>248</v>
      </c>
      <c r="FM4" s="29">
        <f>IFERROR(HLOOKUP(FM1,'Datavant Data'!$B$1:$BF$3,3,0),"0")</f>
        <v>550</v>
      </c>
      <c r="FN4" s="29">
        <f>IFERROR(HLOOKUP(FN1,'Datavant Data'!$B$1:$BF$3,3,0),"0")</f>
        <v>119</v>
      </c>
      <c r="FO4" s="29" t="str">
        <f>IFERROR(HLOOKUP(FO1,'Datavant Data'!$B$1:$BF$3,3,0),"0")</f>
        <v>0</v>
      </c>
      <c r="FP4" s="29" t="str">
        <f>IFERROR(HLOOKUP(FP1,'Datavant Data'!$B$1:$BF$3,3,0),"0")</f>
        <v>0</v>
      </c>
      <c r="FQ4" s="29" t="str">
        <f>IFERROR(HLOOKUP(FQ1,'Datavant Data'!$B$1:$BF$3,3,0),"0")</f>
        <v>0</v>
      </c>
      <c r="FR4" s="29" t="str">
        <f>IFERROR(HLOOKUP(FR1,'Datavant Data'!$B$1:$BF$3,3,0),"0")</f>
        <v>0</v>
      </c>
      <c r="FS4" s="29" t="str">
        <f>IFERROR(HLOOKUP(FS1,'Datavant Data'!$B$1:$BF$3,3,0),"0")</f>
        <v>0</v>
      </c>
      <c r="FT4" s="29" t="str">
        <f>IFERROR(HLOOKUP(FT1,'Datavant Data'!$B$1:$BF$3,3,0),"0")</f>
        <v>0</v>
      </c>
      <c r="FU4" s="29">
        <f>IFERROR(HLOOKUP(FU1,'Datavant Data'!$B$1:$BF$3,3,0),"0")</f>
        <v>77</v>
      </c>
      <c r="FV4" s="29" t="str">
        <f>IFERROR(HLOOKUP(FV1,'Datavant Data'!$B$1:$BF$3,3,0),"0")</f>
        <v>0</v>
      </c>
      <c r="FW4" s="29" t="str">
        <f>IFERROR(HLOOKUP(FW1,'Datavant Data'!$B$1:$BF$3,3,0),"0")</f>
        <v>0</v>
      </c>
      <c r="FX4" s="29">
        <f>IFERROR(HLOOKUP(FX1,'Datavant Data'!$B$1:$BF$3,3,0),"0")</f>
        <v>193</v>
      </c>
      <c r="FY4" s="29" t="str">
        <f>IFERROR(HLOOKUP(FY1,'Datavant Data'!$B$1:$BF$3,3,0),"0")</f>
        <v>0</v>
      </c>
      <c r="FZ4" s="29">
        <f>IFERROR(HLOOKUP(FZ1,'Datavant Data'!$B$1:$BF$3,3,0),"0")</f>
        <v>266</v>
      </c>
      <c r="GA4" s="29">
        <f>IFERROR(HLOOKUP(GA1,'Datavant Data'!$B$1:$BF$3,3,0),"0")</f>
        <v>272</v>
      </c>
      <c r="GB4" s="29" t="str">
        <f>IFERROR(HLOOKUP(GB1,'Datavant Data'!$B$1:$BF$3,3,0),"0")</f>
        <v>0</v>
      </c>
      <c r="GC4" s="29" t="str">
        <f>IFERROR(HLOOKUP(GC1,'Datavant Data'!$B$1:$BF$3,3,0),"0")</f>
        <v>0</v>
      </c>
      <c r="GD4" s="29" t="str">
        <f>IFERROR(HLOOKUP(GD1,'Datavant Data'!$B$1:$BF$3,3,0),"0")</f>
        <v>0</v>
      </c>
      <c r="GE4" s="29">
        <f>IFERROR(HLOOKUP(GE1,'Datavant Data'!$B$1:$BF$3,3,0),"0")</f>
        <v>311</v>
      </c>
      <c r="GF4" s="29" t="str">
        <f>IFERROR(HLOOKUP(GF1,'Datavant Data'!$B$1:$BF$3,3,0),"0")</f>
        <v>0</v>
      </c>
      <c r="GG4" s="29" t="str">
        <f>IFERROR(HLOOKUP(GG1,'Datavant Data'!$B$1:$BF$3,3,0),"0")</f>
        <v>0</v>
      </c>
      <c r="GH4" s="29">
        <f>IFERROR(HLOOKUP(GH1,'Datavant Data'!$B$1:$BF$3,3,0),"0")</f>
        <v>814</v>
      </c>
      <c r="GI4" s="29" t="str">
        <f>IFERROR(HLOOKUP(GI1,'Datavant Data'!$B$1:$BF$3,3,0),"0")</f>
        <v>0</v>
      </c>
      <c r="GJ4" s="29" t="str">
        <f>IFERROR(HLOOKUP(GJ1,'Datavant Data'!$B$1:$BF$3,3,0),"0")</f>
        <v>0</v>
      </c>
      <c r="GK4" s="29" t="str">
        <f>IFERROR(HLOOKUP(GK1,'Datavant Data'!$B$1:$BF$3,3,0),"0")</f>
        <v>0</v>
      </c>
      <c r="GL4" s="29" t="str">
        <f>IFERROR(HLOOKUP(GL1,'Datavant Data'!$B$1:$BF$3,3,0),"0")</f>
        <v>0</v>
      </c>
      <c r="GM4" s="29" t="str">
        <f>IFERROR(HLOOKUP(GM1,'Datavant Data'!$B$1:$BF$3,3,0),"0")</f>
        <v>0</v>
      </c>
      <c r="GN4" s="29" t="str">
        <f>IFERROR(HLOOKUP(GN1,'Datavant Data'!$B$1:$BF$3,3,0),"0")</f>
        <v>0</v>
      </c>
      <c r="GO4" s="29" t="str">
        <f>IFERROR(HLOOKUP(GO1,'Datavant Data'!$B$1:$BF$3,3,0),"0")</f>
        <v>0</v>
      </c>
      <c r="GP4" s="29" t="str">
        <f>IFERROR(HLOOKUP(GP1,'Datavant Data'!$B$1:$BF$3,3,0),"0")</f>
        <v>0</v>
      </c>
      <c r="GQ4" s="29" t="str">
        <f>IFERROR(HLOOKUP(GQ1,'Datavant Data'!$B$1:$BF$3,3,0),"0")</f>
        <v>0</v>
      </c>
      <c r="GR4" s="29" t="str">
        <f>IFERROR(HLOOKUP(GR1,'Datavant Data'!$B$1:$BF$3,3,0),"0")</f>
        <v>0</v>
      </c>
      <c r="GS4" s="29" t="str">
        <f>IFERROR(HLOOKUP(GS1,'Datavant Data'!$B$1:$BF$3,3,0),"0")</f>
        <v>0</v>
      </c>
      <c r="GT4" s="29" t="str">
        <f>IFERROR(HLOOKUP(GT1,'Datavant Data'!$B$1:$BF$3,3,0),"0")</f>
        <v>0</v>
      </c>
      <c r="GU4" s="29" t="str">
        <f>IFERROR(HLOOKUP(GU1,'Datavant Data'!$B$1:$BF$3,3,0),"0")</f>
        <v>0</v>
      </c>
    </row>
    <row r="5" spans="1:203" ht="14.45">
      <c r="A5" s="155" t="s">
        <v>231</v>
      </c>
      <c r="B5" s="157">
        <f>SUM(C5:GU5)</f>
        <v>22328.75</v>
      </c>
      <c r="C5" s="156">
        <f>C4*1.25</f>
        <v>0</v>
      </c>
      <c r="D5" s="156">
        <f t="shared" ref="D5:BO5" si="6">D4*1.25</f>
        <v>786.25</v>
      </c>
      <c r="E5" s="156">
        <f t="shared" si="6"/>
        <v>0</v>
      </c>
      <c r="F5" s="156">
        <f t="shared" si="6"/>
        <v>0</v>
      </c>
      <c r="G5" s="156">
        <f t="shared" si="6"/>
        <v>0</v>
      </c>
      <c r="H5" s="156">
        <f t="shared" si="6"/>
        <v>0</v>
      </c>
      <c r="I5" s="156">
        <f t="shared" si="6"/>
        <v>251.25</v>
      </c>
      <c r="J5" s="156">
        <f t="shared" si="6"/>
        <v>0</v>
      </c>
      <c r="K5" s="156">
        <f t="shared" si="6"/>
        <v>0</v>
      </c>
      <c r="L5" s="156">
        <f t="shared" si="6"/>
        <v>97.5</v>
      </c>
      <c r="M5" s="156">
        <f t="shared" si="6"/>
        <v>0</v>
      </c>
      <c r="N5" s="156">
        <f t="shared" si="6"/>
        <v>0</v>
      </c>
      <c r="O5" s="156">
        <f t="shared" si="6"/>
        <v>0</v>
      </c>
      <c r="P5" s="156">
        <f t="shared" si="6"/>
        <v>0</v>
      </c>
      <c r="Q5" s="156">
        <f t="shared" si="6"/>
        <v>0</v>
      </c>
      <c r="R5" s="156">
        <f t="shared" si="6"/>
        <v>0</v>
      </c>
      <c r="S5" s="156">
        <f t="shared" si="6"/>
        <v>0</v>
      </c>
      <c r="T5" s="156">
        <f t="shared" si="6"/>
        <v>0</v>
      </c>
      <c r="U5" s="156">
        <f t="shared" si="6"/>
        <v>0</v>
      </c>
      <c r="V5" s="156">
        <f t="shared" si="6"/>
        <v>490</v>
      </c>
      <c r="W5" s="156">
        <f t="shared" si="6"/>
        <v>0</v>
      </c>
      <c r="X5" s="156">
        <f t="shared" si="6"/>
        <v>0</v>
      </c>
      <c r="Y5" s="156">
        <f t="shared" si="6"/>
        <v>0</v>
      </c>
      <c r="Z5" s="156">
        <f t="shared" si="6"/>
        <v>0</v>
      </c>
      <c r="AA5" s="156">
        <f t="shared" si="6"/>
        <v>0</v>
      </c>
      <c r="AB5" s="156">
        <f t="shared" si="6"/>
        <v>17.5</v>
      </c>
      <c r="AC5" s="156">
        <f t="shared" si="6"/>
        <v>0</v>
      </c>
      <c r="AD5" s="156">
        <f t="shared" si="6"/>
        <v>161.25</v>
      </c>
      <c r="AE5" s="156">
        <f t="shared" si="6"/>
        <v>0</v>
      </c>
      <c r="AF5" s="156">
        <f t="shared" si="6"/>
        <v>0</v>
      </c>
      <c r="AG5" s="156">
        <f t="shared" si="6"/>
        <v>0</v>
      </c>
      <c r="AH5" s="156">
        <f t="shared" si="6"/>
        <v>876.25</v>
      </c>
      <c r="AI5" s="156">
        <f t="shared" si="6"/>
        <v>962.5</v>
      </c>
      <c r="AJ5" s="156">
        <f t="shared" si="6"/>
        <v>126.25</v>
      </c>
      <c r="AK5" s="156">
        <f t="shared" si="6"/>
        <v>185</v>
      </c>
      <c r="AL5" s="156">
        <f t="shared" si="6"/>
        <v>828.75</v>
      </c>
      <c r="AM5" s="156">
        <f t="shared" si="6"/>
        <v>0</v>
      </c>
      <c r="AN5" s="156">
        <f t="shared" si="6"/>
        <v>0</v>
      </c>
      <c r="AO5" s="156">
        <f t="shared" si="6"/>
        <v>0</v>
      </c>
      <c r="AP5" s="156">
        <f t="shared" si="6"/>
        <v>0</v>
      </c>
      <c r="AQ5" s="156">
        <f t="shared" si="6"/>
        <v>20</v>
      </c>
      <c r="AR5" s="156">
        <f t="shared" si="6"/>
        <v>252.5</v>
      </c>
      <c r="AS5" s="156">
        <f t="shared" si="6"/>
        <v>258.75</v>
      </c>
      <c r="AT5" s="156">
        <f t="shared" si="6"/>
        <v>0</v>
      </c>
      <c r="AU5" s="156">
        <f t="shared" si="6"/>
        <v>0</v>
      </c>
      <c r="AV5" s="156">
        <f t="shared" si="6"/>
        <v>0</v>
      </c>
      <c r="AW5" s="156">
        <f t="shared" si="6"/>
        <v>0</v>
      </c>
      <c r="AX5" s="156">
        <f t="shared" si="6"/>
        <v>0</v>
      </c>
      <c r="AY5" s="156">
        <f t="shared" si="6"/>
        <v>0</v>
      </c>
      <c r="AZ5" s="156">
        <f t="shared" si="6"/>
        <v>0</v>
      </c>
      <c r="BA5" s="156">
        <f t="shared" si="6"/>
        <v>0</v>
      </c>
      <c r="BB5" s="156">
        <f t="shared" si="6"/>
        <v>1087.5</v>
      </c>
      <c r="BC5" s="156">
        <f t="shared" si="6"/>
        <v>0</v>
      </c>
      <c r="BD5" s="156">
        <f t="shared" si="6"/>
        <v>0</v>
      </c>
      <c r="BE5" s="156">
        <f t="shared" si="6"/>
        <v>123.75</v>
      </c>
      <c r="BF5" s="156">
        <f t="shared" si="6"/>
        <v>0</v>
      </c>
      <c r="BG5" s="156">
        <f t="shared" si="6"/>
        <v>0</v>
      </c>
      <c r="BH5" s="156">
        <f t="shared" si="6"/>
        <v>0</v>
      </c>
      <c r="BI5" s="156">
        <f t="shared" si="6"/>
        <v>0</v>
      </c>
      <c r="BJ5" s="156">
        <f t="shared" si="6"/>
        <v>0</v>
      </c>
      <c r="BK5" s="156">
        <f t="shared" si="6"/>
        <v>0</v>
      </c>
      <c r="BL5" s="156">
        <f t="shared" si="6"/>
        <v>0</v>
      </c>
      <c r="BM5" s="156">
        <f t="shared" si="6"/>
        <v>426.25</v>
      </c>
      <c r="BN5" s="156">
        <f t="shared" si="6"/>
        <v>0</v>
      </c>
      <c r="BO5" s="156">
        <f t="shared" si="6"/>
        <v>0</v>
      </c>
      <c r="BP5" s="156">
        <f t="shared" ref="BP5:EA5" si="7">BP4*1.25</f>
        <v>208.75</v>
      </c>
      <c r="BQ5" s="156">
        <f t="shared" si="7"/>
        <v>0</v>
      </c>
      <c r="BR5" s="156">
        <f t="shared" si="7"/>
        <v>0</v>
      </c>
      <c r="BS5" s="156">
        <f t="shared" si="7"/>
        <v>0</v>
      </c>
      <c r="BT5" s="156">
        <f t="shared" si="7"/>
        <v>0</v>
      </c>
      <c r="BU5" s="156">
        <f t="shared" si="7"/>
        <v>66.25</v>
      </c>
      <c r="BV5" s="156">
        <f t="shared" si="7"/>
        <v>0</v>
      </c>
      <c r="BW5" s="156">
        <f t="shared" si="7"/>
        <v>0</v>
      </c>
      <c r="BX5" s="156">
        <f t="shared" si="7"/>
        <v>0</v>
      </c>
      <c r="BY5" s="156">
        <f t="shared" si="7"/>
        <v>0</v>
      </c>
      <c r="BZ5" s="156">
        <f t="shared" si="7"/>
        <v>0</v>
      </c>
      <c r="CA5" s="156">
        <f t="shared" si="7"/>
        <v>205</v>
      </c>
      <c r="CB5" s="156">
        <f t="shared" si="7"/>
        <v>0</v>
      </c>
      <c r="CC5" s="156">
        <f t="shared" si="7"/>
        <v>0</v>
      </c>
      <c r="CD5" s="156">
        <f t="shared" si="7"/>
        <v>198.75</v>
      </c>
      <c r="CE5" s="156">
        <f t="shared" si="7"/>
        <v>0</v>
      </c>
      <c r="CF5" s="156">
        <f t="shared" si="7"/>
        <v>0</v>
      </c>
      <c r="CG5" s="156">
        <f t="shared" si="7"/>
        <v>0</v>
      </c>
      <c r="CH5" s="156">
        <f t="shared" si="7"/>
        <v>738.75</v>
      </c>
      <c r="CI5" s="156">
        <f t="shared" si="7"/>
        <v>88.75</v>
      </c>
      <c r="CJ5" s="156">
        <f t="shared" si="7"/>
        <v>0</v>
      </c>
      <c r="CK5" s="156">
        <f t="shared" si="7"/>
        <v>0</v>
      </c>
      <c r="CL5" s="156">
        <f t="shared" si="7"/>
        <v>0</v>
      </c>
      <c r="CM5" s="156">
        <f t="shared" si="7"/>
        <v>0</v>
      </c>
      <c r="CN5" s="156">
        <f t="shared" si="7"/>
        <v>12.5</v>
      </c>
      <c r="CO5" s="156">
        <f t="shared" si="7"/>
        <v>253.75</v>
      </c>
      <c r="CP5" s="156">
        <f t="shared" si="7"/>
        <v>701.25</v>
      </c>
      <c r="CQ5" s="156">
        <f t="shared" si="7"/>
        <v>125</v>
      </c>
      <c r="CR5" s="156">
        <f t="shared" si="7"/>
        <v>0</v>
      </c>
      <c r="CS5" s="156">
        <f t="shared" si="7"/>
        <v>0</v>
      </c>
      <c r="CT5" s="156">
        <f t="shared" si="7"/>
        <v>108.75</v>
      </c>
      <c r="CU5" s="156">
        <f t="shared" si="7"/>
        <v>73.75</v>
      </c>
      <c r="CV5" s="156">
        <f t="shared" si="7"/>
        <v>0</v>
      </c>
      <c r="CW5" s="156">
        <f t="shared" si="7"/>
        <v>0</v>
      </c>
      <c r="CX5" s="156">
        <f t="shared" si="7"/>
        <v>0</v>
      </c>
      <c r="CY5" s="156">
        <f t="shared" si="7"/>
        <v>0</v>
      </c>
      <c r="CZ5" s="156">
        <f t="shared" si="7"/>
        <v>0</v>
      </c>
      <c r="DA5" s="156">
        <f t="shared" si="7"/>
        <v>3335</v>
      </c>
      <c r="DB5" s="156">
        <f t="shared" si="7"/>
        <v>0</v>
      </c>
      <c r="DC5" s="156">
        <f t="shared" si="7"/>
        <v>493.75</v>
      </c>
      <c r="DD5" s="156">
        <f t="shared" si="7"/>
        <v>686.25</v>
      </c>
      <c r="DE5" s="156">
        <f t="shared" si="7"/>
        <v>22.5</v>
      </c>
      <c r="DF5" s="156">
        <f t="shared" si="7"/>
        <v>0</v>
      </c>
      <c r="DG5" s="156">
        <f t="shared" si="7"/>
        <v>0</v>
      </c>
      <c r="DH5" s="156">
        <f t="shared" si="7"/>
        <v>0</v>
      </c>
      <c r="DI5" s="156">
        <f t="shared" si="7"/>
        <v>0</v>
      </c>
      <c r="DJ5" s="156">
        <f t="shared" si="7"/>
        <v>0</v>
      </c>
      <c r="DK5" s="156">
        <f t="shared" si="7"/>
        <v>0</v>
      </c>
      <c r="DL5" s="156">
        <f t="shared" si="7"/>
        <v>571.25</v>
      </c>
      <c r="DM5" s="156">
        <f t="shared" si="7"/>
        <v>150</v>
      </c>
      <c r="DN5" s="156">
        <f t="shared" si="7"/>
        <v>0</v>
      </c>
      <c r="DO5" s="156">
        <f t="shared" si="7"/>
        <v>133.75</v>
      </c>
      <c r="DP5" s="156">
        <f t="shared" si="7"/>
        <v>0</v>
      </c>
      <c r="DQ5" s="156">
        <f t="shared" si="7"/>
        <v>0</v>
      </c>
      <c r="DR5" s="156">
        <f t="shared" si="7"/>
        <v>0</v>
      </c>
      <c r="DS5" s="156">
        <f t="shared" si="7"/>
        <v>0</v>
      </c>
      <c r="DT5" s="156">
        <f t="shared" si="7"/>
        <v>0</v>
      </c>
      <c r="DU5" s="156">
        <f t="shared" si="7"/>
        <v>0</v>
      </c>
      <c r="DV5" s="156">
        <f t="shared" si="7"/>
        <v>0</v>
      </c>
      <c r="DW5" s="156">
        <f t="shared" si="7"/>
        <v>0</v>
      </c>
      <c r="DX5" s="156">
        <f t="shared" si="7"/>
        <v>617.5</v>
      </c>
      <c r="DY5" s="156">
        <f t="shared" si="7"/>
        <v>0</v>
      </c>
      <c r="DZ5" s="156">
        <f t="shared" si="7"/>
        <v>0</v>
      </c>
      <c r="EA5" s="156">
        <f t="shared" si="7"/>
        <v>0</v>
      </c>
      <c r="EB5" s="156">
        <f t="shared" ref="EB5:FP5" si="8">EB4*1.25</f>
        <v>0</v>
      </c>
      <c r="EC5" s="156">
        <f t="shared" si="8"/>
        <v>110</v>
      </c>
      <c r="ED5" s="156">
        <f t="shared" si="8"/>
        <v>183.75</v>
      </c>
      <c r="EE5" s="156">
        <f t="shared" si="8"/>
        <v>0</v>
      </c>
      <c r="EF5" s="156">
        <f t="shared" si="8"/>
        <v>0</v>
      </c>
      <c r="EG5" s="156">
        <f t="shared" si="8"/>
        <v>337.5</v>
      </c>
      <c r="EH5" s="156">
        <f t="shared" si="8"/>
        <v>0</v>
      </c>
      <c r="EI5" s="156">
        <f t="shared" si="8"/>
        <v>0</v>
      </c>
      <c r="EJ5" s="156">
        <f t="shared" si="8"/>
        <v>127.5</v>
      </c>
      <c r="EK5" s="156">
        <f t="shared" si="8"/>
        <v>0</v>
      </c>
      <c r="EL5" s="156">
        <f t="shared" si="8"/>
        <v>0</v>
      </c>
      <c r="EM5" s="156">
        <f t="shared" si="8"/>
        <v>0</v>
      </c>
      <c r="EN5" s="156">
        <f t="shared" si="8"/>
        <v>0</v>
      </c>
      <c r="EO5" s="156">
        <f t="shared" si="8"/>
        <v>0</v>
      </c>
      <c r="EP5" s="156">
        <f t="shared" si="8"/>
        <v>0</v>
      </c>
      <c r="EQ5" s="156">
        <f t="shared" si="8"/>
        <v>0</v>
      </c>
      <c r="ER5" s="156">
        <f t="shared" si="8"/>
        <v>0</v>
      </c>
      <c r="ES5" s="156">
        <f t="shared" si="8"/>
        <v>495</v>
      </c>
      <c r="ET5" s="156">
        <f t="shared" si="8"/>
        <v>0</v>
      </c>
      <c r="EU5" s="156">
        <f t="shared" si="8"/>
        <v>0</v>
      </c>
      <c r="EV5" s="156">
        <f t="shared" si="8"/>
        <v>0</v>
      </c>
      <c r="EW5" s="156">
        <f t="shared" si="8"/>
        <v>0</v>
      </c>
      <c r="EX5" s="156">
        <f t="shared" si="8"/>
        <v>171.25</v>
      </c>
      <c r="EY5" s="156">
        <f t="shared" si="8"/>
        <v>0</v>
      </c>
      <c r="EZ5" s="156">
        <f t="shared" si="8"/>
        <v>391.25</v>
      </c>
      <c r="FA5" s="156">
        <f t="shared" si="8"/>
        <v>526.25</v>
      </c>
      <c r="FB5" s="156">
        <f t="shared" si="8"/>
        <v>0</v>
      </c>
      <c r="FC5" s="156">
        <f t="shared" si="8"/>
        <v>28.75</v>
      </c>
      <c r="FD5" s="156">
        <f t="shared" si="8"/>
        <v>195</v>
      </c>
      <c r="FE5" s="156">
        <f t="shared" si="8"/>
        <v>457.5</v>
      </c>
      <c r="FF5" s="156">
        <f t="shared" si="8"/>
        <v>0</v>
      </c>
      <c r="FG5" s="156">
        <f t="shared" si="8"/>
        <v>0</v>
      </c>
      <c r="FH5" s="156">
        <f t="shared" si="8"/>
        <v>0</v>
      </c>
      <c r="FI5" s="156">
        <f t="shared" si="8"/>
        <v>0</v>
      </c>
      <c r="FJ5" s="156">
        <f t="shared" si="8"/>
        <v>0</v>
      </c>
      <c r="FK5" s="156">
        <f t="shared" si="8"/>
        <v>0</v>
      </c>
      <c r="FL5" s="156">
        <f t="shared" si="8"/>
        <v>310</v>
      </c>
      <c r="FM5" s="156">
        <f t="shared" si="8"/>
        <v>687.5</v>
      </c>
      <c r="FN5" s="156">
        <f t="shared" si="8"/>
        <v>148.75</v>
      </c>
      <c r="FO5" s="156">
        <f t="shared" si="8"/>
        <v>0</v>
      </c>
      <c r="FP5" s="156">
        <f t="shared" si="8"/>
        <v>0</v>
      </c>
      <c r="FQ5" s="156">
        <f t="shared" ref="FQ5:GA5" si="9">FQ4*1.25</f>
        <v>0</v>
      </c>
      <c r="FR5" s="156">
        <f t="shared" si="9"/>
        <v>0</v>
      </c>
      <c r="FS5" s="156">
        <f t="shared" si="9"/>
        <v>0</v>
      </c>
      <c r="FT5" s="156">
        <f t="shared" si="9"/>
        <v>0</v>
      </c>
      <c r="FU5" s="156">
        <f t="shared" si="9"/>
        <v>96.25</v>
      </c>
      <c r="FV5" s="156">
        <f t="shared" si="9"/>
        <v>0</v>
      </c>
      <c r="FW5" s="156">
        <f t="shared" si="9"/>
        <v>0</v>
      </c>
      <c r="FX5" s="156">
        <f t="shared" si="9"/>
        <v>241.25</v>
      </c>
      <c r="FY5" s="156">
        <f t="shared" si="9"/>
        <v>0</v>
      </c>
      <c r="FZ5" s="156">
        <f t="shared" si="9"/>
        <v>332.5</v>
      </c>
      <c r="GA5" s="156">
        <f t="shared" si="9"/>
        <v>340</v>
      </c>
      <c r="GB5" s="156">
        <f t="shared" ref="GB5:GN5" si="10">GB4*1.25</f>
        <v>0</v>
      </c>
      <c r="GC5" s="156">
        <f t="shared" si="10"/>
        <v>0</v>
      </c>
      <c r="GD5" s="156">
        <f t="shared" si="10"/>
        <v>0</v>
      </c>
      <c r="GE5" s="156">
        <f t="shared" si="10"/>
        <v>388.75</v>
      </c>
      <c r="GF5" s="156">
        <f t="shared" si="10"/>
        <v>0</v>
      </c>
      <c r="GG5" s="156">
        <f t="shared" si="10"/>
        <v>0</v>
      </c>
      <c r="GH5" s="156">
        <f t="shared" si="10"/>
        <v>1017.5</v>
      </c>
      <c r="GI5" s="156">
        <f t="shared" si="10"/>
        <v>0</v>
      </c>
      <c r="GJ5" s="156">
        <f t="shared" si="10"/>
        <v>0</v>
      </c>
      <c r="GK5" s="156">
        <f t="shared" si="10"/>
        <v>0</v>
      </c>
      <c r="GL5" s="156">
        <f t="shared" si="10"/>
        <v>0</v>
      </c>
      <c r="GM5" s="156">
        <f t="shared" si="10"/>
        <v>0</v>
      </c>
      <c r="GN5" s="156">
        <f t="shared" si="10"/>
        <v>0</v>
      </c>
      <c r="GO5" s="156">
        <f t="shared" ref="GO5:GU5" si="11">GO4*1.25</f>
        <v>0</v>
      </c>
      <c r="GP5" s="156">
        <f t="shared" si="11"/>
        <v>0</v>
      </c>
      <c r="GQ5" s="156">
        <f t="shared" si="11"/>
        <v>0</v>
      </c>
      <c r="GR5" s="156">
        <f t="shared" si="11"/>
        <v>0</v>
      </c>
      <c r="GS5" s="156">
        <f t="shared" si="11"/>
        <v>0</v>
      </c>
      <c r="GT5" s="156">
        <f t="shared" si="11"/>
        <v>0</v>
      </c>
      <c r="GU5" s="156">
        <f t="shared" si="11"/>
        <v>0</v>
      </c>
    </row>
    <row r="6" spans="1:203">
      <c r="A6" s="160" t="s">
        <v>209</v>
      </c>
      <c r="B6" s="89">
        <f>SUM(C6:GU6)</f>
        <v>39748.25</v>
      </c>
      <c r="C6" s="158">
        <f>SUM(C3,C5)</f>
        <v>0</v>
      </c>
      <c r="D6" s="158">
        <f t="shared" ref="D6:BO6" si="12">SUM(D3,D5)</f>
        <v>1923.25</v>
      </c>
      <c r="E6" s="158">
        <f t="shared" si="12"/>
        <v>0</v>
      </c>
      <c r="F6" s="158">
        <f t="shared" si="12"/>
        <v>0</v>
      </c>
      <c r="G6" s="158">
        <f t="shared" si="12"/>
        <v>0</v>
      </c>
      <c r="H6" s="158">
        <f t="shared" si="12"/>
        <v>0</v>
      </c>
      <c r="I6" s="158">
        <f t="shared" si="12"/>
        <v>528.75</v>
      </c>
      <c r="J6" s="158">
        <f t="shared" si="12"/>
        <v>0</v>
      </c>
      <c r="K6" s="158">
        <f t="shared" si="12"/>
        <v>0</v>
      </c>
      <c r="L6" s="158">
        <f t="shared" si="12"/>
        <v>157.5</v>
      </c>
      <c r="M6" s="158">
        <f t="shared" si="12"/>
        <v>0</v>
      </c>
      <c r="N6" s="158">
        <f t="shared" si="12"/>
        <v>0</v>
      </c>
      <c r="O6" s="158">
        <f t="shared" si="12"/>
        <v>0</v>
      </c>
      <c r="P6" s="158">
        <f t="shared" si="12"/>
        <v>0</v>
      </c>
      <c r="Q6" s="158">
        <f t="shared" si="12"/>
        <v>0</v>
      </c>
      <c r="R6" s="158">
        <f t="shared" si="12"/>
        <v>0</v>
      </c>
      <c r="S6" s="158">
        <f t="shared" si="12"/>
        <v>0</v>
      </c>
      <c r="T6" s="158">
        <f t="shared" si="12"/>
        <v>0</v>
      </c>
      <c r="U6" s="158">
        <f t="shared" si="12"/>
        <v>0</v>
      </c>
      <c r="V6" s="158">
        <f t="shared" si="12"/>
        <v>496</v>
      </c>
      <c r="W6" s="158">
        <f t="shared" si="12"/>
        <v>0</v>
      </c>
      <c r="X6" s="158">
        <f t="shared" si="12"/>
        <v>0</v>
      </c>
      <c r="Y6" s="158">
        <f t="shared" si="12"/>
        <v>0</v>
      </c>
      <c r="Z6" s="158">
        <f t="shared" si="12"/>
        <v>0</v>
      </c>
      <c r="AA6" s="158">
        <f t="shared" si="12"/>
        <v>0</v>
      </c>
      <c r="AB6" s="158">
        <f t="shared" si="12"/>
        <v>17.5</v>
      </c>
      <c r="AC6" s="158">
        <f t="shared" si="12"/>
        <v>0</v>
      </c>
      <c r="AD6" s="158">
        <f t="shared" si="12"/>
        <v>353.25</v>
      </c>
      <c r="AE6" s="158">
        <f t="shared" si="12"/>
        <v>0</v>
      </c>
      <c r="AF6" s="158">
        <f t="shared" si="12"/>
        <v>0</v>
      </c>
      <c r="AG6" s="158">
        <f t="shared" si="12"/>
        <v>0</v>
      </c>
      <c r="AH6" s="158">
        <f t="shared" si="12"/>
        <v>1167.25</v>
      </c>
      <c r="AI6" s="158">
        <f t="shared" si="12"/>
        <v>2050</v>
      </c>
      <c r="AJ6" s="158">
        <f t="shared" si="12"/>
        <v>367</v>
      </c>
      <c r="AK6" s="158">
        <f t="shared" si="12"/>
        <v>314</v>
      </c>
      <c r="AL6" s="158">
        <f t="shared" si="12"/>
        <v>1657.5</v>
      </c>
      <c r="AM6" s="158">
        <f t="shared" si="12"/>
        <v>0</v>
      </c>
      <c r="AN6" s="158">
        <f t="shared" si="12"/>
        <v>0</v>
      </c>
      <c r="AO6" s="158">
        <f t="shared" si="12"/>
        <v>0</v>
      </c>
      <c r="AP6" s="158">
        <f t="shared" si="12"/>
        <v>0</v>
      </c>
      <c r="AQ6" s="158">
        <f t="shared" si="12"/>
        <v>599.75</v>
      </c>
      <c r="AR6" s="158">
        <f t="shared" si="12"/>
        <v>514.25</v>
      </c>
      <c r="AS6" s="158">
        <f t="shared" si="12"/>
        <v>564.75</v>
      </c>
      <c r="AT6" s="158">
        <f t="shared" si="12"/>
        <v>0</v>
      </c>
      <c r="AU6" s="158">
        <f t="shared" si="12"/>
        <v>0</v>
      </c>
      <c r="AV6" s="158">
        <f t="shared" si="12"/>
        <v>0</v>
      </c>
      <c r="AW6" s="158">
        <f t="shared" si="12"/>
        <v>0</v>
      </c>
      <c r="AX6" s="158">
        <f t="shared" si="12"/>
        <v>0</v>
      </c>
      <c r="AY6" s="158">
        <f t="shared" si="12"/>
        <v>0</v>
      </c>
      <c r="AZ6" s="158">
        <f t="shared" si="12"/>
        <v>0</v>
      </c>
      <c r="BA6" s="158">
        <f t="shared" si="12"/>
        <v>0</v>
      </c>
      <c r="BB6" s="158">
        <f t="shared" si="12"/>
        <v>2285.25</v>
      </c>
      <c r="BC6" s="158">
        <f t="shared" si="12"/>
        <v>0</v>
      </c>
      <c r="BD6" s="158">
        <f t="shared" si="12"/>
        <v>0</v>
      </c>
      <c r="BE6" s="158">
        <f t="shared" si="12"/>
        <v>249</v>
      </c>
      <c r="BF6" s="158">
        <f t="shared" si="12"/>
        <v>0</v>
      </c>
      <c r="BG6" s="158">
        <f t="shared" si="12"/>
        <v>0</v>
      </c>
      <c r="BH6" s="158">
        <f t="shared" si="12"/>
        <v>0</v>
      </c>
      <c r="BI6" s="158">
        <f t="shared" si="12"/>
        <v>0</v>
      </c>
      <c r="BJ6" s="158">
        <f t="shared" si="12"/>
        <v>0</v>
      </c>
      <c r="BK6" s="158">
        <f t="shared" si="12"/>
        <v>0</v>
      </c>
      <c r="BL6" s="158">
        <f t="shared" si="12"/>
        <v>0</v>
      </c>
      <c r="BM6" s="158">
        <f t="shared" si="12"/>
        <v>931.75</v>
      </c>
      <c r="BN6" s="158">
        <f t="shared" si="12"/>
        <v>0</v>
      </c>
      <c r="BO6" s="158">
        <f t="shared" si="12"/>
        <v>0</v>
      </c>
      <c r="BP6" s="158">
        <f t="shared" ref="BP6:EA6" si="13">SUM(BP3,BP5)</f>
        <v>485.5</v>
      </c>
      <c r="BQ6" s="158">
        <f t="shared" si="13"/>
        <v>0</v>
      </c>
      <c r="BR6" s="158">
        <f t="shared" si="13"/>
        <v>0</v>
      </c>
      <c r="BS6" s="158">
        <f t="shared" si="13"/>
        <v>0</v>
      </c>
      <c r="BT6" s="158">
        <f t="shared" si="13"/>
        <v>0</v>
      </c>
      <c r="BU6" s="158">
        <f t="shared" si="13"/>
        <v>121.75</v>
      </c>
      <c r="BV6" s="158">
        <f t="shared" si="13"/>
        <v>0</v>
      </c>
      <c r="BW6" s="158">
        <f t="shared" si="13"/>
        <v>0</v>
      </c>
      <c r="BX6" s="158">
        <f t="shared" si="13"/>
        <v>0</v>
      </c>
      <c r="BY6" s="158">
        <f t="shared" si="13"/>
        <v>0</v>
      </c>
      <c r="BZ6" s="158">
        <f t="shared" si="13"/>
        <v>0</v>
      </c>
      <c r="CA6" s="158">
        <f t="shared" si="13"/>
        <v>386.5</v>
      </c>
      <c r="CB6" s="158">
        <f t="shared" si="13"/>
        <v>0</v>
      </c>
      <c r="CC6" s="158">
        <f t="shared" si="13"/>
        <v>0</v>
      </c>
      <c r="CD6" s="158">
        <f t="shared" si="13"/>
        <v>366.75</v>
      </c>
      <c r="CE6" s="158">
        <f t="shared" si="13"/>
        <v>0</v>
      </c>
      <c r="CF6" s="158">
        <f t="shared" si="13"/>
        <v>0</v>
      </c>
      <c r="CG6" s="158">
        <f t="shared" si="13"/>
        <v>0</v>
      </c>
      <c r="CH6" s="158">
        <f t="shared" si="13"/>
        <v>1518</v>
      </c>
      <c r="CI6" s="158">
        <f t="shared" si="13"/>
        <v>107.5</v>
      </c>
      <c r="CJ6" s="158">
        <f t="shared" si="13"/>
        <v>0</v>
      </c>
      <c r="CK6" s="158">
        <f t="shared" si="13"/>
        <v>0</v>
      </c>
      <c r="CL6" s="158">
        <f t="shared" si="13"/>
        <v>0</v>
      </c>
      <c r="CM6" s="158">
        <f t="shared" si="13"/>
        <v>0</v>
      </c>
      <c r="CN6" s="158">
        <f t="shared" si="13"/>
        <v>32.75</v>
      </c>
      <c r="CO6" s="158">
        <f t="shared" si="13"/>
        <v>1194.25</v>
      </c>
      <c r="CP6" s="158">
        <f t="shared" si="13"/>
        <v>1290</v>
      </c>
      <c r="CQ6" s="158">
        <f t="shared" si="13"/>
        <v>230.75</v>
      </c>
      <c r="CR6" s="158">
        <f t="shared" si="13"/>
        <v>0</v>
      </c>
      <c r="CS6" s="158">
        <f t="shared" si="13"/>
        <v>0</v>
      </c>
      <c r="CT6" s="158">
        <f t="shared" si="13"/>
        <v>125.25</v>
      </c>
      <c r="CU6" s="158">
        <f t="shared" si="13"/>
        <v>567.25</v>
      </c>
      <c r="CV6" s="158">
        <f t="shared" si="13"/>
        <v>0</v>
      </c>
      <c r="CW6" s="158">
        <f t="shared" si="13"/>
        <v>0</v>
      </c>
      <c r="CX6" s="158">
        <f t="shared" si="13"/>
        <v>0</v>
      </c>
      <c r="CY6" s="158">
        <f t="shared" si="13"/>
        <v>0</v>
      </c>
      <c r="CZ6" s="158">
        <f t="shared" si="13"/>
        <v>0</v>
      </c>
      <c r="DA6" s="158">
        <f t="shared" si="13"/>
        <v>3752.75</v>
      </c>
      <c r="DB6" s="158">
        <f t="shared" si="13"/>
        <v>0</v>
      </c>
      <c r="DC6" s="158">
        <f t="shared" si="13"/>
        <v>695.5</v>
      </c>
      <c r="DD6" s="158">
        <f t="shared" si="13"/>
        <v>691.5</v>
      </c>
      <c r="DE6" s="158">
        <f t="shared" si="13"/>
        <v>22.5</v>
      </c>
      <c r="DF6" s="158">
        <f t="shared" si="13"/>
        <v>0</v>
      </c>
      <c r="DG6" s="158">
        <f t="shared" si="13"/>
        <v>0</v>
      </c>
      <c r="DH6" s="158">
        <f t="shared" si="13"/>
        <v>0</v>
      </c>
      <c r="DI6" s="158">
        <f t="shared" si="13"/>
        <v>0</v>
      </c>
      <c r="DJ6" s="158">
        <f t="shared" si="13"/>
        <v>0</v>
      </c>
      <c r="DK6" s="158">
        <f t="shared" si="13"/>
        <v>0</v>
      </c>
      <c r="DL6" s="158">
        <f t="shared" si="13"/>
        <v>613.25</v>
      </c>
      <c r="DM6" s="158">
        <f t="shared" si="13"/>
        <v>207</v>
      </c>
      <c r="DN6" s="158">
        <f t="shared" si="13"/>
        <v>0</v>
      </c>
      <c r="DO6" s="158">
        <f t="shared" si="13"/>
        <v>156.25</v>
      </c>
      <c r="DP6" s="158">
        <f t="shared" si="13"/>
        <v>0</v>
      </c>
      <c r="DQ6" s="158">
        <f t="shared" si="13"/>
        <v>0</v>
      </c>
      <c r="DR6" s="158">
        <f t="shared" si="13"/>
        <v>0</v>
      </c>
      <c r="DS6" s="158">
        <f t="shared" si="13"/>
        <v>0</v>
      </c>
      <c r="DT6" s="158">
        <f t="shared" si="13"/>
        <v>0</v>
      </c>
      <c r="DU6" s="158">
        <f t="shared" si="13"/>
        <v>0</v>
      </c>
      <c r="DV6" s="158">
        <f t="shared" si="13"/>
        <v>0</v>
      </c>
      <c r="DW6" s="158">
        <f t="shared" si="13"/>
        <v>0</v>
      </c>
      <c r="DX6" s="158">
        <f t="shared" si="13"/>
        <v>736.75</v>
      </c>
      <c r="DY6" s="158">
        <f t="shared" si="13"/>
        <v>0</v>
      </c>
      <c r="DZ6" s="158">
        <f t="shared" si="13"/>
        <v>0</v>
      </c>
      <c r="EA6" s="158">
        <f t="shared" si="13"/>
        <v>0</v>
      </c>
      <c r="EB6" s="158">
        <f t="shared" ref="EB6:FP6" si="14">SUM(EB3,EB5)</f>
        <v>0</v>
      </c>
      <c r="EC6" s="158">
        <f t="shared" si="14"/>
        <v>256.25</v>
      </c>
      <c r="ED6" s="158">
        <f t="shared" si="14"/>
        <v>273.75</v>
      </c>
      <c r="EE6" s="158">
        <f t="shared" si="14"/>
        <v>0</v>
      </c>
      <c r="EF6" s="158">
        <f t="shared" si="14"/>
        <v>0</v>
      </c>
      <c r="EG6" s="158">
        <f t="shared" si="14"/>
        <v>541.5</v>
      </c>
      <c r="EH6" s="158">
        <f t="shared" si="14"/>
        <v>0</v>
      </c>
      <c r="EI6" s="158">
        <f t="shared" si="14"/>
        <v>0</v>
      </c>
      <c r="EJ6" s="158">
        <f t="shared" si="14"/>
        <v>429</v>
      </c>
      <c r="EK6" s="158">
        <f t="shared" si="14"/>
        <v>0</v>
      </c>
      <c r="EL6" s="158">
        <f t="shared" si="14"/>
        <v>0</v>
      </c>
      <c r="EM6" s="158">
        <f t="shared" si="14"/>
        <v>0</v>
      </c>
      <c r="EN6" s="158">
        <f t="shared" si="14"/>
        <v>0</v>
      </c>
      <c r="EO6" s="158">
        <f t="shared" si="14"/>
        <v>0</v>
      </c>
      <c r="EP6" s="158">
        <f t="shared" si="14"/>
        <v>0</v>
      </c>
      <c r="EQ6" s="158">
        <f t="shared" si="14"/>
        <v>0</v>
      </c>
      <c r="ER6" s="158">
        <f t="shared" si="14"/>
        <v>0</v>
      </c>
      <c r="ES6" s="158">
        <f t="shared" si="14"/>
        <v>866.25</v>
      </c>
      <c r="ET6" s="158">
        <f t="shared" si="14"/>
        <v>0</v>
      </c>
      <c r="EU6" s="158">
        <f t="shared" si="14"/>
        <v>0</v>
      </c>
      <c r="EV6" s="158">
        <f t="shared" si="14"/>
        <v>0</v>
      </c>
      <c r="EW6" s="158">
        <f t="shared" si="14"/>
        <v>0</v>
      </c>
      <c r="EX6" s="158">
        <f t="shared" si="14"/>
        <v>402.25</v>
      </c>
      <c r="EY6" s="158">
        <f t="shared" si="14"/>
        <v>0</v>
      </c>
      <c r="EZ6" s="158">
        <f t="shared" si="14"/>
        <v>714.5</v>
      </c>
      <c r="FA6" s="158">
        <f t="shared" si="14"/>
        <v>1187</v>
      </c>
      <c r="FB6" s="158">
        <f t="shared" si="14"/>
        <v>0</v>
      </c>
      <c r="FC6" s="158">
        <f t="shared" si="14"/>
        <v>77.5</v>
      </c>
      <c r="FD6" s="158">
        <f t="shared" si="14"/>
        <v>195.75</v>
      </c>
      <c r="FE6" s="158">
        <f t="shared" si="14"/>
        <v>872.25</v>
      </c>
      <c r="FF6" s="158">
        <f t="shared" si="14"/>
        <v>0</v>
      </c>
      <c r="FG6" s="158">
        <f t="shared" si="14"/>
        <v>0</v>
      </c>
      <c r="FH6" s="158">
        <f t="shared" si="14"/>
        <v>0</v>
      </c>
      <c r="FI6" s="158">
        <f t="shared" si="14"/>
        <v>0</v>
      </c>
      <c r="FJ6" s="158">
        <f t="shared" si="14"/>
        <v>0</v>
      </c>
      <c r="FK6" s="158">
        <f t="shared" si="14"/>
        <v>0</v>
      </c>
      <c r="FL6" s="158">
        <f t="shared" si="14"/>
        <v>484.75</v>
      </c>
      <c r="FM6" s="158">
        <f t="shared" si="14"/>
        <v>1626.5</v>
      </c>
      <c r="FN6" s="158">
        <f t="shared" si="14"/>
        <v>201.25</v>
      </c>
      <c r="FO6" s="158">
        <f t="shared" si="14"/>
        <v>0</v>
      </c>
      <c r="FP6" s="158">
        <f t="shared" si="14"/>
        <v>0</v>
      </c>
      <c r="FQ6" s="158">
        <f t="shared" ref="FQ6:GA6" si="15">SUM(FQ3,FQ5)</f>
        <v>0</v>
      </c>
      <c r="FR6" s="158">
        <f t="shared" si="15"/>
        <v>0</v>
      </c>
      <c r="FS6" s="158">
        <f t="shared" si="15"/>
        <v>0</v>
      </c>
      <c r="FT6" s="158">
        <f t="shared" si="15"/>
        <v>0</v>
      </c>
      <c r="FU6" s="158">
        <f t="shared" si="15"/>
        <v>164.5</v>
      </c>
      <c r="FV6" s="158">
        <f t="shared" si="15"/>
        <v>0</v>
      </c>
      <c r="FW6" s="158">
        <f t="shared" si="15"/>
        <v>0</v>
      </c>
      <c r="FX6" s="158">
        <f t="shared" si="15"/>
        <v>263</v>
      </c>
      <c r="FY6" s="158">
        <f t="shared" si="15"/>
        <v>0</v>
      </c>
      <c r="FZ6" s="158">
        <f t="shared" si="15"/>
        <v>749.5</v>
      </c>
      <c r="GA6" s="158">
        <f t="shared" si="15"/>
        <v>412</v>
      </c>
      <c r="GB6" s="158">
        <f t="shared" ref="GB6:GN6" si="16">SUM(GB3,GB5)</f>
        <v>0</v>
      </c>
      <c r="GC6" s="158">
        <f t="shared" si="16"/>
        <v>0</v>
      </c>
      <c r="GD6" s="158">
        <f t="shared" si="16"/>
        <v>0</v>
      </c>
      <c r="GE6" s="158">
        <f t="shared" si="16"/>
        <v>935.5</v>
      </c>
      <c r="GF6" s="158">
        <f t="shared" si="16"/>
        <v>0</v>
      </c>
      <c r="GG6" s="158">
        <f t="shared" si="16"/>
        <v>0</v>
      </c>
      <c r="GH6" s="158">
        <f t="shared" si="16"/>
        <v>1616.75</v>
      </c>
      <c r="GI6" s="158">
        <f t="shared" si="16"/>
        <v>0</v>
      </c>
      <c r="GJ6" s="158">
        <f t="shared" si="16"/>
        <v>0</v>
      </c>
      <c r="GK6" s="158">
        <f t="shared" si="16"/>
        <v>0</v>
      </c>
      <c r="GL6" s="158">
        <f t="shared" si="16"/>
        <v>0</v>
      </c>
      <c r="GM6" s="158">
        <f t="shared" si="16"/>
        <v>0</v>
      </c>
      <c r="GN6" s="158">
        <f t="shared" si="16"/>
        <v>0</v>
      </c>
      <c r="GO6" s="158">
        <f t="shared" ref="GO6:GU6" si="17">SUM(GO3,GO5)</f>
        <v>0</v>
      </c>
      <c r="GP6" s="158">
        <f t="shared" si="17"/>
        <v>0</v>
      </c>
      <c r="GQ6" s="158">
        <f t="shared" si="17"/>
        <v>0</v>
      </c>
      <c r="GR6" s="158">
        <f t="shared" si="17"/>
        <v>0</v>
      </c>
      <c r="GS6" s="158">
        <f t="shared" si="17"/>
        <v>0</v>
      </c>
      <c r="GT6" s="158">
        <f t="shared" si="17"/>
        <v>0</v>
      </c>
      <c r="GU6" s="158">
        <f t="shared" si="17"/>
        <v>0</v>
      </c>
    </row>
    <row r="7" spans="1:203">
      <c r="A7" s="168" t="s">
        <v>233</v>
      </c>
      <c r="B7" s="168">
        <f>SUM(B2,B4)</f>
        <v>41089</v>
      </c>
      <c r="C7" s="168">
        <f>SUM(C2,C4)</f>
        <v>0</v>
      </c>
      <c r="D7" s="168">
        <f t="shared" ref="D7:BO7" si="18">SUM(D2,D4)</f>
        <v>2145</v>
      </c>
      <c r="E7" s="168">
        <f t="shared" si="18"/>
        <v>0</v>
      </c>
      <c r="F7" s="168">
        <f t="shared" si="18"/>
        <v>0</v>
      </c>
      <c r="G7" s="168">
        <f t="shared" si="18"/>
        <v>0</v>
      </c>
      <c r="H7" s="168">
        <f t="shared" si="18"/>
        <v>0</v>
      </c>
      <c r="I7" s="168">
        <f t="shared" si="18"/>
        <v>571</v>
      </c>
      <c r="J7" s="168">
        <f t="shared" si="18"/>
        <v>0</v>
      </c>
      <c r="K7" s="168">
        <f t="shared" si="18"/>
        <v>0</v>
      </c>
      <c r="L7" s="168">
        <f t="shared" si="18"/>
        <v>158</v>
      </c>
      <c r="M7" s="168">
        <f t="shared" si="18"/>
        <v>0</v>
      </c>
      <c r="N7" s="168">
        <f t="shared" si="18"/>
        <v>0</v>
      </c>
      <c r="O7" s="168">
        <f t="shared" si="18"/>
        <v>0</v>
      </c>
      <c r="P7" s="168">
        <f t="shared" si="18"/>
        <v>0</v>
      </c>
      <c r="Q7" s="168">
        <f t="shared" si="18"/>
        <v>0</v>
      </c>
      <c r="R7" s="168">
        <f t="shared" si="18"/>
        <v>0</v>
      </c>
      <c r="S7" s="168">
        <f t="shared" si="18"/>
        <v>0</v>
      </c>
      <c r="T7" s="168">
        <f t="shared" si="18"/>
        <v>0</v>
      </c>
      <c r="U7" s="168">
        <f t="shared" si="18"/>
        <v>0</v>
      </c>
      <c r="V7" s="168">
        <f t="shared" si="18"/>
        <v>400</v>
      </c>
      <c r="W7" s="168">
        <f t="shared" si="18"/>
        <v>0</v>
      </c>
      <c r="X7" s="168">
        <f t="shared" si="18"/>
        <v>0</v>
      </c>
      <c r="Y7" s="168">
        <f t="shared" si="18"/>
        <v>0</v>
      </c>
      <c r="Z7" s="168">
        <f t="shared" si="18"/>
        <v>0</v>
      </c>
      <c r="AA7" s="168">
        <f t="shared" si="18"/>
        <v>0</v>
      </c>
      <c r="AB7" s="168">
        <f t="shared" si="18"/>
        <v>14</v>
      </c>
      <c r="AC7" s="168">
        <f t="shared" si="18"/>
        <v>0</v>
      </c>
      <c r="AD7" s="168">
        <f t="shared" si="18"/>
        <v>385</v>
      </c>
      <c r="AE7" s="168">
        <f t="shared" si="18"/>
        <v>0</v>
      </c>
      <c r="AF7" s="168">
        <f t="shared" si="18"/>
        <v>0</v>
      </c>
      <c r="AG7" s="168">
        <f t="shared" si="18"/>
        <v>0</v>
      </c>
      <c r="AH7" s="168">
        <f t="shared" si="18"/>
        <v>1089</v>
      </c>
      <c r="AI7" s="168">
        <f t="shared" si="18"/>
        <v>2220</v>
      </c>
      <c r="AJ7" s="168">
        <f t="shared" si="18"/>
        <v>422</v>
      </c>
      <c r="AK7" s="168">
        <f t="shared" si="18"/>
        <v>320</v>
      </c>
      <c r="AL7" s="168">
        <f t="shared" si="18"/>
        <v>1768</v>
      </c>
      <c r="AM7" s="168">
        <f t="shared" si="18"/>
        <v>0</v>
      </c>
      <c r="AN7" s="168">
        <f t="shared" si="18"/>
        <v>0</v>
      </c>
      <c r="AO7" s="168">
        <f t="shared" si="18"/>
        <v>0</v>
      </c>
      <c r="AP7" s="168">
        <f t="shared" si="18"/>
        <v>0</v>
      </c>
      <c r="AQ7" s="168">
        <f t="shared" si="18"/>
        <v>789</v>
      </c>
      <c r="AR7" s="168">
        <f t="shared" si="18"/>
        <v>551</v>
      </c>
      <c r="AS7" s="168">
        <f t="shared" si="18"/>
        <v>615</v>
      </c>
      <c r="AT7" s="168">
        <f t="shared" si="18"/>
        <v>0</v>
      </c>
      <c r="AU7" s="168">
        <f t="shared" si="18"/>
        <v>0</v>
      </c>
      <c r="AV7" s="168">
        <f t="shared" si="18"/>
        <v>0</v>
      </c>
      <c r="AW7" s="168">
        <f t="shared" si="18"/>
        <v>0</v>
      </c>
      <c r="AX7" s="168">
        <f t="shared" si="18"/>
        <v>0</v>
      </c>
      <c r="AY7" s="168">
        <f t="shared" si="18"/>
        <v>0</v>
      </c>
      <c r="AZ7" s="168">
        <f t="shared" si="18"/>
        <v>0</v>
      </c>
      <c r="BA7" s="168">
        <f t="shared" si="18"/>
        <v>0</v>
      </c>
      <c r="BB7" s="168">
        <f t="shared" si="18"/>
        <v>2467</v>
      </c>
      <c r="BC7" s="168">
        <f t="shared" si="18"/>
        <v>0</v>
      </c>
      <c r="BD7" s="168">
        <f t="shared" si="18"/>
        <v>0</v>
      </c>
      <c r="BE7" s="168">
        <f t="shared" si="18"/>
        <v>266</v>
      </c>
      <c r="BF7" s="168">
        <f t="shared" si="18"/>
        <v>0</v>
      </c>
      <c r="BG7" s="168">
        <f t="shared" si="18"/>
        <v>0</v>
      </c>
      <c r="BH7" s="168">
        <f t="shared" si="18"/>
        <v>0</v>
      </c>
      <c r="BI7" s="168">
        <f t="shared" si="18"/>
        <v>0</v>
      </c>
      <c r="BJ7" s="168">
        <f t="shared" si="18"/>
        <v>0</v>
      </c>
      <c r="BK7" s="168">
        <f t="shared" si="18"/>
        <v>0</v>
      </c>
      <c r="BL7" s="168">
        <f t="shared" si="18"/>
        <v>0</v>
      </c>
      <c r="BM7" s="168">
        <f t="shared" si="18"/>
        <v>1015</v>
      </c>
      <c r="BN7" s="168">
        <f t="shared" si="18"/>
        <v>0</v>
      </c>
      <c r="BO7" s="168">
        <f t="shared" si="18"/>
        <v>0</v>
      </c>
      <c r="BP7" s="168">
        <f t="shared" ref="BP7:EA7" si="19">SUM(BP2,BP4)</f>
        <v>536</v>
      </c>
      <c r="BQ7" s="168">
        <f t="shared" si="19"/>
        <v>0</v>
      </c>
      <c r="BR7" s="168">
        <f t="shared" si="19"/>
        <v>0</v>
      </c>
      <c r="BS7" s="168">
        <f t="shared" si="19"/>
        <v>0</v>
      </c>
      <c r="BT7" s="168">
        <f t="shared" si="19"/>
        <v>0</v>
      </c>
      <c r="BU7" s="168">
        <f t="shared" si="19"/>
        <v>127</v>
      </c>
      <c r="BV7" s="168">
        <f t="shared" si="19"/>
        <v>0</v>
      </c>
      <c r="BW7" s="168">
        <f t="shared" si="19"/>
        <v>0</v>
      </c>
      <c r="BX7" s="168">
        <f t="shared" si="19"/>
        <v>0</v>
      </c>
      <c r="BY7" s="168">
        <f t="shared" si="19"/>
        <v>0</v>
      </c>
      <c r="BZ7" s="168">
        <f t="shared" si="19"/>
        <v>0</v>
      </c>
      <c r="CA7" s="168">
        <f t="shared" si="19"/>
        <v>406</v>
      </c>
      <c r="CB7" s="168">
        <f t="shared" si="19"/>
        <v>0</v>
      </c>
      <c r="CC7" s="168">
        <f t="shared" si="19"/>
        <v>0</v>
      </c>
      <c r="CD7" s="168">
        <f t="shared" si="19"/>
        <v>383</v>
      </c>
      <c r="CE7" s="168">
        <f t="shared" si="19"/>
        <v>0</v>
      </c>
      <c r="CF7" s="168">
        <f t="shared" si="19"/>
        <v>0</v>
      </c>
      <c r="CG7" s="168">
        <f t="shared" si="19"/>
        <v>0</v>
      </c>
      <c r="CH7" s="168">
        <f t="shared" si="19"/>
        <v>1630</v>
      </c>
      <c r="CI7" s="168">
        <f t="shared" si="19"/>
        <v>96</v>
      </c>
      <c r="CJ7" s="168">
        <f t="shared" si="19"/>
        <v>0</v>
      </c>
      <c r="CK7" s="168">
        <f t="shared" si="19"/>
        <v>0</v>
      </c>
      <c r="CL7" s="168">
        <f t="shared" si="19"/>
        <v>0</v>
      </c>
      <c r="CM7" s="168">
        <f t="shared" si="19"/>
        <v>0</v>
      </c>
      <c r="CN7" s="168">
        <f t="shared" si="19"/>
        <v>37</v>
      </c>
      <c r="CO7" s="168">
        <f t="shared" si="19"/>
        <v>1457</v>
      </c>
      <c r="CP7" s="168">
        <f t="shared" si="19"/>
        <v>1346</v>
      </c>
      <c r="CQ7" s="168">
        <f t="shared" si="19"/>
        <v>241</v>
      </c>
      <c r="CR7" s="168">
        <f t="shared" si="19"/>
        <v>0</v>
      </c>
      <c r="CS7" s="168">
        <f t="shared" si="19"/>
        <v>0</v>
      </c>
      <c r="CT7" s="168">
        <f t="shared" si="19"/>
        <v>109</v>
      </c>
      <c r="CU7" s="168">
        <f t="shared" si="19"/>
        <v>717</v>
      </c>
      <c r="CV7" s="168">
        <f t="shared" si="19"/>
        <v>0</v>
      </c>
      <c r="CW7" s="168">
        <f t="shared" si="19"/>
        <v>0</v>
      </c>
      <c r="CX7" s="168">
        <f t="shared" si="19"/>
        <v>0</v>
      </c>
      <c r="CY7" s="168">
        <f t="shared" si="19"/>
        <v>0</v>
      </c>
      <c r="CZ7" s="168">
        <f t="shared" si="19"/>
        <v>0</v>
      </c>
      <c r="DA7" s="168">
        <f t="shared" si="19"/>
        <v>3225</v>
      </c>
      <c r="DB7" s="168">
        <f t="shared" si="19"/>
        <v>0</v>
      </c>
      <c r="DC7" s="168">
        <f t="shared" si="19"/>
        <v>664</v>
      </c>
      <c r="DD7" s="168">
        <f t="shared" si="19"/>
        <v>556</v>
      </c>
      <c r="DE7" s="168">
        <f t="shared" si="19"/>
        <v>18</v>
      </c>
      <c r="DF7" s="168">
        <f t="shared" si="19"/>
        <v>0</v>
      </c>
      <c r="DG7" s="168">
        <f t="shared" si="19"/>
        <v>0</v>
      </c>
      <c r="DH7" s="168">
        <f t="shared" si="19"/>
        <v>0</v>
      </c>
      <c r="DI7" s="168">
        <f t="shared" si="19"/>
        <v>0</v>
      </c>
      <c r="DJ7" s="168">
        <f t="shared" si="19"/>
        <v>0</v>
      </c>
      <c r="DK7" s="168">
        <f t="shared" si="19"/>
        <v>0</v>
      </c>
      <c r="DL7" s="168">
        <f t="shared" si="19"/>
        <v>513</v>
      </c>
      <c r="DM7" s="168">
        <f t="shared" si="19"/>
        <v>196</v>
      </c>
      <c r="DN7" s="168">
        <f t="shared" si="19"/>
        <v>0</v>
      </c>
      <c r="DO7" s="168">
        <f t="shared" si="19"/>
        <v>137</v>
      </c>
      <c r="DP7" s="168">
        <f t="shared" si="19"/>
        <v>0</v>
      </c>
      <c r="DQ7" s="168">
        <f t="shared" si="19"/>
        <v>0</v>
      </c>
      <c r="DR7" s="168">
        <f t="shared" si="19"/>
        <v>0</v>
      </c>
      <c r="DS7" s="168">
        <f t="shared" si="19"/>
        <v>0</v>
      </c>
      <c r="DT7" s="168">
        <f t="shared" si="19"/>
        <v>0</v>
      </c>
      <c r="DU7" s="168">
        <f t="shared" si="19"/>
        <v>0</v>
      </c>
      <c r="DV7" s="168">
        <f t="shared" si="19"/>
        <v>0</v>
      </c>
      <c r="DW7" s="168">
        <f t="shared" si="19"/>
        <v>0</v>
      </c>
      <c r="DX7" s="168">
        <f t="shared" si="19"/>
        <v>653</v>
      </c>
      <c r="DY7" s="168">
        <f t="shared" si="19"/>
        <v>0</v>
      </c>
      <c r="DZ7" s="168">
        <f t="shared" si="19"/>
        <v>0</v>
      </c>
      <c r="EA7" s="168">
        <f t="shared" si="19"/>
        <v>0</v>
      </c>
      <c r="EB7" s="168">
        <f t="shared" ref="EB7:GA7" si="20">SUM(EB2,EB4)</f>
        <v>0</v>
      </c>
      <c r="EC7" s="168">
        <f t="shared" si="20"/>
        <v>283</v>
      </c>
      <c r="ED7" s="168">
        <f t="shared" si="20"/>
        <v>267</v>
      </c>
      <c r="EE7" s="168">
        <f t="shared" si="20"/>
        <v>0</v>
      </c>
      <c r="EF7" s="168">
        <f t="shared" si="20"/>
        <v>0</v>
      </c>
      <c r="EG7" s="168">
        <f t="shared" si="20"/>
        <v>542</v>
      </c>
      <c r="EH7" s="168">
        <f t="shared" si="20"/>
        <v>0</v>
      </c>
      <c r="EI7" s="168">
        <f t="shared" si="20"/>
        <v>0</v>
      </c>
      <c r="EJ7" s="168">
        <f t="shared" si="20"/>
        <v>504</v>
      </c>
      <c r="EK7" s="168">
        <f t="shared" si="20"/>
        <v>0</v>
      </c>
      <c r="EL7" s="168">
        <f t="shared" si="20"/>
        <v>0</v>
      </c>
      <c r="EM7" s="168">
        <f t="shared" si="20"/>
        <v>0</v>
      </c>
      <c r="EN7" s="168">
        <f t="shared" si="20"/>
        <v>0</v>
      </c>
      <c r="EO7" s="168">
        <f t="shared" si="20"/>
        <v>0</v>
      </c>
      <c r="EP7" s="168">
        <f t="shared" si="20"/>
        <v>0</v>
      </c>
      <c r="EQ7" s="168">
        <f t="shared" si="20"/>
        <v>0</v>
      </c>
      <c r="ER7" s="168">
        <f t="shared" si="20"/>
        <v>0</v>
      </c>
      <c r="ES7" s="168">
        <f t="shared" si="20"/>
        <v>891</v>
      </c>
      <c r="ET7" s="168">
        <f t="shared" si="20"/>
        <v>0</v>
      </c>
      <c r="EU7" s="168">
        <f t="shared" si="20"/>
        <v>0</v>
      </c>
      <c r="EV7" s="168">
        <f t="shared" si="20"/>
        <v>0</v>
      </c>
      <c r="EW7" s="168">
        <f t="shared" si="20"/>
        <v>0</v>
      </c>
      <c r="EX7" s="168">
        <f t="shared" si="20"/>
        <v>445</v>
      </c>
      <c r="EY7" s="168">
        <f t="shared" si="20"/>
        <v>0</v>
      </c>
      <c r="EZ7" s="168">
        <f t="shared" si="20"/>
        <v>744</v>
      </c>
      <c r="FA7" s="168">
        <f t="shared" si="20"/>
        <v>1302</v>
      </c>
      <c r="FB7" s="168">
        <f t="shared" si="20"/>
        <v>0</v>
      </c>
      <c r="FC7" s="168">
        <f t="shared" si="20"/>
        <v>88</v>
      </c>
      <c r="FD7" s="168">
        <f t="shared" si="20"/>
        <v>157</v>
      </c>
      <c r="FE7" s="168">
        <f t="shared" si="20"/>
        <v>919</v>
      </c>
      <c r="FF7" s="168">
        <f t="shared" si="20"/>
        <v>0</v>
      </c>
      <c r="FG7" s="168">
        <f t="shared" si="20"/>
        <v>0</v>
      </c>
      <c r="FH7" s="168">
        <f t="shared" si="20"/>
        <v>0</v>
      </c>
      <c r="FI7" s="168">
        <f t="shared" si="20"/>
        <v>0</v>
      </c>
      <c r="FJ7" s="168">
        <f t="shared" si="20"/>
        <v>0</v>
      </c>
      <c r="FK7" s="168">
        <f t="shared" si="20"/>
        <v>0</v>
      </c>
      <c r="FL7" s="168">
        <f t="shared" si="20"/>
        <v>481</v>
      </c>
      <c r="FM7" s="168">
        <f t="shared" si="20"/>
        <v>1802</v>
      </c>
      <c r="FN7" s="168">
        <f t="shared" si="20"/>
        <v>189</v>
      </c>
      <c r="FO7" s="168">
        <f t="shared" si="20"/>
        <v>0</v>
      </c>
      <c r="FP7" s="168">
        <f t="shared" si="20"/>
        <v>0</v>
      </c>
      <c r="FQ7" s="168">
        <f t="shared" si="20"/>
        <v>0</v>
      </c>
      <c r="FR7" s="168">
        <f t="shared" si="20"/>
        <v>0</v>
      </c>
      <c r="FS7" s="168">
        <f t="shared" si="20"/>
        <v>0</v>
      </c>
      <c r="FT7" s="168">
        <f t="shared" si="20"/>
        <v>0</v>
      </c>
      <c r="FU7" s="168">
        <f t="shared" si="20"/>
        <v>168</v>
      </c>
      <c r="FV7" s="168">
        <f t="shared" si="20"/>
        <v>0</v>
      </c>
      <c r="FW7" s="168">
        <f t="shared" si="20"/>
        <v>0</v>
      </c>
      <c r="FX7" s="168">
        <f t="shared" si="20"/>
        <v>222</v>
      </c>
      <c r="FY7" s="168">
        <f t="shared" si="20"/>
        <v>0</v>
      </c>
      <c r="FZ7" s="168">
        <f t="shared" si="20"/>
        <v>822</v>
      </c>
      <c r="GA7" s="168">
        <f t="shared" si="20"/>
        <v>368</v>
      </c>
      <c r="GB7" s="168">
        <f t="shared" ref="GB7:GU7" si="21">SUM(GB2,GB4)</f>
        <v>0</v>
      </c>
      <c r="GC7" s="168">
        <f t="shared" si="21"/>
        <v>0</v>
      </c>
      <c r="GD7" s="168">
        <f t="shared" si="21"/>
        <v>0</v>
      </c>
      <c r="GE7" s="168">
        <f t="shared" si="21"/>
        <v>1040</v>
      </c>
      <c r="GF7" s="168">
        <f t="shared" si="21"/>
        <v>0</v>
      </c>
      <c r="GG7" s="168">
        <f t="shared" si="21"/>
        <v>0</v>
      </c>
      <c r="GH7" s="168">
        <f t="shared" si="21"/>
        <v>1613</v>
      </c>
      <c r="GI7" s="168">
        <f t="shared" si="21"/>
        <v>0</v>
      </c>
      <c r="GJ7" s="168">
        <f t="shared" si="21"/>
        <v>0</v>
      </c>
      <c r="GK7" s="168">
        <f t="shared" si="21"/>
        <v>0</v>
      </c>
      <c r="GL7" s="168">
        <f t="shared" si="21"/>
        <v>0</v>
      </c>
      <c r="GM7" s="168">
        <f t="shared" si="21"/>
        <v>0</v>
      </c>
      <c r="GN7" s="168">
        <f t="shared" si="21"/>
        <v>0</v>
      </c>
      <c r="GO7" s="168">
        <f t="shared" si="21"/>
        <v>0</v>
      </c>
      <c r="GP7" s="168">
        <f t="shared" si="21"/>
        <v>0</v>
      </c>
      <c r="GQ7" s="168">
        <f t="shared" si="21"/>
        <v>0</v>
      </c>
      <c r="GR7" s="168">
        <f t="shared" si="21"/>
        <v>0</v>
      </c>
      <c r="GS7" s="168">
        <f t="shared" si="21"/>
        <v>0</v>
      </c>
      <c r="GT7" s="168">
        <f t="shared" si="21"/>
        <v>0</v>
      </c>
      <c r="GU7" s="168">
        <f t="shared" si="21"/>
        <v>0</v>
      </c>
    </row>
    <row r="8" spans="1:203">
      <c r="B8" s="168">
        <f>'Datavant Data'!A5</f>
        <v>23226</v>
      </c>
    </row>
    <row r="9" spans="1:203">
      <c r="B9" s="168">
        <f>'Datavant Data'!A6</f>
        <v>17863</v>
      </c>
    </row>
    <row r="10" spans="1:203">
      <c r="B10" s="168">
        <f>B2-B8</f>
        <v>0</v>
      </c>
    </row>
    <row r="11" spans="1:203">
      <c r="B11" s="168">
        <f>B4-B9</f>
        <v>0</v>
      </c>
      <c r="DS11" s="165"/>
      <c r="DT11" s="58"/>
    </row>
    <row r="12" spans="1:203">
      <c r="DT12" s="58"/>
    </row>
    <row r="13" spans="1:203">
      <c r="DT13" s="58"/>
    </row>
    <row r="14" spans="1:203">
      <c r="DT14" s="166"/>
    </row>
  </sheetData>
  <conditionalFormatting sqref="C2:GU5">
    <cfRule type="cellIs" dxfId="29" priority="5" operator="greaterThan">
      <formula>0</formula>
    </cfRule>
    <cfRule type="cellIs" dxfId="28" priority="6" operator="lessThan">
      <formula>1</formula>
    </cfRule>
  </conditionalFormatting>
  <conditionalFormatting sqref="DS11">
    <cfRule type="cellIs" dxfId="27" priority="2" operator="greaterThan">
      <formula>0</formula>
    </cfRule>
    <cfRule type="cellIs" dxfId="26" priority="3" operator="lessThan">
      <formula>1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20C1D67A-627C-492B-BD20-67F599A45CAE}">
            <xm:f>NOT(ISERROR(SEARCH("-",C2)))</xm:f>
            <xm:f>"-"</xm:f>
            <x14:dxf>
              <fill>
                <patternFill>
                  <bgColor rgb="FFFFFF00"/>
                </patternFill>
              </fill>
            </x14:dxf>
          </x14:cfRule>
          <xm:sqref>C2:GU5</xm:sqref>
        </x14:conditionalFormatting>
        <x14:conditionalFormatting xmlns:xm="http://schemas.microsoft.com/office/excel/2006/main">
          <x14:cfRule type="containsText" priority="1" operator="containsText" id="{94B1FDD8-C72E-4B9D-B075-02C5D1FBAC21}">
            <xm:f>NOT(ISERROR(SEARCH("-",DS11)))</xm:f>
            <xm:f>"-"</xm:f>
            <x14:dxf>
              <fill>
                <patternFill>
                  <bgColor rgb="FFFFFF00"/>
                </patternFill>
              </fill>
            </x14:dxf>
          </x14:cfRule>
          <xm:sqref>DS11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EFD1-DC35-4905-A9BC-13CEB46FE442}">
  <sheetPr>
    <tabColor rgb="FFFFFF00"/>
  </sheetPr>
  <dimension ref="A1:BF9"/>
  <sheetViews>
    <sheetView workbookViewId="0">
      <pane xSplit="1" ySplit="1" topLeftCell="B2" activePane="bottomRight" state="frozen"/>
      <selection pane="bottomRight" activeCell="A10" sqref="A10"/>
      <selection pane="bottomLeft" activeCell="A2" sqref="A2"/>
      <selection pane="topRight" activeCell="B1" sqref="B1"/>
    </sheetView>
  </sheetViews>
  <sheetFormatPr defaultColWidth="8.85546875" defaultRowHeight="14.45"/>
  <cols>
    <col min="1" max="1" width="36.140625" style="161" bestFit="1" customWidth="1"/>
    <col min="2" max="2" width="14.85546875" style="161" bestFit="1" customWidth="1"/>
    <col min="3" max="3" width="15.85546875" style="161" bestFit="1" customWidth="1"/>
    <col min="4" max="4" width="12.7109375" style="161" bestFit="1" customWidth="1"/>
    <col min="5" max="5" width="14.7109375" style="161" bestFit="1" customWidth="1"/>
    <col min="6" max="6" width="21.7109375" style="161" bestFit="1" customWidth="1"/>
    <col min="7" max="7" width="15.85546875" style="161" bestFit="1" customWidth="1"/>
    <col min="8" max="8" width="13.42578125" style="161" bestFit="1" customWidth="1"/>
    <col min="9" max="9" width="24.7109375" style="161" bestFit="1" customWidth="1"/>
    <col min="10" max="10" width="20.85546875" style="161" bestFit="1" customWidth="1"/>
    <col min="11" max="11" width="10" style="161" bestFit="1" customWidth="1"/>
    <col min="12" max="12" width="22.85546875" style="161" bestFit="1" customWidth="1"/>
    <col min="13" max="13" width="14.7109375" style="161" bestFit="1" customWidth="1"/>
    <col min="14" max="14" width="12" style="161" bestFit="1" customWidth="1"/>
    <col min="15" max="15" width="10.28515625" style="161" bestFit="1" customWidth="1"/>
    <col min="16" max="16" width="9.7109375" style="161" bestFit="1" customWidth="1"/>
    <col min="17" max="17" width="9.28515625" style="161" bestFit="1" customWidth="1"/>
    <col min="18" max="18" width="10.28515625" style="161" bestFit="1" customWidth="1"/>
    <col min="19" max="19" width="15.5703125" style="161" bestFit="1" customWidth="1"/>
    <col min="20" max="20" width="10.42578125" style="161" bestFit="1" customWidth="1"/>
    <col min="21" max="21" width="12.7109375" style="161" bestFit="1" customWidth="1"/>
    <col min="22" max="22" width="12" style="161" bestFit="1" customWidth="1"/>
    <col min="23" max="23" width="11.42578125" style="161" bestFit="1" customWidth="1"/>
    <col min="24" max="24" width="14.85546875" style="161" bestFit="1" customWidth="1"/>
    <col min="25" max="25" width="26.5703125" style="161" bestFit="1" customWidth="1"/>
    <col min="26" max="26" width="13.140625" style="161" bestFit="1" customWidth="1"/>
    <col min="27" max="27" width="14.85546875" style="161" bestFit="1" customWidth="1"/>
    <col min="28" max="28" width="16.7109375" style="161" bestFit="1" customWidth="1"/>
    <col min="29" max="29" width="14.28515625" style="161" bestFit="1" customWidth="1"/>
    <col min="30" max="30" width="13.28515625" style="161" bestFit="1" customWidth="1"/>
    <col min="31" max="31" width="15.7109375" style="161" bestFit="1" customWidth="1"/>
    <col min="32" max="32" width="19.5703125" style="161" bestFit="1" customWidth="1"/>
    <col min="33" max="33" width="23.28515625" style="161" bestFit="1" customWidth="1"/>
    <col min="34" max="34" width="16.85546875" style="161" bestFit="1" customWidth="1"/>
    <col min="35" max="35" width="20.28515625" style="161" bestFit="1" customWidth="1"/>
    <col min="36" max="36" width="17.28515625" style="161" bestFit="1" customWidth="1"/>
    <col min="37" max="37" width="19" style="161" bestFit="1" customWidth="1"/>
    <col min="38" max="38" width="14.85546875" style="161" bestFit="1" customWidth="1"/>
    <col min="39" max="39" width="26.28515625" style="161" bestFit="1" customWidth="1"/>
    <col min="40" max="40" width="15.28515625" style="161" bestFit="1" customWidth="1"/>
    <col min="41" max="41" width="12.140625" style="161" bestFit="1" customWidth="1"/>
    <col min="42" max="42" width="19.42578125" style="161" bestFit="1" customWidth="1"/>
    <col min="43" max="43" width="14.7109375" style="161" bestFit="1" customWidth="1"/>
    <col min="44" max="44" width="13.28515625" style="161" bestFit="1" customWidth="1"/>
    <col min="45" max="45" width="19.28515625" style="161" bestFit="1" customWidth="1"/>
    <col min="46" max="46" width="15.28515625" style="161" bestFit="1" customWidth="1"/>
    <col min="47" max="47" width="12.7109375" style="161" bestFit="1" customWidth="1"/>
    <col min="48" max="48" width="11.28515625" style="161" bestFit="1" customWidth="1"/>
    <col min="49" max="49" width="13.28515625" style="161" bestFit="1" customWidth="1"/>
    <col min="50" max="50" width="13.42578125" style="161" bestFit="1" customWidth="1"/>
    <col min="51" max="51" width="24.85546875" style="161" bestFit="1" customWidth="1"/>
    <col min="52" max="52" width="16.7109375" style="161" bestFit="1" customWidth="1"/>
    <col min="53" max="53" width="11.42578125" style="161" bestFit="1" customWidth="1"/>
    <col min="54" max="55" width="12.28515625" style="161" bestFit="1" customWidth="1"/>
    <col min="56" max="56" width="10.42578125" style="161" bestFit="1" customWidth="1"/>
    <col min="57" max="57" width="19" style="161" bestFit="1" customWidth="1"/>
    <col min="58" max="58" width="21" style="161" bestFit="1" customWidth="1"/>
    <col min="59" max="16384" width="8.85546875" style="161"/>
  </cols>
  <sheetData>
    <row r="1" spans="1:58">
      <c r="A1" s="39" t="s">
        <v>234</v>
      </c>
      <c r="B1" s="39" t="s">
        <v>5</v>
      </c>
      <c r="C1" s="39" t="s">
        <v>10</v>
      </c>
      <c r="D1" s="39" t="s">
        <v>13</v>
      </c>
      <c r="E1" s="39" t="s">
        <v>23</v>
      </c>
      <c r="F1" s="39" t="s">
        <v>29</v>
      </c>
      <c r="G1" s="39" t="s">
        <v>31</v>
      </c>
      <c r="H1" s="39" t="s">
        <v>35</v>
      </c>
      <c r="I1" s="39" t="s">
        <v>36</v>
      </c>
      <c r="J1" s="39" t="s">
        <v>37</v>
      </c>
      <c r="K1" s="39" t="s">
        <v>38</v>
      </c>
      <c r="L1" s="39" t="s">
        <v>235</v>
      </c>
      <c r="M1" s="39" t="s">
        <v>44</v>
      </c>
      <c r="N1" s="39" t="s">
        <v>45</v>
      </c>
      <c r="O1" s="39" t="s">
        <v>46</v>
      </c>
      <c r="P1" s="39" t="s">
        <v>55</v>
      </c>
      <c r="Q1" s="39" t="s">
        <v>58</v>
      </c>
      <c r="R1" s="39" t="s">
        <v>66</v>
      </c>
      <c r="S1" s="39" t="s">
        <v>69</v>
      </c>
      <c r="T1" s="39" t="s">
        <v>74</v>
      </c>
      <c r="U1" s="39" t="s">
        <v>80</v>
      </c>
      <c r="V1" s="145" t="s">
        <v>83</v>
      </c>
      <c r="W1" s="39" t="s">
        <v>87</v>
      </c>
      <c r="X1" s="39" t="s">
        <v>88</v>
      </c>
      <c r="Y1" s="39" t="s">
        <v>93</v>
      </c>
      <c r="Z1" s="145" t="s">
        <v>94</v>
      </c>
      <c r="AA1" s="39" t="s">
        <v>95</v>
      </c>
      <c r="AB1" s="39" t="s">
        <v>96</v>
      </c>
      <c r="AC1" s="39" t="s">
        <v>99</v>
      </c>
      <c r="AD1" s="39" t="s">
        <v>100</v>
      </c>
      <c r="AE1" s="39" t="s">
        <v>106</v>
      </c>
      <c r="AF1" s="39" t="s">
        <v>108</v>
      </c>
      <c r="AG1" s="39" t="s">
        <v>109</v>
      </c>
      <c r="AH1" s="39" t="s">
        <v>110</v>
      </c>
      <c r="AI1" s="39" t="s">
        <v>117</v>
      </c>
      <c r="AJ1" s="39" t="s">
        <v>118</v>
      </c>
      <c r="AK1" s="39" t="s">
        <v>120</v>
      </c>
      <c r="AL1" s="39" t="s">
        <v>129</v>
      </c>
      <c r="AM1" s="39" t="s">
        <v>134</v>
      </c>
      <c r="AN1" s="39" t="s">
        <v>135</v>
      </c>
      <c r="AO1" s="39" t="s">
        <v>138</v>
      </c>
      <c r="AP1" s="39" t="s">
        <v>141</v>
      </c>
      <c r="AQ1" s="39" t="s">
        <v>150</v>
      </c>
      <c r="AR1" s="39" t="s">
        <v>155</v>
      </c>
      <c r="AS1" s="39" t="s">
        <v>157</v>
      </c>
      <c r="AT1" s="39" t="s">
        <v>158</v>
      </c>
      <c r="AU1" s="39" t="s">
        <v>160</v>
      </c>
      <c r="AV1" s="39" t="s">
        <v>161</v>
      </c>
      <c r="AW1" s="39" t="s">
        <v>162</v>
      </c>
      <c r="AX1" s="39" t="s">
        <v>169</v>
      </c>
      <c r="AY1" s="39" t="s">
        <v>170</v>
      </c>
      <c r="AZ1" s="39" t="s">
        <v>171</v>
      </c>
      <c r="BA1" s="39" t="s">
        <v>236</v>
      </c>
      <c r="BB1" s="39" t="s">
        <v>237</v>
      </c>
      <c r="BC1" s="39" t="s">
        <v>183</v>
      </c>
      <c r="BD1" s="39" t="s">
        <v>184</v>
      </c>
      <c r="BE1" s="39" t="s">
        <v>188</v>
      </c>
      <c r="BF1" s="161" t="s">
        <v>191</v>
      </c>
    </row>
    <row r="2" spans="1:58">
      <c r="A2" s="39" t="s">
        <v>238</v>
      </c>
      <c r="B2" s="39">
        <v>1516</v>
      </c>
      <c r="C2" s="39">
        <v>370</v>
      </c>
      <c r="D2" s="39">
        <v>80</v>
      </c>
      <c r="E2" s="39">
        <v>8</v>
      </c>
      <c r="F2" s="39">
        <v>0</v>
      </c>
      <c r="G2" s="39">
        <v>256</v>
      </c>
      <c r="H2" s="39">
        <v>388</v>
      </c>
      <c r="I2" s="39">
        <v>1450</v>
      </c>
      <c r="J2" s="39">
        <v>321</v>
      </c>
      <c r="K2" s="39">
        <v>172</v>
      </c>
      <c r="L2" s="39">
        <v>1105</v>
      </c>
      <c r="M2" s="39">
        <v>773</v>
      </c>
      <c r="N2" s="39">
        <v>349</v>
      </c>
      <c r="O2" s="39">
        <v>408</v>
      </c>
      <c r="P2" s="39">
        <v>1597</v>
      </c>
      <c r="Q2" s="39">
        <v>167</v>
      </c>
      <c r="R2" s="39">
        <v>674</v>
      </c>
      <c r="S2" s="39">
        <v>369</v>
      </c>
      <c r="T2" s="39">
        <v>74</v>
      </c>
      <c r="U2" s="39">
        <v>242</v>
      </c>
      <c r="V2" s="39">
        <v>224</v>
      </c>
      <c r="W2" s="39">
        <v>1039</v>
      </c>
      <c r="X2" s="39">
        <v>25</v>
      </c>
      <c r="Y2" s="39">
        <v>27</v>
      </c>
      <c r="Z2" s="39">
        <v>1254</v>
      </c>
      <c r="AA2" s="39">
        <v>785</v>
      </c>
      <c r="AB2" s="39">
        <v>141</v>
      </c>
      <c r="AC2" s="39">
        <v>22</v>
      </c>
      <c r="AD2" s="39">
        <v>658</v>
      </c>
      <c r="AE2" s="39">
        <v>557</v>
      </c>
      <c r="AF2" s="39">
        <v>269</v>
      </c>
      <c r="AG2" s="39">
        <v>7</v>
      </c>
      <c r="AH2" s="39">
        <v>0</v>
      </c>
      <c r="AI2" s="39">
        <v>56</v>
      </c>
      <c r="AJ2" s="39">
        <v>76</v>
      </c>
      <c r="AK2" s="39">
        <v>30</v>
      </c>
      <c r="AL2" s="39">
        <v>159</v>
      </c>
      <c r="AM2" s="39">
        <v>195</v>
      </c>
      <c r="AN2" s="39">
        <v>120</v>
      </c>
      <c r="AO2" s="39">
        <v>272</v>
      </c>
      <c r="AP2" s="39">
        <v>402</v>
      </c>
      <c r="AQ2" s="39">
        <v>495</v>
      </c>
      <c r="AR2" s="39">
        <v>308</v>
      </c>
      <c r="AS2" s="39">
        <v>431</v>
      </c>
      <c r="AT2" s="39">
        <v>881</v>
      </c>
      <c r="AU2" s="39">
        <v>65</v>
      </c>
      <c r="AV2" s="39">
        <v>1</v>
      </c>
      <c r="AW2" s="39">
        <v>553</v>
      </c>
      <c r="AX2" s="39">
        <v>233</v>
      </c>
      <c r="AY2" s="39">
        <v>1252</v>
      </c>
      <c r="AZ2" s="39">
        <v>70</v>
      </c>
      <c r="BA2" s="39">
        <v>91</v>
      </c>
      <c r="BB2" s="39">
        <v>29</v>
      </c>
      <c r="BC2" s="39">
        <v>556</v>
      </c>
      <c r="BD2" s="39">
        <v>96</v>
      </c>
      <c r="BE2" s="39">
        <v>729</v>
      </c>
      <c r="BF2" s="161">
        <v>799</v>
      </c>
    </row>
    <row r="3" spans="1:58">
      <c r="A3" s="39" t="s">
        <v>239</v>
      </c>
      <c r="B3" s="39">
        <v>629</v>
      </c>
      <c r="C3" s="39">
        <v>201</v>
      </c>
      <c r="D3" s="39">
        <v>78</v>
      </c>
      <c r="E3" s="39">
        <v>392</v>
      </c>
      <c r="F3" s="39">
        <v>14</v>
      </c>
      <c r="G3" s="39">
        <v>129</v>
      </c>
      <c r="H3" s="39">
        <v>701</v>
      </c>
      <c r="I3" s="39">
        <v>770</v>
      </c>
      <c r="J3" s="39">
        <v>101</v>
      </c>
      <c r="K3" s="39">
        <v>148</v>
      </c>
      <c r="L3" s="39">
        <v>663</v>
      </c>
      <c r="M3" s="39">
        <v>16</v>
      </c>
      <c r="N3" s="39">
        <v>202</v>
      </c>
      <c r="O3" s="39">
        <v>207</v>
      </c>
      <c r="P3" s="39">
        <v>870</v>
      </c>
      <c r="Q3" s="39">
        <v>99</v>
      </c>
      <c r="R3" s="39">
        <v>341</v>
      </c>
      <c r="S3" s="39">
        <v>167</v>
      </c>
      <c r="T3" s="39">
        <v>53</v>
      </c>
      <c r="U3" s="39">
        <v>164</v>
      </c>
      <c r="V3" s="39">
        <v>159</v>
      </c>
      <c r="W3" s="39">
        <v>591</v>
      </c>
      <c r="X3" s="39">
        <v>71</v>
      </c>
      <c r="Y3" s="39">
        <v>10</v>
      </c>
      <c r="Z3" s="39">
        <v>203</v>
      </c>
      <c r="AA3" s="39">
        <v>561</v>
      </c>
      <c r="AB3" s="39">
        <v>100</v>
      </c>
      <c r="AC3" s="39">
        <v>87</v>
      </c>
      <c r="AD3" s="39">
        <v>59</v>
      </c>
      <c r="AE3" s="39">
        <v>2668</v>
      </c>
      <c r="AF3" s="39">
        <v>395</v>
      </c>
      <c r="AG3" s="39">
        <v>549</v>
      </c>
      <c r="AH3" s="39">
        <v>18</v>
      </c>
      <c r="AI3" s="39">
        <v>457</v>
      </c>
      <c r="AJ3" s="39">
        <v>120</v>
      </c>
      <c r="AK3" s="39">
        <v>107</v>
      </c>
      <c r="AL3" s="39">
        <v>494</v>
      </c>
      <c r="AM3" s="39">
        <v>88</v>
      </c>
      <c r="AN3" s="39">
        <v>147</v>
      </c>
      <c r="AO3" s="39">
        <v>270</v>
      </c>
      <c r="AP3" s="39">
        <v>102</v>
      </c>
      <c r="AQ3" s="39">
        <v>396</v>
      </c>
      <c r="AR3" s="39">
        <v>137</v>
      </c>
      <c r="AS3" s="39">
        <v>313</v>
      </c>
      <c r="AT3" s="39">
        <v>421</v>
      </c>
      <c r="AU3" s="39">
        <v>23</v>
      </c>
      <c r="AV3" s="39">
        <v>156</v>
      </c>
      <c r="AW3" s="39">
        <v>366</v>
      </c>
      <c r="AX3" s="39">
        <v>248</v>
      </c>
      <c r="AY3" s="39">
        <v>550</v>
      </c>
      <c r="AZ3" s="39">
        <v>119</v>
      </c>
      <c r="BA3" s="39">
        <v>77</v>
      </c>
      <c r="BB3" s="39">
        <v>193</v>
      </c>
      <c r="BC3" s="39">
        <v>266</v>
      </c>
      <c r="BD3" s="39">
        <v>272</v>
      </c>
      <c r="BE3" s="39">
        <v>311</v>
      </c>
      <c r="BF3" s="161">
        <v>814</v>
      </c>
    </row>
    <row r="4" spans="1:58">
      <c r="A4" s="39" t="s">
        <v>202</v>
      </c>
      <c r="B4" s="117">
        <f>SUM(B2:B3)</f>
        <v>2145</v>
      </c>
      <c r="C4" s="117">
        <f t="shared" ref="C4:BF4" si="0">SUM(C2:C3)</f>
        <v>571</v>
      </c>
      <c r="D4" s="117">
        <f t="shared" si="0"/>
        <v>158</v>
      </c>
      <c r="E4" s="117">
        <f t="shared" si="0"/>
        <v>400</v>
      </c>
      <c r="F4" s="117">
        <f t="shared" si="0"/>
        <v>14</v>
      </c>
      <c r="G4" s="117">
        <f t="shared" si="0"/>
        <v>385</v>
      </c>
      <c r="H4" s="117">
        <f t="shared" si="0"/>
        <v>1089</v>
      </c>
      <c r="I4" s="117">
        <f t="shared" si="0"/>
        <v>2220</v>
      </c>
      <c r="J4" s="117">
        <f t="shared" si="0"/>
        <v>422</v>
      </c>
      <c r="K4" s="117">
        <f t="shared" si="0"/>
        <v>320</v>
      </c>
      <c r="L4" s="117">
        <f t="shared" si="0"/>
        <v>1768</v>
      </c>
      <c r="M4" s="117">
        <f t="shared" si="0"/>
        <v>789</v>
      </c>
      <c r="N4" s="117">
        <f t="shared" si="0"/>
        <v>551</v>
      </c>
      <c r="O4" s="117">
        <f t="shared" si="0"/>
        <v>615</v>
      </c>
      <c r="P4" s="117">
        <f t="shared" si="0"/>
        <v>2467</v>
      </c>
      <c r="Q4" s="117">
        <f t="shared" si="0"/>
        <v>266</v>
      </c>
      <c r="R4" s="117">
        <f t="shared" si="0"/>
        <v>1015</v>
      </c>
      <c r="S4" s="117">
        <f t="shared" si="0"/>
        <v>536</v>
      </c>
      <c r="T4" s="117">
        <f t="shared" si="0"/>
        <v>127</v>
      </c>
      <c r="U4" s="117">
        <f t="shared" si="0"/>
        <v>406</v>
      </c>
      <c r="V4" s="117">
        <f t="shared" si="0"/>
        <v>383</v>
      </c>
      <c r="W4" s="117">
        <f t="shared" si="0"/>
        <v>1630</v>
      </c>
      <c r="X4" s="117">
        <f t="shared" si="0"/>
        <v>96</v>
      </c>
      <c r="Y4" s="117">
        <f t="shared" si="0"/>
        <v>37</v>
      </c>
      <c r="Z4" s="117">
        <f t="shared" si="0"/>
        <v>1457</v>
      </c>
      <c r="AA4" s="117">
        <f t="shared" si="0"/>
        <v>1346</v>
      </c>
      <c r="AB4" s="117">
        <f t="shared" si="0"/>
        <v>241</v>
      </c>
      <c r="AC4" s="117">
        <f t="shared" si="0"/>
        <v>109</v>
      </c>
      <c r="AD4" s="117">
        <f t="shared" si="0"/>
        <v>717</v>
      </c>
      <c r="AE4" s="117">
        <f t="shared" si="0"/>
        <v>3225</v>
      </c>
      <c r="AF4" s="117">
        <f t="shared" si="0"/>
        <v>664</v>
      </c>
      <c r="AG4" s="117">
        <f t="shared" si="0"/>
        <v>556</v>
      </c>
      <c r="AH4" s="117">
        <f t="shared" si="0"/>
        <v>18</v>
      </c>
      <c r="AI4" s="117">
        <f t="shared" si="0"/>
        <v>513</v>
      </c>
      <c r="AJ4" s="117">
        <f t="shared" si="0"/>
        <v>196</v>
      </c>
      <c r="AK4" s="117">
        <f t="shared" si="0"/>
        <v>137</v>
      </c>
      <c r="AL4" s="117">
        <f t="shared" si="0"/>
        <v>653</v>
      </c>
      <c r="AM4" s="117">
        <f t="shared" si="0"/>
        <v>283</v>
      </c>
      <c r="AN4" s="117">
        <f t="shared" si="0"/>
        <v>267</v>
      </c>
      <c r="AO4" s="117">
        <f t="shared" si="0"/>
        <v>542</v>
      </c>
      <c r="AP4" s="117">
        <f t="shared" si="0"/>
        <v>504</v>
      </c>
      <c r="AQ4" s="117">
        <f t="shared" si="0"/>
        <v>891</v>
      </c>
      <c r="AR4" s="117">
        <f t="shared" si="0"/>
        <v>445</v>
      </c>
      <c r="AS4" s="117">
        <f t="shared" si="0"/>
        <v>744</v>
      </c>
      <c r="AT4" s="117">
        <f t="shared" si="0"/>
        <v>1302</v>
      </c>
      <c r="AU4" s="117">
        <f t="shared" si="0"/>
        <v>88</v>
      </c>
      <c r="AV4" s="117">
        <f t="shared" si="0"/>
        <v>157</v>
      </c>
      <c r="AW4" s="117">
        <f t="shared" si="0"/>
        <v>919</v>
      </c>
      <c r="AX4" s="117">
        <f t="shared" si="0"/>
        <v>481</v>
      </c>
      <c r="AY4" s="117">
        <f t="shared" si="0"/>
        <v>1802</v>
      </c>
      <c r="AZ4" s="117">
        <f t="shared" si="0"/>
        <v>189</v>
      </c>
      <c r="BA4" s="117">
        <f t="shared" si="0"/>
        <v>168</v>
      </c>
      <c r="BB4" s="117">
        <f t="shared" si="0"/>
        <v>222</v>
      </c>
      <c r="BC4" s="117">
        <f t="shared" si="0"/>
        <v>822</v>
      </c>
      <c r="BD4" s="117">
        <f t="shared" si="0"/>
        <v>368</v>
      </c>
      <c r="BE4" s="117">
        <f t="shared" si="0"/>
        <v>1040</v>
      </c>
      <c r="BF4" s="117">
        <f t="shared" si="0"/>
        <v>1613</v>
      </c>
    </row>
    <row r="5" spans="1:58">
      <c r="A5" s="39">
        <f>SUM(B2:BF2)</f>
        <v>23226</v>
      </c>
      <c r="B5" s="39" t="str">
        <f>IFERROR(HLOOKUP(B1,'Payroll Datavant'!C1:FB7,1,0),0)</f>
        <v>Ahila Sundaresan</v>
      </c>
      <c r="C5" s="39" t="str">
        <f>IFERROR(HLOOKUP(C1,'Payroll Datavant'!D1:FC7,1,0),0)</f>
        <v>Andrea Lorenzano</v>
      </c>
      <c r="D5" s="39" t="str">
        <f>IFERROR(HLOOKUP(D1,'Payroll Datavant'!E1:FD7,1,0),0)</f>
        <v>Anitaben Patel</v>
      </c>
      <c r="E5" s="39" t="str">
        <f>IFERROR(HLOOKUP(E1,'Payroll Datavant'!F1:FE7,1,0),0)</f>
        <v>Azumi Van Scyoc</v>
      </c>
      <c r="F5" s="39" t="str">
        <f>IFERROR(HLOOKUP(F1,'Payroll Datavant'!G1:FF7,1,0),0)</f>
        <v>Chinmaya Jyothi Pulikallu</v>
      </c>
      <c r="G5" s="39" t="str">
        <f>IFERROR(HLOOKUP(G1,'Payroll Datavant'!H1:FG7,1,0),0)</f>
        <v>Deepika Chintaluri</v>
      </c>
      <c r="H5" s="39" t="str">
        <f>IFERROR(HLOOKUP(H1,'Payroll Datavant'!I1:FH7,1,0),0)</f>
        <v>Dhivya Shankar</v>
      </c>
      <c r="I5" s="39" t="str">
        <f>IFERROR(HLOOKUP(I1,'Payroll Datavant'!J1:FI7,1,0),0)</f>
        <v>Dhivyalakshmi Vigneshwaran</v>
      </c>
      <c r="J5" s="39" t="str">
        <f>IFERROR(HLOOKUP(J1,'Payroll Datavant'!K1:FJ7,1,0),0)</f>
        <v>Diksha Vijaykumar More</v>
      </c>
      <c r="K5" s="39" t="str">
        <f>IFERROR(HLOOKUP(K1,'Payroll Datavant'!L1:FK7,1,0),0)</f>
        <v>Divya Babu</v>
      </c>
      <c r="L5" s="39" t="str">
        <f>IFERROR(HLOOKUP(L1,'Payroll Datavant'!M1:FL7,1,0),0)</f>
        <v>Divya Manjeshwar kamath</v>
      </c>
      <c r="M5" s="39" t="str">
        <f>IFERROR(HLOOKUP(M1,'Payroll Datavant'!N1:FM7,1,0),0)</f>
        <v>Farheen Hasham</v>
      </c>
      <c r="N5" s="39" t="str">
        <f>IFERROR(HLOOKUP(N1,'Payroll Datavant'!O1:FN7,1,0),0)</f>
        <v>Farzana Shaik</v>
      </c>
      <c r="O5" s="39" t="str">
        <f>IFERROR(HLOOKUP(O1,'Payroll Datavant'!P1:FO7,1,0),0)</f>
        <v>Fnu Supriya</v>
      </c>
      <c r="P5" s="39" t="str">
        <f>IFERROR(HLOOKUP(P1,'Payroll Datavant'!Q1:FP7,1,0),0)</f>
        <v>Hetal Shah</v>
      </c>
      <c r="Q5" s="39" t="str">
        <f>IFERROR(HLOOKUP(Q1,'Payroll Datavant'!R1:FQ7,1,0),0)</f>
        <v>Jaya Singh</v>
      </c>
      <c r="R5" s="39" t="str">
        <f>IFERROR(HLOOKUP(R1,'Payroll Datavant'!S1:FR7,1,0),0)</f>
        <v>Krishnaveni</v>
      </c>
      <c r="S5" s="39" t="str">
        <f>IFERROR(HLOOKUP(S1,'Payroll Datavant'!T1:FS7,1,0),0)</f>
        <v>LaSere Reid Smith</v>
      </c>
      <c r="T5" s="39" t="str">
        <f>IFERROR(HLOOKUP(T1,'Payroll Datavant'!U1:FT7,1,0),0)</f>
        <v>Lipsa Padhy</v>
      </c>
      <c r="U5" s="39" t="str">
        <f>IFERROR(HLOOKUP(U1,'Payroll Datavant'!V1:FU7,1,0),0)</f>
        <v>Maira Becham</v>
      </c>
      <c r="V5" s="39" t="str">
        <f>IFERROR(HLOOKUP(V1,'Payroll Datavant'!W1:FV7,1,0),0)</f>
        <v>Mariko Huskey</v>
      </c>
      <c r="W5" s="39" t="str">
        <f>IFERROR(HLOOKUP(W1,'Payroll Datavant'!X1:FW7,1,0),0)</f>
        <v>Michelle Cox</v>
      </c>
      <c r="X5" s="39" t="str">
        <f>IFERROR(HLOOKUP(X1,'Payroll Datavant'!Y1:FX7,1,0),0)</f>
        <v>Minakshi Deepak</v>
      </c>
      <c r="Y5" s="39" t="str">
        <f>IFERROR(HLOOKUP(Y1,'Payroll Datavant'!Z1:FY7,1,0),0)</f>
        <v>Naganandhini Ganapathimaran</v>
      </c>
      <c r="Z5" s="39" t="str">
        <f>IFERROR(HLOOKUP(Z1,'Payroll Datavant'!AA1:FZ7,1,0),0)</f>
        <v>Namita Mishra</v>
      </c>
      <c r="AA5" s="39" t="str">
        <f>IFERROR(HLOOKUP(AA1,'Payroll Datavant'!AB1:GA7,1,0),0)</f>
        <v>Namrata Sharma</v>
      </c>
      <c r="AB5" s="39" t="str">
        <f>IFERROR(HLOOKUP(AB1,'Payroll Datavant'!AC1:GB7,1,0),0)</f>
        <v>Namratha Koratala</v>
      </c>
      <c r="AC5" s="39" t="str">
        <f>IFERROR(HLOOKUP(AC1,'Payroll Datavant'!AD1:GC7,1,0),0)</f>
        <v>Neha Aaggarwal</v>
      </c>
      <c r="AD5" s="39" t="str">
        <f>IFERROR(HLOOKUP(AD1,'Payroll Datavant'!AE1:GD7,1,0),0)</f>
        <v>Nilopher Lopes</v>
      </c>
      <c r="AE5" s="39" t="str">
        <f>IFERROR(HLOOKUP(AE1,'Payroll Datavant'!AF1:GE7,1,0),0)</f>
        <v>Pavitra Rani Allam</v>
      </c>
      <c r="AF5" s="39" t="str">
        <f>IFERROR(HLOOKUP(AF1,'Payroll Datavant'!AG1:GF7,1,0),0)</f>
        <v>Poongothai Duraisamy</v>
      </c>
      <c r="AG5" s="39" t="str">
        <f>IFERROR(HLOOKUP(AG1,'Payroll Datavant'!AH1:GG7,1,0),0)</f>
        <v>Pragyan Paramita Mohanty</v>
      </c>
      <c r="AH5" s="39" t="str">
        <f>IFERROR(HLOOKUP(AH1,'Payroll Datavant'!AI1:GH7,1,0),0)</f>
        <v>Pranusha Dontineni</v>
      </c>
      <c r="AI5" s="39" t="str">
        <f>IFERROR(HLOOKUP(AI1,'Payroll Datavant'!AJ1:GI7,1,0),0)</f>
        <v>Priyanka Chandrikapure</v>
      </c>
      <c r="AJ5" s="39" t="str">
        <f>IFERROR(HLOOKUP(AJ1,'Payroll Datavant'!AK1:GJ7,1,0),0)</f>
        <v>Priyanka Dey Sarkar</v>
      </c>
      <c r="AK5" s="39" t="str">
        <f>IFERROR(HLOOKUP(AK1,'Payroll Datavant'!AL1:GK7,1,0),0)</f>
        <v>Pushpaja Vullamgunta</v>
      </c>
      <c r="AL5" s="39" t="str">
        <f>IFERROR(HLOOKUP(AL1,'Payroll Datavant'!AM1:GL7,1,0),0)</f>
        <v>Rashmi Rangdale</v>
      </c>
      <c r="AM5" s="39" t="str">
        <f>IFERROR(HLOOKUP(AM1,'Payroll Datavant'!AN1:GM7,1,0),0)</f>
        <v>Reshmi Pulickal Radhakrishnan</v>
      </c>
      <c r="AN5" s="39" t="str">
        <f>IFERROR(HLOOKUP(AN1,'Payroll Datavant'!AO1:GN7,1,0),0)</f>
        <v>Rima Loganathan</v>
      </c>
      <c r="AO5" s="39" t="str">
        <f>IFERROR(HLOOKUP(AO1,'Payroll Datavant'!AP1:GO7,1,0),0)</f>
        <v>Rupali Bangar</v>
      </c>
      <c r="AP5" s="39" t="str">
        <f>IFERROR(HLOOKUP(AP1,'Payroll Datavant'!AQ1:GP7,1,0),0)</f>
        <v>Sai Santhya Ravikumar</v>
      </c>
      <c r="AQ5" s="39" t="str">
        <f>IFERROR(HLOOKUP(AQ1,'Payroll Datavant'!AR1:GQ7,1,0),0)</f>
        <v>Shagida Nishwan</v>
      </c>
      <c r="AR5" s="39" t="str">
        <f>IFERROR(HLOOKUP(AR1,'Payroll Datavant'!AS1:GR7,1,0),0)</f>
        <v>Sindhu Selvaraj</v>
      </c>
      <c r="AS5" s="39" t="str">
        <f>IFERROR(HLOOKUP(AS1,'Payroll Datavant'!AT1:GS7,1,0),0)</f>
        <v>Sireesha Gottimukkala</v>
      </c>
      <c r="AT5" s="39" t="str">
        <f>IFERROR(HLOOKUP(AT1,'Payroll Datavant'!AU1:GT7,1,0),0)</f>
        <v>Snehal Choudhari</v>
      </c>
      <c r="AU5" s="39" t="str">
        <f>IFERROR(HLOOKUP(AU1,'Payroll Datavant'!AV1:GU7,1,0),0)</f>
        <v>Somdutta Paul</v>
      </c>
      <c r="AV5" s="39" t="str">
        <f>IFERROR(HLOOKUP(AV1,'Payroll Datavant'!AW1:GV7,1,0),0)</f>
        <v>Sonali Gupta</v>
      </c>
      <c r="AW5" s="39" t="str">
        <f>IFERROR(HLOOKUP(AW1,'Payroll Datavant'!AX1:GW7,1,0),0)</f>
        <v>Sonia Mohanty</v>
      </c>
      <c r="AX5" s="39" t="str">
        <f>IFERROR(HLOOKUP(AX1,'Payroll Datavant'!AY1:GX7,1,0),0)</f>
        <v>Sripriyadarshini</v>
      </c>
      <c r="AY5" s="39" t="str">
        <f>IFERROR(HLOOKUP(AY1,'Payroll Datavant'!AZ1:GY7,1,0),0)</f>
        <v>Srividhyalakshmi Murugadass</v>
      </c>
      <c r="AZ5" s="39" t="str">
        <f>IFERROR(HLOOKUP(AZ1,'Payroll Datavant'!BA1:GZ7,1,0),0)</f>
        <v>Sruthi Arambachalil</v>
      </c>
      <c r="BA5" s="39" t="str">
        <f>IFERROR(HLOOKUP(BA1,'Payroll Datavant'!BB1:HA7,1,0),0)</f>
        <v>Sunitha nara</v>
      </c>
      <c r="BB5" s="39" t="str">
        <f>IFERROR(HLOOKUP(BB1,'Payroll Datavant'!BC1:HB7,1,0),0)</f>
        <v>Swati bartake</v>
      </c>
      <c r="BC5" s="39" t="str">
        <f>IFERROR(HLOOKUP(BC1,'Payroll Datavant'!BD1:HC7,1,0),0)</f>
        <v>Sweety Ranka</v>
      </c>
      <c r="BD5" s="39" t="str">
        <f>IFERROR(HLOOKUP(BD1,'Payroll Datavant'!BE1:HD7,1,0),0)</f>
        <v>Tapasi Rath</v>
      </c>
      <c r="BE5" s="39" t="str">
        <f>IFERROR(HLOOKUP(BE1,'Payroll Datavant'!BF1:HE7,1,0),0)</f>
        <v>Usha Devi Singaravelu</v>
      </c>
      <c r="BF5" s="39" t="str">
        <f>IFERROR(HLOOKUP(BF1,'Payroll Datavant'!BG1:HF7,1,0),0)</f>
        <v>Valliammai Ramanathan</v>
      </c>
    </row>
    <row r="6" spans="1:58">
      <c r="A6" s="39">
        <f>SUM(B3:BF3)</f>
        <v>17863</v>
      </c>
      <c r="B6" s="39">
        <f>HLOOKUP(B1,'Payroll Datavant'!C1:GL7,7,0)</f>
        <v>2145</v>
      </c>
      <c r="C6" s="39">
        <f>HLOOKUP(C1,'Payroll Datavant'!D1:GM7,7,0)</f>
        <v>571</v>
      </c>
      <c r="D6" s="39">
        <f>HLOOKUP(D1,'Payroll Datavant'!E1:GN7,7,0)</f>
        <v>158</v>
      </c>
      <c r="E6" s="39">
        <f>HLOOKUP(E1,'Payroll Datavant'!F1:GO7,7,0)</f>
        <v>400</v>
      </c>
      <c r="F6" s="39">
        <f>HLOOKUP(F1,'Payroll Datavant'!G1:GP7,7,0)</f>
        <v>14</v>
      </c>
      <c r="G6" s="39">
        <f>HLOOKUP(G1,'Payroll Datavant'!H1:GQ7,7,0)</f>
        <v>385</v>
      </c>
      <c r="H6" s="39">
        <f>HLOOKUP(H1,'Payroll Datavant'!I1:GR7,7,0)</f>
        <v>1089</v>
      </c>
      <c r="I6" s="39">
        <f>HLOOKUP(I1,'Payroll Datavant'!J1:GS7,7,0)</f>
        <v>2220</v>
      </c>
      <c r="J6" s="39">
        <f>HLOOKUP(J1,'Payroll Datavant'!K1:GT7,7,0)</f>
        <v>422</v>
      </c>
      <c r="K6" s="39">
        <f>HLOOKUP(K1,'Payroll Datavant'!L1:GU7,7,0)</f>
        <v>320</v>
      </c>
      <c r="L6" s="39">
        <f>HLOOKUP(L1,'Payroll Datavant'!M1:GV7,7,0)</f>
        <v>1768</v>
      </c>
      <c r="M6" s="39">
        <f>HLOOKUP(M1,'Payroll Datavant'!N1:GW7,7,0)</f>
        <v>789</v>
      </c>
      <c r="N6" s="39">
        <f>HLOOKUP(N1,'Payroll Datavant'!O1:GX7,7,0)</f>
        <v>551</v>
      </c>
      <c r="O6" s="39">
        <f>HLOOKUP(O1,'Payroll Datavant'!P1:GY7,7,0)</f>
        <v>615</v>
      </c>
      <c r="P6" s="39">
        <f>HLOOKUP(P1,'Payroll Datavant'!Q1:GZ7,7,0)</f>
        <v>2467</v>
      </c>
      <c r="Q6" s="39">
        <f>HLOOKUP(Q1,'Payroll Datavant'!R1:HA7,7,0)</f>
        <v>266</v>
      </c>
      <c r="R6" s="39">
        <f>HLOOKUP(R1,'Payroll Datavant'!S1:HB7,7,0)</f>
        <v>1015</v>
      </c>
      <c r="S6" s="39">
        <f>HLOOKUP(S1,'Payroll Datavant'!T1:HC7,7,0)</f>
        <v>536</v>
      </c>
      <c r="T6" s="39">
        <f>HLOOKUP(T1,'Payroll Datavant'!U1:HD7,7,0)</f>
        <v>127</v>
      </c>
      <c r="U6" s="39">
        <f>HLOOKUP(U1,'Payroll Datavant'!V1:HE7,7,0)</f>
        <v>406</v>
      </c>
      <c r="V6" s="39">
        <f>HLOOKUP(V1,'Payroll Datavant'!W1:HF7,7,0)</f>
        <v>383</v>
      </c>
      <c r="W6" s="39">
        <f>HLOOKUP(W1,'Payroll Datavant'!X1:HG7,7,0)</f>
        <v>1630</v>
      </c>
      <c r="X6" s="39">
        <f>HLOOKUP(X1,'Payroll Datavant'!Y1:HH7,7,0)</f>
        <v>96</v>
      </c>
      <c r="Y6" s="39">
        <f>HLOOKUP(Y1,'Payroll Datavant'!Z1:HI7,7,0)</f>
        <v>37</v>
      </c>
      <c r="Z6" s="39">
        <f>HLOOKUP(Z1,'Payroll Datavant'!AA1:HJ7,7,0)</f>
        <v>1457</v>
      </c>
      <c r="AA6" s="39">
        <f>HLOOKUP(AA1,'Payroll Datavant'!AB1:HK7,7,0)</f>
        <v>1346</v>
      </c>
      <c r="AB6" s="39">
        <f>HLOOKUP(AB1,'Payroll Datavant'!AC1:HL7,7,0)</f>
        <v>241</v>
      </c>
      <c r="AC6" s="39">
        <f>HLOOKUP(AC1,'Payroll Datavant'!AD1:HM7,7,0)</f>
        <v>109</v>
      </c>
      <c r="AD6" s="39">
        <f>HLOOKUP(AD1,'Payroll Datavant'!AE1:HN7,7,0)</f>
        <v>717</v>
      </c>
      <c r="AE6" s="39">
        <f>HLOOKUP(AE1,'Payroll Datavant'!AF1:HO7,7,0)</f>
        <v>3225</v>
      </c>
      <c r="AF6" s="39">
        <f>HLOOKUP(AF1,'Payroll Datavant'!AG1:HP7,7,0)</f>
        <v>664</v>
      </c>
      <c r="AG6" s="39">
        <f>HLOOKUP(AG1,'Payroll Datavant'!AH1:HQ7,7,0)</f>
        <v>556</v>
      </c>
      <c r="AH6" s="39">
        <f>HLOOKUP(AH1,'Payroll Datavant'!AI1:HR7,7,0)</f>
        <v>18</v>
      </c>
      <c r="AI6" s="39">
        <f>HLOOKUP(AI1,'Payroll Datavant'!AJ1:HS7,7,0)</f>
        <v>513</v>
      </c>
      <c r="AJ6" s="39">
        <f>HLOOKUP(AJ1,'Payroll Datavant'!AK1:HT7,7,0)</f>
        <v>196</v>
      </c>
      <c r="AK6" s="39">
        <f>HLOOKUP(AK1,'Payroll Datavant'!AL1:HU7,7,0)</f>
        <v>137</v>
      </c>
      <c r="AL6" s="39">
        <f>HLOOKUP(AL1,'Payroll Datavant'!AM1:HV7,7,0)</f>
        <v>653</v>
      </c>
      <c r="AM6" s="39">
        <f>HLOOKUP(AM1,'Payroll Datavant'!AN1:HW7,7,0)</f>
        <v>283</v>
      </c>
      <c r="AN6" s="39">
        <f>HLOOKUP(AN1,'Payroll Datavant'!AO1:HX7,7,0)</f>
        <v>267</v>
      </c>
      <c r="AO6" s="39">
        <f>HLOOKUP(AO1,'Payroll Datavant'!AP1:HY7,7,0)</f>
        <v>542</v>
      </c>
      <c r="AP6" s="39">
        <f>HLOOKUP(AP1,'Payroll Datavant'!AQ1:HZ7,7,0)</f>
        <v>504</v>
      </c>
      <c r="AQ6" s="39">
        <f>HLOOKUP(AQ1,'Payroll Datavant'!AR1:IA7,7,0)</f>
        <v>891</v>
      </c>
      <c r="AR6" s="39">
        <f>HLOOKUP(AR1,'Payroll Datavant'!AS1:IB7,7,0)</f>
        <v>445</v>
      </c>
      <c r="AS6" s="39">
        <f>HLOOKUP(AS1,'Payroll Datavant'!AT1:IC7,7,0)</f>
        <v>744</v>
      </c>
      <c r="AT6" s="39">
        <f>HLOOKUP(AT1,'Payroll Datavant'!AU1:ID7,7,0)</f>
        <v>1302</v>
      </c>
      <c r="AU6" s="39">
        <f>HLOOKUP(AU1,'Payroll Datavant'!AV1:IE7,7,0)</f>
        <v>88</v>
      </c>
      <c r="AV6" s="39">
        <f>HLOOKUP(AV1,'Payroll Datavant'!AW1:IF7,7,0)</f>
        <v>157</v>
      </c>
      <c r="AW6" s="39">
        <f>HLOOKUP(AW1,'Payroll Datavant'!AX1:IG7,7,0)</f>
        <v>919</v>
      </c>
      <c r="AX6" s="39">
        <f>HLOOKUP(AX1,'Payroll Datavant'!AY1:IH7,7,0)</f>
        <v>481</v>
      </c>
      <c r="AY6" s="39">
        <f>HLOOKUP(AY1,'Payroll Datavant'!AZ1:II7,7,0)</f>
        <v>1802</v>
      </c>
      <c r="AZ6" s="39">
        <f>HLOOKUP(AZ1,'Payroll Datavant'!BA1:IJ7,7,0)</f>
        <v>189</v>
      </c>
      <c r="BA6" s="39">
        <f>HLOOKUP(BA1,'Payroll Datavant'!BB1:IK7,7,0)</f>
        <v>168</v>
      </c>
      <c r="BB6" s="39">
        <f>HLOOKUP(BB1,'Payroll Datavant'!BC1:IL7,7,0)</f>
        <v>222</v>
      </c>
      <c r="BC6" s="39">
        <f>HLOOKUP(BC1,'Payroll Datavant'!BD1:IM7,7,0)</f>
        <v>822</v>
      </c>
      <c r="BD6" s="39">
        <f>HLOOKUP(BD1,'Payroll Datavant'!BE1:IN7,7,0)</f>
        <v>368</v>
      </c>
      <c r="BE6" s="39">
        <f>HLOOKUP(BE1,'Payroll Datavant'!BF1:IO7,7,0)</f>
        <v>1040</v>
      </c>
      <c r="BF6" s="39">
        <f>HLOOKUP(BF1,'Payroll Datavant'!BG1:IP7,7,0)</f>
        <v>1613</v>
      </c>
    </row>
    <row r="7" spans="1:58">
      <c r="A7" s="39">
        <f>SUM(A5:A6)</f>
        <v>41089</v>
      </c>
      <c r="B7" s="39">
        <f>B4-B6</f>
        <v>0</v>
      </c>
      <c r="C7" s="39">
        <f t="shared" ref="C7:BE7" si="1">C4-C6</f>
        <v>0</v>
      </c>
      <c r="D7" s="39">
        <f t="shared" si="1"/>
        <v>0</v>
      </c>
      <c r="E7" s="39">
        <f t="shared" si="1"/>
        <v>0</v>
      </c>
      <c r="F7" s="39">
        <f t="shared" si="1"/>
        <v>0</v>
      </c>
      <c r="G7" s="39">
        <f t="shared" si="1"/>
        <v>0</v>
      </c>
      <c r="H7" s="39">
        <f t="shared" si="1"/>
        <v>0</v>
      </c>
      <c r="I7" s="39">
        <f t="shared" si="1"/>
        <v>0</v>
      </c>
      <c r="J7" s="39">
        <f t="shared" si="1"/>
        <v>0</v>
      </c>
      <c r="K7" s="39">
        <f t="shared" si="1"/>
        <v>0</v>
      </c>
      <c r="L7" s="39">
        <f t="shared" si="1"/>
        <v>0</v>
      </c>
      <c r="M7" s="39">
        <f t="shared" si="1"/>
        <v>0</v>
      </c>
      <c r="N7" s="39">
        <f t="shared" si="1"/>
        <v>0</v>
      </c>
      <c r="O7" s="39">
        <f t="shared" si="1"/>
        <v>0</v>
      </c>
      <c r="P7" s="39">
        <f t="shared" si="1"/>
        <v>0</v>
      </c>
      <c r="Q7" s="39">
        <f t="shared" si="1"/>
        <v>0</v>
      </c>
      <c r="R7" s="39">
        <f t="shared" si="1"/>
        <v>0</v>
      </c>
      <c r="S7" s="39">
        <f t="shared" si="1"/>
        <v>0</v>
      </c>
      <c r="T7" s="39">
        <f t="shared" si="1"/>
        <v>0</v>
      </c>
      <c r="U7" s="39">
        <f t="shared" si="1"/>
        <v>0</v>
      </c>
      <c r="V7" s="39">
        <f t="shared" si="1"/>
        <v>0</v>
      </c>
      <c r="W7" s="39">
        <f t="shared" si="1"/>
        <v>0</v>
      </c>
      <c r="X7" s="39">
        <f t="shared" si="1"/>
        <v>0</v>
      </c>
      <c r="Y7" s="39">
        <f t="shared" si="1"/>
        <v>0</v>
      </c>
      <c r="Z7" s="39">
        <f t="shared" si="1"/>
        <v>0</v>
      </c>
      <c r="AA7" s="39">
        <f t="shared" si="1"/>
        <v>0</v>
      </c>
      <c r="AB7" s="39">
        <f t="shared" si="1"/>
        <v>0</v>
      </c>
      <c r="AC7" s="39">
        <f t="shared" si="1"/>
        <v>0</v>
      </c>
      <c r="AD7" s="39">
        <f t="shared" si="1"/>
        <v>0</v>
      </c>
      <c r="AE7" s="39">
        <f t="shared" si="1"/>
        <v>0</v>
      </c>
      <c r="AF7" s="39">
        <f t="shared" si="1"/>
        <v>0</v>
      </c>
      <c r="AG7" s="39">
        <f t="shared" si="1"/>
        <v>0</v>
      </c>
      <c r="AH7" s="39">
        <f t="shared" si="1"/>
        <v>0</v>
      </c>
      <c r="AI7" s="39">
        <f t="shared" si="1"/>
        <v>0</v>
      </c>
      <c r="AJ7" s="39">
        <f t="shared" si="1"/>
        <v>0</v>
      </c>
      <c r="AK7" s="39">
        <f t="shared" si="1"/>
        <v>0</v>
      </c>
      <c r="AL7" s="39">
        <f t="shared" si="1"/>
        <v>0</v>
      </c>
      <c r="AM7" s="39">
        <f t="shared" si="1"/>
        <v>0</v>
      </c>
      <c r="AN7" s="39">
        <f t="shared" si="1"/>
        <v>0</v>
      </c>
      <c r="AO7" s="39">
        <f t="shared" si="1"/>
        <v>0</v>
      </c>
      <c r="AP7" s="39">
        <f t="shared" si="1"/>
        <v>0</v>
      </c>
      <c r="AQ7" s="39">
        <f t="shared" si="1"/>
        <v>0</v>
      </c>
      <c r="AR7" s="39">
        <f t="shared" si="1"/>
        <v>0</v>
      </c>
      <c r="AS7" s="39">
        <f t="shared" si="1"/>
        <v>0</v>
      </c>
      <c r="AT7" s="39">
        <f t="shared" si="1"/>
        <v>0</v>
      </c>
      <c r="AU7" s="39">
        <f t="shared" si="1"/>
        <v>0</v>
      </c>
      <c r="AV7" s="39">
        <f t="shared" si="1"/>
        <v>0</v>
      </c>
      <c r="AW7" s="39">
        <f t="shared" si="1"/>
        <v>0</v>
      </c>
      <c r="AX7" s="39">
        <f t="shared" si="1"/>
        <v>0</v>
      </c>
      <c r="AY7" s="39">
        <f t="shared" si="1"/>
        <v>0</v>
      </c>
      <c r="AZ7" s="39">
        <f t="shared" si="1"/>
        <v>0</v>
      </c>
      <c r="BA7" s="39">
        <f t="shared" si="1"/>
        <v>0</v>
      </c>
      <c r="BB7" s="39">
        <f t="shared" si="1"/>
        <v>0</v>
      </c>
      <c r="BC7" s="39">
        <f t="shared" si="1"/>
        <v>0</v>
      </c>
      <c r="BD7" s="39">
        <f t="shared" si="1"/>
        <v>0</v>
      </c>
      <c r="BE7" s="39">
        <f t="shared" si="1"/>
        <v>0</v>
      </c>
      <c r="BF7" s="39">
        <f t="shared" ref="BF7" si="2">BF4-BF6</f>
        <v>0</v>
      </c>
    </row>
    <row r="8" spans="1:58">
      <c r="A8" s="161">
        <v>40128</v>
      </c>
      <c r="B8" s="161">
        <f>HLOOKUP(B1,'Payroll Datavant'!C1:GU7,7,0)</f>
        <v>2145</v>
      </c>
      <c r="C8" s="161">
        <f>HLOOKUP(C1,'Payroll Datavant'!D1:GV7,7,0)</f>
        <v>571</v>
      </c>
      <c r="D8" s="161">
        <f>HLOOKUP(D1,'Payroll Datavant'!E1:GW7,7,0)</f>
        <v>158</v>
      </c>
      <c r="E8" s="161">
        <f>HLOOKUP(E1,'Payroll Datavant'!F1:GX7,7,0)</f>
        <v>400</v>
      </c>
      <c r="F8" s="161">
        <f>HLOOKUP(F1,'Payroll Datavant'!G1:GY7,7,0)</f>
        <v>14</v>
      </c>
      <c r="G8" s="161">
        <f>HLOOKUP(G1,'Payroll Datavant'!H1:GZ7,7,0)</f>
        <v>385</v>
      </c>
      <c r="H8" s="161">
        <f>HLOOKUP(H1,'Payroll Datavant'!I1:HA7,7,0)</f>
        <v>1089</v>
      </c>
      <c r="I8" s="161">
        <f>HLOOKUP(I1,'Payroll Datavant'!J1:HB7,7,0)</f>
        <v>2220</v>
      </c>
      <c r="J8" s="161">
        <f>HLOOKUP(J1,'Payroll Datavant'!K1:HC7,7,0)</f>
        <v>422</v>
      </c>
      <c r="K8" s="161">
        <f>HLOOKUP(K1,'Payroll Datavant'!L1:HD7,7,0)</f>
        <v>320</v>
      </c>
      <c r="L8" s="161">
        <f>HLOOKUP(L1,'Payroll Datavant'!M1:HE7,7,0)</f>
        <v>1768</v>
      </c>
      <c r="M8" s="161">
        <f>HLOOKUP(M1,'Payroll Datavant'!N1:HF7,7,0)</f>
        <v>789</v>
      </c>
      <c r="N8" s="161">
        <f>HLOOKUP(N1,'Payroll Datavant'!O1:HG7,7,0)</f>
        <v>551</v>
      </c>
      <c r="O8" s="161">
        <f>HLOOKUP(O1,'Payroll Datavant'!P1:HH7,7,0)</f>
        <v>615</v>
      </c>
      <c r="P8" s="161">
        <f>HLOOKUP(P1,'Payroll Datavant'!Q1:HI7,7,0)</f>
        <v>2467</v>
      </c>
      <c r="Q8" s="161">
        <f>HLOOKUP(Q1,'Payroll Datavant'!R1:HJ7,7,0)</f>
        <v>266</v>
      </c>
      <c r="R8" s="161">
        <f>HLOOKUP(R1,'Payroll Datavant'!S1:HK7,7,0)</f>
        <v>1015</v>
      </c>
      <c r="S8" s="161">
        <f>HLOOKUP(S1,'Payroll Datavant'!T1:HL7,7,0)</f>
        <v>536</v>
      </c>
      <c r="T8" s="161">
        <f>HLOOKUP(T1,'Payroll Datavant'!U1:HM7,7,0)</f>
        <v>127</v>
      </c>
      <c r="U8" s="161">
        <f>HLOOKUP(U1,'Payroll Datavant'!V1:HN7,7,0)</f>
        <v>406</v>
      </c>
      <c r="V8" s="161">
        <f>HLOOKUP(V1,'Payroll Datavant'!W1:HO7,7,0)</f>
        <v>383</v>
      </c>
      <c r="W8" s="161">
        <f>HLOOKUP(W1,'Payroll Datavant'!X1:HP7,7,0)</f>
        <v>1630</v>
      </c>
      <c r="X8" s="161">
        <f>HLOOKUP(X1,'Payroll Datavant'!Y1:HQ7,7,0)</f>
        <v>96</v>
      </c>
      <c r="Y8" s="161">
        <f>HLOOKUP(Y1,'Payroll Datavant'!Z1:HR7,7,0)</f>
        <v>37</v>
      </c>
      <c r="Z8" s="161">
        <f>HLOOKUP(Z1,'Payroll Datavant'!AA1:HS7,7,0)</f>
        <v>1457</v>
      </c>
      <c r="AA8" s="161">
        <f>HLOOKUP(AA1,'Payroll Datavant'!AB1:HT7,7,0)</f>
        <v>1346</v>
      </c>
      <c r="AB8" s="161">
        <f>HLOOKUP(AB1,'Payroll Datavant'!AC1:HU7,7,0)</f>
        <v>241</v>
      </c>
      <c r="AC8" s="161">
        <f>HLOOKUP(AC1,'Payroll Datavant'!AD1:HV7,7,0)</f>
        <v>109</v>
      </c>
      <c r="AD8" s="161">
        <f>HLOOKUP(AD1,'Payroll Datavant'!AE1:HW7,7,0)</f>
        <v>717</v>
      </c>
      <c r="AE8" s="161">
        <f>HLOOKUP(AE1,'Payroll Datavant'!AF1:HX7,7,0)</f>
        <v>3225</v>
      </c>
      <c r="AF8" s="161">
        <f>HLOOKUP(AF1,'Payroll Datavant'!AG1:HY7,7,0)</f>
        <v>664</v>
      </c>
      <c r="AG8" s="161">
        <f>HLOOKUP(AG1,'Payroll Datavant'!AH1:HZ7,7,0)</f>
        <v>556</v>
      </c>
      <c r="AH8" s="161">
        <f>HLOOKUP(AH1,'Payroll Datavant'!AI1:IA7,7,0)</f>
        <v>18</v>
      </c>
      <c r="AI8" s="161">
        <f>HLOOKUP(AI1,'Payroll Datavant'!AJ1:IB7,7,0)</f>
        <v>513</v>
      </c>
      <c r="AJ8" s="161">
        <f>HLOOKUP(AJ1,'Payroll Datavant'!AK1:IC7,7,0)</f>
        <v>196</v>
      </c>
      <c r="AK8" s="161">
        <f>HLOOKUP(AK1,'Payroll Datavant'!AL1:ID7,7,0)</f>
        <v>137</v>
      </c>
      <c r="AL8" s="161">
        <f>HLOOKUP(AL1,'Payroll Datavant'!AM1:IE7,7,0)</f>
        <v>653</v>
      </c>
      <c r="AM8" s="161">
        <f>HLOOKUP(AM1,'Payroll Datavant'!AN1:IF7,7,0)</f>
        <v>283</v>
      </c>
      <c r="AN8" s="161">
        <f>HLOOKUP(AN1,'Payroll Datavant'!AO1:IG7,7,0)</f>
        <v>267</v>
      </c>
      <c r="AO8" s="161">
        <f>HLOOKUP(AO1,'Payroll Datavant'!AP1:IH7,7,0)</f>
        <v>542</v>
      </c>
      <c r="AP8" s="161">
        <f>HLOOKUP(AP1,'Payroll Datavant'!AQ1:II7,7,0)</f>
        <v>504</v>
      </c>
      <c r="AQ8" s="161">
        <f>HLOOKUP(AQ1,'Payroll Datavant'!AR1:IJ7,7,0)</f>
        <v>891</v>
      </c>
      <c r="AR8" s="161">
        <f>HLOOKUP(AR1,'Payroll Datavant'!AS1:IK7,7,0)</f>
        <v>445</v>
      </c>
      <c r="AS8" s="161">
        <f>HLOOKUP(AS1,'Payroll Datavant'!AT1:IL7,7,0)</f>
        <v>744</v>
      </c>
      <c r="AT8" s="161">
        <f>HLOOKUP(AT1,'Payroll Datavant'!AU1:IM7,7,0)</f>
        <v>1302</v>
      </c>
      <c r="AU8" s="161">
        <f>HLOOKUP(AU1,'Payroll Datavant'!AV1:IN7,7,0)</f>
        <v>88</v>
      </c>
      <c r="AV8" s="161">
        <f>HLOOKUP(AV1,'Payroll Datavant'!AW1:IO7,7,0)</f>
        <v>157</v>
      </c>
      <c r="AW8" s="161">
        <f>HLOOKUP(AW1,'Payroll Datavant'!AX1:IP7,7,0)</f>
        <v>919</v>
      </c>
      <c r="AX8" s="161">
        <f>HLOOKUP(AX1,'Payroll Datavant'!AY1:IQ7,7,0)</f>
        <v>481</v>
      </c>
      <c r="AY8" s="161">
        <f>HLOOKUP(AY1,'Payroll Datavant'!AZ1:IR7,7,0)</f>
        <v>1802</v>
      </c>
      <c r="AZ8" s="161">
        <f>HLOOKUP(AZ1,'Payroll Datavant'!BA1:IS7,7,0)</f>
        <v>189</v>
      </c>
      <c r="BA8" s="161">
        <f>HLOOKUP(BA1,'Payroll Datavant'!BB1:IT7,7,0)</f>
        <v>168</v>
      </c>
      <c r="BB8" s="161">
        <f>HLOOKUP(BB1,'Payroll Datavant'!BC1:IU7,7,0)</f>
        <v>222</v>
      </c>
      <c r="BC8" s="161">
        <f>HLOOKUP(BC1,'Payroll Datavant'!BD1:IV7,7,0)</f>
        <v>822</v>
      </c>
      <c r="BD8" s="161">
        <f>HLOOKUP(BD1,'Payroll Datavant'!BE1:IW7,7,0)</f>
        <v>368</v>
      </c>
      <c r="BE8" s="161">
        <f>HLOOKUP(BE1,'Payroll Datavant'!BF1:IX7,7,0)</f>
        <v>1040</v>
      </c>
      <c r="BF8" s="161">
        <f>HLOOKUP(BF1,'Payroll Datavant'!BG1:IY7,7,0)</f>
        <v>1613</v>
      </c>
    </row>
    <row r="9" spans="1:58">
      <c r="A9" s="161">
        <f>A7-A8</f>
        <v>961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27D61-DDA5-4EDD-A134-CCE8501B80D0}">
  <dimension ref="A1:GR53"/>
  <sheetViews>
    <sheetView tabSelected="1" zoomScale="80" zoomScaleNormal="80" workbookViewId="0">
      <selection activeCell="E16" sqref="E16"/>
    </sheetView>
  </sheetViews>
  <sheetFormatPr defaultColWidth="22" defaultRowHeight="14.45"/>
  <cols>
    <col min="1" max="1" width="15.5703125" bestFit="1" customWidth="1"/>
    <col min="2" max="2" width="6.85546875" bestFit="1" customWidth="1"/>
    <col min="3" max="3" width="15.5703125" bestFit="1" customWidth="1"/>
    <col min="4" max="4" width="6.28515625" bestFit="1" customWidth="1"/>
    <col min="5" max="5" width="14.140625" bestFit="1" customWidth="1"/>
    <col min="6" max="6" width="11.85546875" bestFit="1" customWidth="1"/>
    <col min="7" max="7" width="11.7109375" bestFit="1" customWidth="1"/>
    <col min="8" max="8" width="9.85546875" bestFit="1" customWidth="1"/>
    <col min="9" max="9" width="10.5703125" bestFit="1" customWidth="1"/>
    <col min="10" max="10" width="14.42578125" bestFit="1" customWidth="1"/>
    <col min="11" max="11" width="17.42578125" bestFit="1" customWidth="1"/>
    <col min="12" max="12" width="12.140625" bestFit="1" customWidth="1"/>
    <col min="13" max="13" width="11.5703125" bestFit="1" customWidth="1"/>
    <col min="14" max="14" width="12.28515625" bestFit="1" customWidth="1"/>
    <col min="15" max="15" width="11.85546875" bestFit="1" customWidth="1"/>
    <col min="16" max="16" width="16.28515625" bestFit="1" customWidth="1"/>
    <col min="17" max="17" width="11" bestFit="1" customWidth="1"/>
    <col min="18" max="18" width="12.7109375" bestFit="1" customWidth="1"/>
    <col min="19" max="19" width="13.28515625" bestFit="1" customWidth="1"/>
    <col min="20" max="20" width="18.85546875" bestFit="1" customWidth="1"/>
    <col min="21" max="21" width="14.28515625" bestFit="1" customWidth="1"/>
    <col min="22" max="22" width="24.5703125" bestFit="1" customWidth="1"/>
    <col min="23" max="24" width="14" bestFit="1" customWidth="1"/>
    <col min="25" max="25" width="21.28515625" bestFit="1" customWidth="1"/>
    <col min="26" max="26" width="13.7109375" bestFit="1" customWidth="1"/>
    <col min="27" max="27" width="14.5703125" bestFit="1" customWidth="1"/>
    <col min="28" max="28" width="14.85546875" bestFit="1" customWidth="1"/>
    <col min="29" max="29" width="20.140625" bestFit="1" customWidth="1"/>
    <col min="30" max="30" width="11.7109375" bestFit="1" customWidth="1"/>
    <col min="31" max="31" width="14.42578125" bestFit="1" customWidth="1"/>
    <col min="32" max="32" width="10.5703125" bestFit="1" customWidth="1"/>
    <col min="33" max="34" width="16.7109375" bestFit="1" customWidth="1"/>
    <col min="35" max="35" width="12.42578125" bestFit="1" customWidth="1"/>
    <col min="36" max="36" width="22.85546875" bestFit="1" customWidth="1"/>
    <col min="37" max="37" width="18.85546875" bestFit="1" customWidth="1"/>
    <col min="38" max="38" width="9.28515625" bestFit="1" customWidth="1"/>
    <col min="39" max="39" width="20.140625" bestFit="1" customWidth="1"/>
    <col min="40" max="40" width="9.7109375" bestFit="1" customWidth="1"/>
    <col min="41" max="41" width="13.42578125" bestFit="1" customWidth="1"/>
    <col min="42" max="42" width="15.140625" bestFit="1" customWidth="1"/>
    <col min="43" max="43" width="10.5703125" bestFit="1" customWidth="1"/>
    <col min="44" max="44" width="13.42578125" bestFit="1" customWidth="1"/>
    <col min="45" max="45" width="11.28515625" bestFit="1" customWidth="1"/>
    <col min="46" max="46" width="10" bestFit="1" customWidth="1"/>
    <col min="47" max="47" width="8.85546875" bestFit="1" customWidth="1"/>
    <col min="48" max="48" width="15.140625" bestFit="1" customWidth="1"/>
    <col min="49" max="49" width="15.7109375" bestFit="1" customWidth="1"/>
    <col min="50" max="50" width="28.85546875" bestFit="1" customWidth="1"/>
    <col min="51" max="51" width="14.5703125" bestFit="1" customWidth="1"/>
    <col min="52" max="52" width="15.42578125" bestFit="1" customWidth="1"/>
    <col min="53" max="53" width="13.42578125" bestFit="1" customWidth="1"/>
    <col min="54" max="54" width="11.85546875" bestFit="1" customWidth="1"/>
    <col min="55" max="55" width="9.5703125" bestFit="1" customWidth="1"/>
    <col min="56" max="56" width="11.28515625" bestFit="1" customWidth="1"/>
    <col min="57" max="57" width="21.7109375" bestFit="1" customWidth="1"/>
    <col min="58" max="58" width="9.140625" bestFit="1" customWidth="1"/>
    <col min="59" max="59" width="13.28515625" bestFit="1" customWidth="1"/>
    <col min="60" max="60" width="8.85546875" bestFit="1" customWidth="1"/>
    <col min="61" max="61" width="21" bestFit="1" customWidth="1"/>
    <col min="62" max="62" width="14.140625" bestFit="1" customWidth="1"/>
    <col min="63" max="63" width="14.42578125" bestFit="1" customWidth="1"/>
    <col min="64" max="64" width="12.7109375" bestFit="1" customWidth="1"/>
    <col min="65" max="65" width="18.28515625" bestFit="1" customWidth="1"/>
    <col min="66" max="66" width="9.7109375" bestFit="1" customWidth="1"/>
    <col min="67" max="68" width="20.42578125" bestFit="1" customWidth="1"/>
    <col min="69" max="69" width="14.7109375" bestFit="1" customWidth="1"/>
    <col min="70" max="70" width="16.28515625" bestFit="1" customWidth="1"/>
    <col min="71" max="71" width="11.28515625" bestFit="1" customWidth="1"/>
    <col min="72" max="72" width="14.5703125" bestFit="1" customWidth="1"/>
    <col min="73" max="73" width="20.42578125" bestFit="1" customWidth="1"/>
    <col min="74" max="74" width="10.140625" bestFit="1" customWidth="1"/>
    <col min="75" max="75" width="16" bestFit="1" customWidth="1"/>
    <col min="76" max="76" width="22.85546875" bestFit="1" customWidth="1"/>
    <col min="77" max="77" width="13.7109375" bestFit="1" customWidth="1"/>
    <col min="78" max="78" width="11.140625" bestFit="1" customWidth="1"/>
    <col min="79" max="79" width="12.42578125" bestFit="1" customWidth="1"/>
    <col min="80" max="80" width="11.28515625" bestFit="1" customWidth="1"/>
    <col min="81" max="81" width="13" bestFit="1" customWidth="1"/>
    <col min="82" max="82" width="18.42578125" bestFit="1" customWidth="1"/>
    <col min="83" max="83" width="11.7109375" bestFit="1" customWidth="1"/>
    <col min="84" max="84" width="11.28515625" bestFit="1" customWidth="1"/>
    <col min="85" max="85" width="11.85546875" bestFit="1" customWidth="1"/>
    <col min="86" max="86" width="19.5703125" bestFit="1" customWidth="1"/>
    <col min="87" max="87" width="10.28515625" bestFit="1" customWidth="1"/>
    <col min="88" max="88" width="13.5703125" bestFit="1" customWidth="1"/>
    <col min="89" max="89" width="14.85546875" bestFit="1" customWidth="1"/>
    <col min="90" max="90" width="10.7109375" bestFit="1" customWidth="1"/>
    <col min="91" max="91" width="9.7109375" bestFit="1" customWidth="1"/>
    <col min="92" max="92" width="21.5703125" bestFit="1" customWidth="1"/>
    <col min="93" max="93" width="24.140625" bestFit="1" customWidth="1"/>
    <col min="94" max="94" width="11.28515625" bestFit="1" customWidth="1"/>
    <col min="95" max="95" width="13.28515625" bestFit="1" customWidth="1"/>
    <col min="96" max="96" width="14.28515625" bestFit="1" customWidth="1"/>
    <col min="97" max="97" width="22.140625" bestFit="1" customWidth="1"/>
    <col min="98" max="98" width="23.7109375" bestFit="1" customWidth="1"/>
    <col min="99" max="99" width="12.85546875" bestFit="1" customWidth="1"/>
    <col min="100" max="100" width="11.85546875" bestFit="1" customWidth="1"/>
    <col min="101" max="101" width="23.28515625" bestFit="1" customWidth="1"/>
    <col min="102" max="102" width="21.7109375" bestFit="1" customWidth="1"/>
    <col min="103" max="103" width="10.28515625" bestFit="1" customWidth="1"/>
    <col min="104" max="104" width="11.28515625" bestFit="1" customWidth="1"/>
    <col min="105" max="105" width="17.7109375" bestFit="1" customWidth="1"/>
    <col min="106" max="106" width="14.42578125" bestFit="1" customWidth="1"/>
    <col min="107" max="107" width="10.7109375" bestFit="1" customWidth="1"/>
    <col min="108" max="108" width="17.7109375" bestFit="1" customWidth="1"/>
    <col min="109" max="109" width="21" bestFit="1" customWidth="1"/>
    <col min="110" max="110" width="15.5703125" bestFit="1" customWidth="1"/>
    <col min="111" max="111" width="13" bestFit="1" customWidth="1"/>
    <col min="112" max="112" width="24.140625" bestFit="1" customWidth="1"/>
    <col min="113" max="113" width="16.140625" bestFit="1" customWidth="1"/>
    <col min="114" max="114" width="23.28515625" bestFit="1" customWidth="1"/>
    <col min="115" max="115" width="11.28515625" bestFit="1" customWidth="1"/>
    <col min="116" max="116" width="14" bestFit="1" customWidth="1"/>
    <col min="117" max="117" width="18.85546875" bestFit="1" customWidth="1"/>
    <col min="118" max="118" width="15.7109375" bestFit="1" customWidth="1"/>
    <col min="119" max="119" width="12.28515625" bestFit="1" customWidth="1"/>
    <col min="120" max="120" width="17.85546875" bestFit="1" customWidth="1"/>
    <col min="121" max="121" width="28.5703125" bestFit="1" customWidth="1"/>
    <col min="122" max="122" width="18.85546875" bestFit="1" customWidth="1"/>
    <col min="123" max="123" width="20.42578125" bestFit="1" customWidth="1"/>
    <col min="124" max="124" width="16.28515625" bestFit="1" customWidth="1"/>
    <col min="125" max="125" width="21.28515625" bestFit="1" customWidth="1"/>
    <col min="126" max="126" width="10" bestFit="1" customWidth="1"/>
    <col min="127" max="127" width="11.28515625" bestFit="1" customWidth="1"/>
    <col min="128" max="128" width="14.7109375" bestFit="1" customWidth="1"/>
    <col min="129" max="129" width="14" bestFit="1" customWidth="1"/>
    <col min="130" max="130" width="10.42578125" bestFit="1" customWidth="1"/>
    <col min="131" max="131" width="13.28515625" bestFit="1" customWidth="1"/>
    <col min="132" max="132" width="18.7109375" bestFit="1" customWidth="1"/>
    <col min="133" max="133" width="12.85546875" bestFit="1" customWidth="1"/>
    <col min="134" max="134" width="24.85546875" bestFit="1" customWidth="1"/>
    <col min="135" max="135" width="13.85546875" bestFit="1" customWidth="1"/>
    <col min="136" max="136" width="11.7109375" bestFit="1" customWidth="1"/>
    <col min="137" max="137" width="9.42578125" bestFit="1" customWidth="1"/>
    <col min="138" max="138" width="11.28515625" bestFit="1" customWidth="1"/>
    <col min="139" max="139" width="10.7109375" bestFit="1" customWidth="1"/>
    <col min="140" max="140" width="10.42578125" bestFit="1" customWidth="1"/>
    <col min="141" max="141" width="18.28515625" bestFit="1" customWidth="1"/>
    <col min="142" max="142" width="16.7109375" bestFit="1" customWidth="1"/>
    <col min="143" max="143" width="12.85546875" bestFit="1" customWidth="1"/>
    <col min="144" max="144" width="13.42578125" bestFit="1" customWidth="1"/>
    <col min="145" max="145" width="14" bestFit="1" customWidth="1"/>
    <col min="146" max="146" width="16" bestFit="1" customWidth="1"/>
    <col min="147" max="147" width="11.85546875" bestFit="1" customWidth="1"/>
    <col min="148" max="148" width="13.7109375" bestFit="1" customWidth="1"/>
    <col min="149" max="149" width="19" bestFit="1" customWidth="1"/>
    <col min="150" max="150" width="13.85546875" bestFit="1" customWidth="1"/>
    <col min="151" max="151" width="16.140625" bestFit="1" customWidth="1"/>
    <col min="152" max="152" width="18.42578125" bestFit="1" customWidth="1"/>
    <col min="153" max="153" width="15.42578125" bestFit="1" customWidth="1"/>
    <col min="154" max="154" width="17.85546875" bestFit="1" customWidth="1"/>
    <col min="155" max="155" width="12.7109375" bestFit="1" customWidth="1"/>
    <col min="156" max="156" width="15.7109375" bestFit="1" customWidth="1"/>
    <col min="157" max="157" width="17.42578125" bestFit="1" customWidth="1"/>
    <col min="158" max="158" width="14.28515625" bestFit="1" customWidth="1"/>
    <col min="159" max="159" width="12.28515625" bestFit="1" customWidth="1"/>
    <col min="160" max="160" width="11.7109375" bestFit="1" customWidth="1"/>
    <col min="161" max="161" width="10.42578125" bestFit="1" customWidth="1"/>
    <col min="162" max="162" width="11.7109375" bestFit="1" customWidth="1"/>
    <col min="163" max="163" width="17.7109375" bestFit="1" customWidth="1"/>
    <col min="164" max="165" width="13.7109375" bestFit="1" customWidth="1"/>
    <col min="166" max="166" width="13" bestFit="1" customWidth="1"/>
    <col min="167" max="167" width="9.5703125" bestFit="1" customWidth="1"/>
    <col min="168" max="168" width="11" bestFit="1" customWidth="1"/>
    <col min="169" max="169" width="12.7109375" bestFit="1" customWidth="1"/>
    <col min="170" max="170" width="23.5703125" bestFit="1" customWidth="1"/>
    <col min="171" max="171" width="15.5703125" bestFit="1" customWidth="1"/>
    <col min="172" max="172" width="17.28515625" bestFit="1" customWidth="1"/>
    <col min="173" max="173" width="22.7109375" bestFit="1" customWidth="1"/>
    <col min="174" max="174" width="13.7109375" bestFit="1" customWidth="1"/>
    <col min="175" max="175" width="17.7109375" bestFit="1" customWidth="1"/>
    <col min="176" max="176" width="12.42578125" bestFit="1" customWidth="1"/>
    <col min="177" max="177" width="10.42578125" bestFit="1" customWidth="1"/>
    <col min="178" max="178" width="10.28515625" bestFit="1" customWidth="1"/>
    <col min="179" max="179" width="10.7109375" bestFit="1" customWidth="1"/>
    <col min="180" max="180" width="23.85546875" bestFit="1" customWidth="1"/>
    <col min="181" max="181" width="10.5703125" bestFit="1" customWidth="1"/>
    <col min="182" max="182" width="11.5703125" bestFit="1" customWidth="1"/>
    <col min="183" max="183" width="11.140625" bestFit="1" customWidth="1"/>
    <col min="184" max="184" width="9.7109375" bestFit="1" customWidth="1"/>
    <col min="185" max="185" width="13.42578125" bestFit="1" customWidth="1"/>
    <col min="186" max="186" width="9.5703125" bestFit="1" customWidth="1"/>
    <col min="187" max="187" width="22.28515625" bestFit="1" customWidth="1"/>
    <col min="188" max="188" width="17.7109375" bestFit="1" customWidth="1"/>
    <col min="189" max="189" width="25.7109375" bestFit="1" customWidth="1"/>
    <col min="190" max="190" width="20.5703125" bestFit="1" customWidth="1"/>
    <col min="191" max="191" width="18.85546875" bestFit="1" customWidth="1"/>
    <col min="192" max="192" width="13.28515625" bestFit="1" customWidth="1"/>
    <col min="193" max="193" width="10.7109375" bestFit="1" customWidth="1"/>
    <col min="194" max="195" width="11.28515625" bestFit="1" customWidth="1"/>
    <col min="196" max="196" width="12.42578125" bestFit="1" customWidth="1"/>
    <col min="197" max="197" width="19.140625" bestFit="1" customWidth="1"/>
    <col min="198" max="198" width="19.5703125" bestFit="1" customWidth="1"/>
    <col min="199" max="199" width="12.28515625" bestFit="1" customWidth="1"/>
    <col min="200" max="200" width="17.28515625" bestFit="1" customWidth="1"/>
  </cols>
  <sheetData>
    <row r="1" spans="1:200">
      <c r="A1" s="184">
        <f>'Processing Count'!E59</f>
        <v>17367</v>
      </c>
      <c r="B1" s="183"/>
      <c r="C1" s="185">
        <f>A1-C2</f>
        <v>0</v>
      </c>
      <c r="D1" s="145" t="s">
        <v>4</v>
      </c>
      <c r="E1" s="145" t="s">
        <v>5</v>
      </c>
      <c r="F1" s="145" t="s">
        <v>6</v>
      </c>
      <c r="G1" s="145" t="s">
        <v>7</v>
      </c>
      <c r="H1" s="145" t="s">
        <v>8</v>
      </c>
      <c r="I1" s="145" t="s">
        <v>9</v>
      </c>
      <c r="J1" s="145" t="s">
        <v>10</v>
      </c>
      <c r="K1" s="145" t="s">
        <v>11</v>
      </c>
      <c r="L1" s="145" t="s">
        <v>12</v>
      </c>
      <c r="M1" s="145" t="s">
        <v>13</v>
      </c>
      <c r="N1" s="145" t="s">
        <v>14</v>
      </c>
      <c r="O1" s="145" t="s">
        <v>15</v>
      </c>
      <c r="P1" s="145" t="s">
        <v>16</v>
      </c>
      <c r="Q1" s="145" t="s">
        <v>17</v>
      </c>
      <c r="R1" s="145" t="s">
        <v>18</v>
      </c>
      <c r="S1" s="145" t="s">
        <v>19</v>
      </c>
      <c r="T1" s="145" t="s">
        <v>20</v>
      </c>
      <c r="U1" s="145" t="s">
        <v>21</v>
      </c>
      <c r="V1" s="145" t="s">
        <v>22</v>
      </c>
      <c r="W1" s="145" t="s">
        <v>23</v>
      </c>
      <c r="X1" s="145" t="s">
        <v>24</v>
      </c>
      <c r="Y1" s="145" t="s">
        <v>25</v>
      </c>
      <c r="Z1" s="145" t="s">
        <v>26</v>
      </c>
      <c r="AA1" s="145" t="s">
        <v>27</v>
      </c>
      <c r="AB1" s="145" t="s">
        <v>28</v>
      </c>
      <c r="AC1" s="145" t="s">
        <v>29</v>
      </c>
      <c r="AD1" s="152" t="s">
        <v>30</v>
      </c>
      <c r="AE1" s="145" t="s">
        <v>31</v>
      </c>
      <c r="AF1" s="145" t="s">
        <v>32</v>
      </c>
      <c r="AG1" s="145" t="s">
        <v>33</v>
      </c>
      <c r="AH1" s="145" t="s">
        <v>34</v>
      </c>
      <c r="AI1" s="145" t="s">
        <v>35</v>
      </c>
      <c r="AJ1" s="145" t="s">
        <v>36</v>
      </c>
      <c r="AK1" s="145" t="s">
        <v>37</v>
      </c>
      <c r="AL1" s="145" t="s">
        <v>38</v>
      </c>
      <c r="AM1" s="145" t="s">
        <v>39</v>
      </c>
      <c r="AN1" s="145" t="s">
        <v>40</v>
      </c>
      <c r="AO1" s="145" t="s">
        <v>41</v>
      </c>
      <c r="AP1" s="145" t="s">
        <v>42</v>
      </c>
      <c r="AQ1" s="145" t="s">
        <v>43</v>
      </c>
      <c r="AR1" s="145" t="s">
        <v>44</v>
      </c>
      <c r="AS1" s="145" t="s">
        <v>45</v>
      </c>
      <c r="AT1" s="145" t="s">
        <v>46</v>
      </c>
      <c r="AU1" s="145" t="s">
        <v>47</v>
      </c>
      <c r="AV1" s="145" t="s">
        <v>48</v>
      </c>
      <c r="AW1" s="145" t="s">
        <v>49</v>
      </c>
      <c r="AX1" s="145" t="s">
        <v>50</v>
      </c>
      <c r="AY1" s="145" t="s">
        <v>51</v>
      </c>
      <c r="AZ1" s="145" t="s">
        <v>52</v>
      </c>
      <c r="BA1" s="145" t="s">
        <v>53</v>
      </c>
      <c r="BB1" s="145" t="s">
        <v>54</v>
      </c>
      <c r="BC1" s="145" t="s">
        <v>55</v>
      </c>
      <c r="BD1" s="145" t="s">
        <v>56</v>
      </c>
      <c r="BE1" s="145" t="s">
        <v>57</v>
      </c>
      <c r="BF1" s="145" t="s">
        <v>58</v>
      </c>
      <c r="BG1" s="145" t="s">
        <v>59</v>
      </c>
      <c r="BH1" s="145" t="s">
        <v>60</v>
      </c>
      <c r="BI1" s="145" t="s">
        <v>61</v>
      </c>
      <c r="BJ1" s="145" t="s">
        <v>62</v>
      </c>
      <c r="BK1" s="145" t="s">
        <v>63</v>
      </c>
      <c r="BL1" s="145" t="s">
        <v>64</v>
      </c>
      <c r="BM1" s="145" t="s">
        <v>65</v>
      </c>
      <c r="BN1" s="145" t="s">
        <v>66</v>
      </c>
      <c r="BO1" s="145" t="s">
        <v>67</v>
      </c>
      <c r="BP1" s="145" t="s">
        <v>68</v>
      </c>
      <c r="BQ1" s="145" t="s">
        <v>69</v>
      </c>
      <c r="BR1" s="145" t="s">
        <v>70</v>
      </c>
      <c r="BS1" s="145" t="s">
        <v>71</v>
      </c>
      <c r="BT1" s="145" t="s">
        <v>72</v>
      </c>
      <c r="BU1" s="145" t="s">
        <v>73</v>
      </c>
      <c r="BV1" s="145" t="s">
        <v>74</v>
      </c>
      <c r="BW1" s="145" t="s">
        <v>75</v>
      </c>
      <c r="BX1" s="145" t="s">
        <v>76</v>
      </c>
      <c r="BY1" s="145" t="s">
        <v>77</v>
      </c>
      <c r="BZ1" s="145" t="s">
        <v>78</v>
      </c>
      <c r="CA1" s="145" t="s">
        <v>79</v>
      </c>
      <c r="CB1" s="145" t="s">
        <v>80</v>
      </c>
      <c r="CC1" s="145" t="s">
        <v>81</v>
      </c>
      <c r="CD1" s="145" t="s">
        <v>82</v>
      </c>
      <c r="CE1" s="145" t="s">
        <v>83</v>
      </c>
      <c r="CF1" s="145" t="s">
        <v>84</v>
      </c>
      <c r="CG1" s="145" t="s">
        <v>85</v>
      </c>
      <c r="CH1" s="145" t="s">
        <v>86</v>
      </c>
      <c r="CI1" s="145" t="s">
        <v>87</v>
      </c>
      <c r="CJ1" s="145" t="s">
        <v>88</v>
      </c>
      <c r="CK1" s="145" t="s">
        <v>89</v>
      </c>
      <c r="CL1" s="145" t="s">
        <v>90</v>
      </c>
      <c r="CM1" s="145" t="s">
        <v>91</v>
      </c>
      <c r="CN1" s="145" t="s">
        <v>92</v>
      </c>
      <c r="CO1" s="145" t="s">
        <v>93</v>
      </c>
      <c r="CP1" s="145" t="s">
        <v>94</v>
      </c>
      <c r="CQ1" s="145" t="s">
        <v>95</v>
      </c>
      <c r="CR1" s="145" t="s">
        <v>96</v>
      </c>
      <c r="CS1" s="145" t="s">
        <v>97</v>
      </c>
      <c r="CT1" s="145" t="s">
        <v>98</v>
      </c>
      <c r="CU1" s="145" t="s">
        <v>99</v>
      </c>
      <c r="CV1" s="145" t="s">
        <v>100</v>
      </c>
      <c r="CW1" s="145" t="s">
        <v>101</v>
      </c>
      <c r="CX1" s="145" t="s">
        <v>102</v>
      </c>
      <c r="CY1" s="145" t="s">
        <v>103</v>
      </c>
      <c r="CZ1" s="145" t="s">
        <v>104</v>
      </c>
      <c r="DA1" s="145" t="s">
        <v>105</v>
      </c>
      <c r="DB1" s="145" t="s">
        <v>106</v>
      </c>
      <c r="DC1" s="145" t="s">
        <v>107</v>
      </c>
      <c r="DD1" s="145" t="s">
        <v>108</v>
      </c>
      <c r="DE1" s="145" t="s">
        <v>109</v>
      </c>
      <c r="DF1" s="145" t="s">
        <v>110</v>
      </c>
      <c r="DG1" s="145" t="s">
        <v>111</v>
      </c>
      <c r="DH1" s="145" t="s">
        <v>112</v>
      </c>
      <c r="DI1" s="145" t="s">
        <v>113</v>
      </c>
      <c r="DJ1" s="145" t="s">
        <v>114</v>
      </c>
      <c r="DK1" s="145" t="s">
        <v>115</v>
      </c>
      <c r="DL1" s="145" t="s">
        <v>116</v>
      </c>
      <c r="DM1" s="145" t="s">
        <v>117</v>
      </c>
      <c r="DN1" s="145" t="s">
        <v>118</v>
      </c>
      <c r="DO1" s="145" t="s">
        <v>119</v>
      </c>
      <c r="DP1" s="145" t="s">
        <v>120</v>
      </c>
      <c r="DQ1" s="145" t="s">
        <v>121</v>
      </c>
      <c r="DR1" s="145" t="s">
        <v>122</v>
      </c>
      <c r="DS1" s="145" t="s">
        <v>123</v>
      </c>
      <c r="DT1" s="145" t="s">
        <v>124</v>
      </c>
      <c r="DU1" s="145" t="s">
        <v>125</v>
      </c>
      <c r="DV1" s="145" t="s">
        <v>126</v>
      </c>
      <c r="DW1" s="145" t="s">
        <v>127</v>
      </c>
      <c r="DX1" s="145" t="s">
        <v>128</v>
      </c>
      <c r="DY1" s="145" t="s">
        <v>129</v>
      </c>
      <c r="DZ1" s="145" t="s">
        <v>130</v>
      </c>
      <c r="EA1" s="145" t="s">
        <v>131</v>
      </c>
      <c r="EB1" s="145" t="s">
        <v>132</v>
      </c>
      <c r="EC1" s="145" t="s">
        <v>133</v>
      </c>
      <c r="ED1" s="145" t="s">
        <v>134</v>
      </c>
      <c r="EE1" s="145" t="s">
        <v>135</v>
      </c>
      <c r="EF1" s="145" t="s">
        <v>136</v>
      </c>
      <c r="EG1" s="145" t="s">
        <v>137</v>
      </c>
      <c r="EH1" s="145" t="s">
        <v>138</v>
      </c>
      <c r="EI1" s="145" t="s">
        <v>139</v>
      </c>
      <c r="EJ1" s="145" t="s">
        <v>140</v>
      </c>
      <c r="EK1" s="145" t="s">
        <v>141</v>
      </c>
      <c r="EL1" s="145" t="s">
        <v>142</v>
      </c>
      <c r="EM1" s="145" t="s">
        <v>143</v>
      </c>
      <c r="EN1" s="145" t="s">
        <v>144</v>
      </c>
      <c r="EO1" s="145" t="s">
        <v>145</v>
      </c>
      <c r="EP1" s="145" t="s">
        <v>146</v>
      </c>
      <c r="EQ1" s="145" t="s">
        <v>147</v>
      </c>
      <c r="ER1" s="145" t="s">
        <v>148</v>
      </c>
      <c r="ES1" s="145" t="s">
        <v>149</v>
      </c>
      <c r="ET1" s="145" t="s">
        <v>150</v>
      </c>
      <c r="EU1" s="145" t="s">
        <v>151</v>
      </c>
      <c r="EV1" s="145" t="s">
        <v>152</v>
      </c>
      <c r="EW1" s="145" t="s">
        <v>153</v>
      </c>
      <c r="EX1" s="145" t="s">
        <v>154</v>
      </c>
      <c r="EY1" s="145" t="s">
        <v>155</v>
      </c>
      <c r="EZ1" s="145" t="s">
        <v>156</v>
      </c>
      <c r="FA1" s="145" t="s">
        <v>157</v>
      </c>
      <c r="FB1" s="145" t="s">
        <v>158</v>
      </c>
      <c r="FC1" s="145" t="s">
        <v>159</v>
      </c>
      <c r="FD1" s="145" t="s">
        <v>160</v>
      </c>
      <c r="FE1" s="145" t="s">
        <v>161</v>
      </c>
      <c r="FF1" s="145" t="s">
        <v>162</v>
      </c>
      <c r="FG1" s="145" t="s">
        <v>163</v>
      </c>
      <c r="FH1" s="145" t="s">
        <v>164</v>
      </c>
      <c r="FI1" s="145" t="s">
        <v>165</v>
      </c>
      <c r="FJ1" s="145" t="s">
        <v>166</v>
      </c>
      <c r="FK1" s="145" t="s">
        <v>167</v>
      </c>
      <c r="FL1" s="145" t="s">
        <v>168</v>
      </c>
      <c r="FM1" s="145" t="s">
        <v>169</v>
      </c>
      <c r="FN1" s="145" t="s">
        <v>170</v>
      </c>
      <c r="FO1" s="145" t="s">
        <v>171</v>
      </c>
      <c r="FP1" s="145" t="s">
        <v>172</v>
      </c>
      <c r="FQ1" s="145" t="s">
        <v>173</v>
      </c>
      <c r="FR1" s="145" t="s">
        <v>174</v>
      </c>
      <c r="FS1" s="145" t="s">
        <v>175</v>
      </c>
      <c r="FT1" s="145" t="s">
        <v>176</v>
      </c>
      <c r="FU1" s="145" t="s">
        <v>177</v>
      </c>
      <c r="FV1" s="145" t="s">
        <v>178</v>
      </c>
      <c r="FW1" s="145" t="s">
        <v>179</v>
      </c>
      <c r="FX1" s="145" t="s">
        <v>180</v>
      </c>
      <c r="FY1" s="145" t="s">
        <v>181</v>
      </c>
      <c r="FZ1" s="145" t="s">
        <v>182</v>
      </c>
      <c r="GA1" s="145" t="s">
        <v>183</v>
      </c>
      <c r="GB1" s="145" t="s">
        <v>184</v>
      </c>
      <c r="GC1" s="145" t="s">
        <v>185</v>
      </c>
      <c r="GD1" s="145" t="s">
        <v>186</v>
      </c>
      <c r="GE1" s="145" t="s">
        <v>187</v>
      </c>
      <c r="GF1" s="145" t="s">
        <v>188</v>
      </c>
      <c r="GG1" s="145" t="s">
        <v>189</v>
      </c>
      <c r="GH1" s="145" t="s">
        <v>190</v>
      </c>
      <c r="GI1" s="145" t="s">
        <v>191</v>
      </c>
      <c r="GJ1" s="145" t="s">
        <v>192</v>
      </c>
      <c r="GK1" s="145" t="s">
        <v>193</v>
      </c>
      <c r="GL1" s="145" t="s">
        <v>194</v>
      </c>
      <c r="GM1" s="145" t="s">
        <v>195</v>
      </c>
      <c r="GN1" s="145" t="s">
        <v>196</v>
      </c>
      <c r="GO1" s="145" t="s">
        <v>197</v>
      </c>
      <c r="GP1" s="145" t="s">
        <v>198</v>
      </c>
      <c r="GQ1" s="145" t="s">
        <v>199</v>
      </c>
      <c r="GR1" s="145" t="s">
        <v>200</v>
      </c>
    </row>
    <row r="2" spans="1:200">
      <c r="A2" s="221" t="s">
        <v>240</v>
      </c>
      <c r="B2" s="222"/>
      <c r="C2" s="85">
        <f>SUM(D2:GR2)</f>
        <v>17367</v>
      </c>
      <c r="D2" s="72">
        <f>IFERROR(HLOOKUP(D1,'Processing Count'!H1:GZ24,24,0),0)+IFERROR(HLOOKUP(D1,'Processing Count'!H27:GZ59,33),0)</f>
        <v>0</v>
      </c>
      <c r="E2" s="72">
        <f>IFERROR(HLOOKUP(E1,'Processing Count'!I1:HA24,24,0),0)+IFERROR(HLOOKUP(E1,'Processing Count'!I27:HA59,33),0)</f>
        <v>72</v>
      </c>
      <c r="F2" s="72">
        <f>IFERROR(HLOOKUP(F1,'Processing Count'!J1:HB24,24,0),0)+IFERROR(HLOOKUP(F1,'Processing Count'!J27:HB59,33),0)</f>
        <v>0</v>
      </c>
      <c r="G2" s="72">
        <f>IFERROR(HLOOKUP(G1,'Processing Count'!K1:HC24,24,0),0)+IFERROR(HLOOKUP(G1,'Processing Count'!K27:HC59,33),0)</f>
        <v>0</v>
      </c>
      <c r="H2" s="72">
        <f>IFERROR(HLOOKUP(H1,'Processing Count'!L1:HD24,24,0),0)+IFERROR(HLOOKUP(H1,'Processing Count'!L27:HD59,33),0)</f>
        <v>0</v>
      </c>
      <c r="I2" s="72">
        <f>IFERROR(HLOOKUP(I1,'Processing Count'!M1:HE24,24,0),0)+IFERROR(HLOOKUP(I1,'Processing Count'!M27:HE59,33),0)</f>
        <v>469</v>
      </c>
      <c r="J2" s="72">
        <f>IFERROR(HLOOKUP(J1,'Processing Count'!N1:HF24,24,0),0)+IFERROR(HLOOKUP(J1,'Processing Count'!N27:HF59,33),0)</f>
        <v>0</v>
      </c>
      <c r="K2" s="72">
        <f>IFERROR(HLOOKUP(K1,'Processing Count'!O1:HG24,24,0),0)+IFERROR(HLOOKUP(K1,'Processing Count'!O27:HG59,33),0)</f>
        <v>0</v>
      </c>
      <c r="L2" s="72">
        <f>IFERROR(HLOOKUP(L1,'Processing Count'!P1:HH24,24,0),0)+IFERROR(HLOOKUP(L1,'Processing Count'!P27:HH59,33),0)</f>
        <v>0</v>
      </c>
      <c r="M2" s="72">
        <f>IFERROR(HLOOKUP(M1,'Processing Count'!Q1:HI24,24,0),0)+IFERROR(HLOOKUP(M1,'Processing Count'!Q27:HI59,33),0)</f>
        <v>186</v>
      </c>
      <c r="N2" s="72">
        <f>IFERROR(HLOOKUP(N1,'Processing Count'!R1:HJ24,24,0),0)+IFERROR(HLOOKUP(N1,'Processing Count'!R27:HJ59,33),0)</f>
        <v>0</v>
      </c>
      <c r="O2" s="72">
        <f>IFERROR(HLOOKUP(O1,'Processing Count'!S1:HK24,24,0),0)+IFERROR(HLOOKUP(O1,'Processing Count'!S27:HK59,33),0)</f>
        <v>0</v>
      </c>
      <c r="P2" s="72">
        <f>IFERROR(HLOOKUP(P1,'Processing Count'!T1:HL24,24,0),0)+IFERROR(HLOOKUP(P1,'Processing Count'!T27:HL59,33),0)</f>
        <v>714</v>
      </c>
      <c r="Q2" s="72">
        <f>IFERROR(HLOOKUP(Q1,'Processing Count'!U1:HM24,24,0),0)+IFERROR(HLOOKUP(Q1,'Processing Count'!U27:HM59,33),0)</f>
        <v>0</v>
      </c>
      <c r="R2" s="72">
        <f>IFERROR(HLOOKUP(R1,'Processing Count'!V1:HN24,24,0),0)+IFERROR(HLOOKUP(R1,'Processing Count'!V27:HN59,33),0)</f>
        <v>0</v>
      </c>
      <c r="S2" s="72">
        <f>IFERROR(HLOOKUP(S1,'Processing Count'!W1:HO24,24,0),0)+IFERROR(HLOOKUP(S1,'Processing Count'!W27:HO59,33),0)</f>
        <v>92</v>
      </c>
      <c r="T2" s="72">
        <f>IFERROR(HLOOKUP(T1,'Processing Count'!X1:HP24,24,0),0)+IFERROR(HLOOKUP(T1,'Processing Count'!X27:HP59,33),0)</f>
        <v>118</v>
      </c>
      <c r="U2" s="72">
        <f>IFERROR(HLOOKUP(U1,'Processing Count'!Y1:HQ24,24,0),0)+IFERROR(HLOOKUP(U1,'Processing Count'!Y27:HQ59,33),0)</f>
        <v>249</v>
      </c>
      <c r="V2" s="72">
        <f>IFERROR(HLOOKUP(V1,'Processing Count'!Z1:HR24,24,0),0)+IFERROR(HLOOKUP(V1,'Processing Count'!Z27:HR59,33),0)</f>
        <v>0</v>
      </c>
      <c r="W2" s="72">
        <f>IFERROR(HLOOKUP(W1,'Processing Count'!AA1:HS24,24,0),0)+IFERROR(HLOOKUP(W1,'Processing Count'!AA27:HS59,33),0)</f>
        <v>174</v>
      </c>
      <c r="X2" s="72">
        <f>IFERROR(HLOOKUP(X1,'Processing Count'!AB1:HT24,24,0),0)+IFERROR(HLOOKUP(X1,'Processing Count'!AB27:HT59,33),0)</f>
        <v>0</v>
      </c>
      <c r="Y2" s="72">
        <f>IFERROR(HLOOKUP(Y1,'Processing Count'!AC1:HU24,24,0),0)+IFERROR(HLOOKUP(Y1,'Processing Count'!AC27:HU59,33),0)</f>
        <v>1185</v>
      </c>
      <c r="Z2" s="72">
        <f>IFERROR(HLOOKUP(Z1,'Processing Count'!AD1:HV24,24,0),0)+IFERROR(HLOOKUP(Z1,'Processing Count'!AD27:HV59,33),0)</f>
        <v>0</v>
      </c>
      <c r="AA2" s="72">
        <f>IFERROR(HLOOKUP(AA1,'Processing Count'!AE1:HW24,24,0),0)+IFERROR(HLOOKUP(AA1,'Processing Count'!AE27:HW59,33),0)</f>
        <v>0</v>
      </c>
      <c r="AB2" s="72">
        <f>IFERROR(HLOOKUP(AB1,'Processing Count'!AF1:HX24,24,0),0)+IFERROR(HLOOKUP(AB1,'Processing Count'!AF27:HX59,33),0)</f>
        <v>0</v>
      </c>
      <c r="AC2" s="72">
        <f>IFERROR(HLOOKUP(AC1,'Processing Count'!AG1:HY24,24,0),0)+IFERROR(HLOOKUP(AC1,'Processing Count'!AG27:HY59,33),0)</f>
        <v>0</v>
      </c>
      <c r="AD2" s="72">
        <f>IFERROR(HLOOKUP(AD1,'Processing Count'!AH1:HZ24,24,0),0)+IFERROR(HLOOKUP(AD1,'Processing Count'!AH27:HZ59,33),0)</f>
        <v>0</v>
      </c>
      <c r="AE2" s="72">
        <f>IFERROR(HLOOKUP(AE1,'Processing Count'!AI1:IA24,24,0),0)+IFERROR(HLOOKUP(AE1,'Processing Count'!AI27:IA59,33),0)</f>
        <v>0</v>
      </c>
      <c r="AF2" s="72">
        <f>IFERROR(HLOOKUP(AF1,'Processing Count'!AJ1:IB24,24,0),0)+IFERROR(HLOOKUP(AF1,'Processing Count'!AJ27:IB59,33),0)</f>
        <v>0</v>
      </c>
      <c r="AG2" s="72">
        <f>IFERROR(HLOOKUP(AG1,'Processing Count'!AK1:IC24,24,0),0)+IFERROR(HLOOKUP(AG1,'Processing Count'!AK27:IC59,33),0)</f>
        <v>0</v>
      </c>
      <c r="AH2" s="72">
        <f>IFERROR(HLOOKUP(AH1,'Processing Count'!AL1:ID24,24,0),0)+IFERROR(HLOOKUP(AH1,'Processing Count'!AL27:ID59,33),0)</f>
        <v>0</v>
      </c>
      <c r="AI2" s="72">
        <f>IFERROR(HLOOKUP(AI1,'Processing Count'!AM1:IE24,24,0),0)+IFERROR(HLOOKUP(AI1,'Processing Count'!AM27:IE59,33),0)</f>
        <v>0</v>
      </c>
      <c r="AJ2" s="72">
        <f>IFERROR(HLOOKUP(AJ1,'Processing Count'!AN1:IF24,24,0),0)+IFERROR(HLOOKUP(AJ1,'Processing Count'!AN27:IF59,33),0)</f>
        <v>0</v>
      </c>
      <c r="AK2" s="72">
        <f>IFERROR(HLOOKUP(AK1,'Processing Count'!AO1:IG24,24,0),0)+IFERROR(HLOOKUP(AK1,'Processing Count'!AO27:IG59,33),0)</f>
        <v>0</v>
      </c>
      <c r="AL2" s="72">
        <f>IFERROR(HLOOKUP(AL1,'Processing Count'!AP1:IH24,24,0),0)+IFERROR(HLOOKUP(AL1,'Processing Count'!AP27:IH59,33),0)</f>
        <v>155</v>
      </c>
      <c r="AM2" s="72">
        <f>IFERROR(HLOOKUP(AM1,'Processing Count'!AQ1:II24,24,0),0)+IFERROR(HLOOKUP(AM1,'Processing Count'!AQ27:II59,33),0)</f>
        <v>441</v>
      </c>
      <c r="AN2" s="72">
        <f>IFERROR(HLOOKUP(AN1,'Processing Count'!AR1:IJ24,24,0),0)+IFERROR(HLOOKUP(AN1,'Processing Count'!AR27:IJ59,33),0)</f>
        <v>120</v>
      </c>
      <c r="AO2" s="72">
        <f>IFERROR(HLOOKUP(AO1,'Processing Count'!AS1:IK24,24,0),0)+IFERROR(HLOOKUP(AO1,'Processing Count'!AS27:IK59,33),0)</f>
        <v>0</v>
      </c>
      <c r="AP2" s="72">
        <f>IFERROR(HLOOKUP(AP1,'Processing Count'!AT1:IL24,24,0),0)+IFERROR(HLOOKUP(AP1,'Processing Count'!AT27:IL59,33),0)</f>
        <v>0</v>
      </c>
      <c r="AQ2" s="72">
        <f>IFERROR(HLOOKUP(AQ1,'Processing Count'!AU1:IM24,24,0),0)+IFERROR(HLOOKUP(AQ1,'Processing Count'!AU27:IM59,33),0)</f>
        <v>0</v>
      </c>
      <c r="AR2" s="72">
        <f>IFERROR(HLOOKUP(AR1,'Processing Count'!AV1:IN24,24,0),0)+IFERROR(HLOOKUP(AR1,'Processing Count'!AV27:IN59,33),0)</f>
        <v>131</v>
      </c>
      <c r="AS2" s="72">
        <f>IFERROR(HLOOKUP(AS1,'Processing Count'!AW1:IO24,24,0),0)+IFERROR(HLOOKUP(AS1,'Processing Count'!AW27:IO59,33),0)</f>
        <v>0</v>
      </c>
      <c r="AT2" s="72">
        <f>IFERROR(HLOOKUP(AT1,'Processing Count'!AX1:IP24,24,0),0)+IFERROR(HLOOKUP(AT1,'Processing Count'!AX27:IP59,33),0)</f>
        <v>0</v>
      </c>
      <c r="AU2" s="72">
        <f>IFERROR(HLOOKUP(AU1,'Processing Count'!AY1:IQ24,24,0),0)+IFERROR(HLOOKUP(AU1,'Processing Count'!AY27:IQ59,33),0)</f>
        <v>0</v>
      </c>
      <c r="AV2" s="72">
        <f>IFERROR(HLOOKUP(AV1,'Processing Count'!AZ1:IR24,24,0),0)+IFERROR(HLOOKUP(AV1,'Processing Count'!AZ27:IR59,33),0)</f>
        <v>0</v>
      </c>
      <c r="AW2" s="72">
        <f>IFERROR(HLOOKUP(AW1,'Processing Count'!BA1:IS24,24,0),0)+IFERROR(HLOOKUP(AW1,'Processing Count'!BA27:IS59,33),0)</f>
        <v>0</v>
      </c>
      <c r="AX2" s="72">
        <f>IFERROR(HLOOKUP(AX1,'Processing Count'!BB1:IT24,24,0),0)+IFERROR(HLOOKUP(AX1,'Processing Count'!BB27:IT59,33),0)</f>
        <v>0</v>
      </c>
      <c r="AY2" s="72">
        <f>IFERROR(HLOOKUP(AY1,'Processing Count'!BC1:IU24,24,0),0)+IFERROR(HLOOKUP(AY1,'Processing Count'!BC27:IU59,33),0)</f>
        <v>0</v>
      </c>
      <c r="AZ2" s="72">
        <f>IFERROR(HLOOKUP(AZ1,'Processing Count'!BD1:IV24,24,0),0)+IFERROR(HLOOKUP(AZ1,'Processing Count'!BD27:IV59,33),0)</f>
        <v>0</v>
      </c>
      <c r="BA2" s="72">
        <f>IFERROR(HLOOKUP(BA1,'Processing Count'!BE1:IW24,24,0),0)+IFERROR(HLOOKUP(BA1,'Processing Count'!BE27:IW59,33),0)</f>
        <v>0</v>
      </c>
      <c r="BB2" s="72">
        <f>IFERROR(HLOOKUP(BB1,'Processing Count'!BF1:IX24,24,0),0)+IFERROR(HLOOKUP(BB1,'Processing Count'!BF27:IX59,33),0)</f>
        <v>250</v>
      </c>
      <c r="BC2" s="72">
        <f>IFERROR(HLOOKUP(BC1,'Processing Count'!BG1:IY24,24,0),0)+IFERROR(HLOOKUP(BC1,'Processing Count'!BG27:IY59,33),0)</f>
        <v>0</v>
      </c>
      <c r="BD2" s="72">
        <f>IFERROR(HLOOKUP(BD1,'Processing Count'!BH1:IZ24,24,0),0)+IFERROR(HLOOKUP(BD1,'Processing Count'!BH27:IZ59,33),0)</f>
        <v>0</v>
      </c>
      <c r="BE2" s="72">
        <f>IFERROR(HLOOKUP(BE1,'Processing Count'!BI1:JA24,24,0),0)+IFERROR(HLOOKUP(BE1,'Processing Count'!BI27:JA59,33),0)</f>
        <v>0</v>
      </c>
      <c r="BF2" s="72">
        <f>IFERROR(HLOOKUP(BF1,'Processing Count'!BJ1:JB24,24,0),0)+IFERROR(HLOOKUP(BF1,'Processing Count'!BJ27:JB59,33),0)</f>
        <v>207</v>
      </c>
      <c r="BG2" s="72">
        <f>IFERROR(HLOOKUP(BG1,'Processing Count'!BK1:JC24,24,0),0)+IFERROR(HLOOKUP(BG1,'Processing Count'!BK27:JC59,33),0)</f>
        <v>0</v>
      </c>
      <c r="BH2" s="72">
        <f>IFERROR(HLOOKUP(BH1,'Processing Count'!BL1:JD24,24,0),0)+IFERROR(HLOOKUP(BH1,'Processing Count'!BL27:JD59,33),0)</f>
        <v>0</v>
      </c>
      <c r="BI2" s="72">
        <f>IFERROR(HLOOKUP(BI1,'Processing Count'!BM1:JE24,24,0),0)+IFERROR(HLOOKUP(BI1,'Processing Count'!BM27:JE59,33),0)</f>
        <v>103</v>
      </c>
      <c r="BJ2" s="72">
        <f>IFERROR(HLOOKUP(BJ1,'Processing Count'!BN1:JF24,24,0),0)+IFERROR(HLOOKUP(BJ1,'Processing Count'!BN27:JF59,33),0)</f>
        <v>0</v>
      </c>
      <c r="BK2" s="72">
        <f>IFERROR(HLOOKUP(BK1,'Processing Count'!BO1:JG24,24,0),0)+IFERROR(HLOOKUP(BK1,'Processing Count'!BO27:JG59,33),0)</f>
        <v>0</v>
      </c>
      <c r="BL2" s="72">
        <f>IFERROR(HLOOKUP(BL1,'Processing Count'!BP1:JH24,24,0),0)+IFERROR(HLOOKUP(BL1,'Processing Count'!BP27:JH59,33),0)</f>
        <v>0</v>
      </c>
      <c r="BM2" s="72">
        <f>IFERROR(HLOOKUP(BM1,'Processing Count'!BQ1:JI24,24,0),0)+IFERROR(HLOOKUP(BM1,'Processing Count'!BQ27:JI59,33),0)</f>
        <v>0</v>
      </c>
      <c r="BN2" s="72">
        <f>IFERROR(HLOOKUP(BN1,'Processing Count'!BR1:JJ24,24,0),0)+IFERROR(HLOOKUP(BN1,'Processing Count'!BR27:JJ59,33),0)</f>
        <v>0</v>
      </c>
      <c r="BO2" s="72">
        <f>IFERROR(HLOOKUP(BO1,'Processing Count'!BS1:JK24,24,0),0)+IFERROR(HLOOKUP(BO1,'Processing Count'!BS27:JK59,33),0)</f>
        <v>0</v>
      </c>
      <c r="BP2" s="72">
        <f>IFERROR(HLOOKUP(BP1,'Processing Count'!BT1:JL24,24,0),0)+IFERROR(HLOOKUP(BP1,'Processing Count'!BT27:JL59,33),0)</f>
        <v>0</v>
      </c>
      <c r="BQ2" s="72">
        <f>IFERROR(HLOOKUP(BQ1,'Processing Count'!BU1:JM24,24,0),0)+IFERROR(HLOOKUP(BQ1,'Processing Count'!BU27:JM59,33),0)</f>
        <v>0</v>
      </c>
      <c r="BR2" s="72">
        <f>IFERROR(HLOOKUP(BR1,'Processing Count'!BV1:JN24,24,0),0)+IFERROR(HLOOKUP(BR1,'Processing Count'!BV27:JN59,33),0)</f>
        <v>0</v>
      </c>
      <c r="BS2" s="72">
        <f>IFERROR(HLOOKUP(BS1,'Processing Count'!BW1:JO24,24,0),0)+IFERROR(HLOOKUP(BS1,'Processing Count'!BW27:JO59,33),0)</f>
        <v>0</v>
      </c>
      <c r="BT2" s="72">
        <f>IFERROR(HLOOKUP(BT1,'Processing Count'!BX1:JP24,24,0),0)+IFERROR(HLOOKUP(BT1,'Processing Count'!BX27:JP59,33),0)</f>
        <v>0</v>
      </c>
      <c r="BU2" s="72">
        <f>IFERROR(HLOOKUP(BU1,'Processing Count'!BY1:JQ24,24,0),0)+IFERROR(HLOOKUP(BU1,'Processing Count'!BY27:JQ59,33),0)</f>
        <v>150</v>
      </c>
      <c r="BV2" s="72">
        <f>IFERROR(HLOOKUP(BV1,'Processing Count'!BZ1:JR24,24,0),0)+IFERROR(HLOOKUP(BV1,'Processing Count'!BZ27:JR59,33),0)</f>
        <v>0</v>
      </c>
      <c r="BW2" s="72">
        <f>IFERROR(HLOOKUP(BW1,'Processing Count'!CA1:JS24,24,0),0)+IFERROR(HLOOKUP(BW1,'Processing Count'!CA27:JS59,33),0)</f>
        <v>0</v>
      </c>
      <c r="BX2" s="72">
        <f>IFERROR(HLOOKUP(BX1,'Processing Count'!CB1:JT24,24,0),0)+IFERROR(HLOOKUP(BX1,'Processing Count'!CB27:JT59,33),0)</f>
        <v>411</v>
      </c>
      <c r="BY2" s="72">
        <f>IFERROR(HLOOKUP(BY1,'Processing Count'!CC1:JU24,24,0),0)+IFERROR(HLOOKUP(BY1,'Processing Count'!CC27:JU59,33),0)</f>
        <v>0</v>
      </c>
      <c r="BZ2" s="72">
        <f>IFERROR(HLOOKUP(BZ1,'Processing Count'!CD1:JV24,24,0),0)+IFERROR(HLOOKUP(BZ1,'Processing Count'!CD27:JV59,33),0)</f>
        <v>1257</v>
      </c>
      <c r="CA2" s="72">
        <f>IFERROR(HLOOKUP(CA1,'Processing Count'!CE1:JW24,24,0),0)+IFERROR(HLOOKUP(CA1,'Processing Count'!CE27:JW59,33),0)</f>
        <v>0</v>
      </c>
      <c r="CB2" s="72">
        <f>IFERROR(HLOOKUP(CB1,'Processing Count'!CF1:JX24,24,0),0)+IFERROR(HLOOKUP(CB1,'Processing Count'!CF27:JX59,33),0)</f>
        <v>0</v>
      </c>
      <c r="CC2" s="72">
        <f>IFERROR(HLOOKUP(CC1,'Processing Count'!CG1:JY24,24,0),0)+IFERROR(HLOOKUP(CC1,'Processing Count'!CG27:JY59,33),0)</f>
        <v>0</v>
      </c>
      <c r="CD2" s="72">
        <f>IFERROR(HLOOKUP(CD1,'Processing Count'!CH1:JZ24,24,0),0)+IFERROR(HLOOKUP(CD1,'Processing Count'!CH27:JZ59,33),0)</f>
        <v>14</v>
      </c>
      <c r="CE2" s="72">
        <f>IFERROR(HLOOKUP(CE1,'Processing Count'!CI1:KA24,24,0),0)+IFERROR(HLOOKUP(CE1,'Processing Count'!CI27:KA59,33),0)</f>
        <v>250</v>
      </c>
      <c r="CF2" s="72">
        <f>IFERROR(HLOOKUP(CF1,'Processing Count'!CJ1:KB24,24,0),0)+IFERROR(HLOOKUP(CF1,'Processing Count'!CJ27:KB59,33),0)</f>
        <v>0</v>
      </c>
      <c r="CG2" s="72">
        <f>IFERROR(HLOOKUP(CG1,'Processing Count'!CK1:KC24,24,0),0)+IFERROR(HLOOKUP(CG1,'Processing Count'!CK27:KC59,33),0)</f>
        <v>0</v>
      </c>
      <c r="CH2" s="72">
        <f>IFERROR(HLOOKUP(CH1,'Processing Count'!CL1:KD24,24,0),0)+IFERROR(HLOOKUP(CH1,'Processing Count'!CL27:KD59,33),0)</f>
        <v>0</v>
      </c>
      <c r="CI2" s="72">
        <f>IFERROR(HLOOKUP(CI1,'Processing Count'!CM1:KE24,24,0),0)+IFERROR(HLOOKUP(CI1,'Processing Count'!CM27:KE59,33),0)</f>
        <v>0</v>
      </c>
      <c r="CJ2" s="72">
        <f>IFERROR(HLOOKUP(CJ1,'Processing Count'!CN1:KF24,24,0),0)+IFERROR(HLOOKUP(CJ1,'Processing Count'!CN27:KF59,33),0)</f>
        <v>0</v>
      </c>
      <c r="CK2" s="72">
        <f>IFERROR(HLOOKUP(CK1,'Processing Count'!CO1:KG24,24,0),0)+IFERROR(HLOOKUP(CK1,'Processing Count'!CO27:KG59,33),0)</f>
        <v>0</v>
      </c>
      <c r="CL2" s="72">
        <f>IFERROR(HLOOKUP(CL1,'Processing Count'!CP1:KH24,24,0),0)+IFERROR(HLOOKUP(CL1,'Processing Count'!CP27:KH59,33),0)</f>
        <v>800</v>
      </c>
      <c r="CM2" s="72">
        <f>IFERROR(HLOOKUP(CM1,'Processing Count'!CQ1:KI24,24,0),0)+IFERROR(HLOOKUP(CM1,'Processing Count'!CQ27:KI59,33),0)</f>
        <v>0</v>
      </c>
      <c r="CN2" s="72">
        <f>IFERROR(HLOOKUP(CN1,'Processing Count'!CR1:KJ24,24,0),0)+IFERROR(HLOOKUP(CN1,'Processing Count'!CR27:KJ59,33),0)</f>
        <v>107</v>
      </c>
      <c r="CO2" s="72">
        <f>IFERROR(HLOOKUP(CO1,'Processing Count'!CS1:KK24,24,0),0)+IFERROR(HLOOKUP(CO1,'Processing Count'!CS27:KK59,33),0)</f>
        <v>115</v>
      </c>
      <c r="CP2" s="72">
        <f>IFERROR(HLOOKUP(CP1,'Processing Count'!CT1:KL24,24,0),0)+IFERROR(HLOOKUP(CP1,'Processing Count'!CT27:KL59,33),0)</f>
        <v>0</v>
      </c>
      <c r="CQ2" s="72">
        <f>IFERROR(HLOOKUP(CQ1,'Processing Count'!CU1:KM24,24,0),0)+IFERROR(HLOOKUP(CQ1,'Processing Count'!CU27:KM59,33),0)</f>
        <v>0</v>
      </c>
      <c r="CR2" s="72">
        <f>IFERROR(HLOOKUP(CR1,'Processing Count'!CV1:KN24,24,0),0)+IFERROR(HLOOKUP(CR1,'Processing Count'!CV27:KN59,33),0)</f>
        <v>434</v>
      </c>
      <c r="CS2" s="72">
        <f>IFERROR(HLOOKUP(CS1,'Processing Count'!CW1:KO24,24,0),0)+IFERROR(HLOOKUP(CS1,'Processing Count'!CW27:KO59,33),0)</f>
        <v>0</v>
      </c>
      <c r="CT2" s="72">
        <f>IFERROR(HLOOKUP(CT1,'Processing Count'!CX1:KP24,24,0),0)+IFERROR(HLOOKUP(CT1,'Processing Count'!CX27:KP59,33),0)</f>
        <v>0</v>
      </c>
      <c r="CU2" s="72">
        <f>IFERROR(HLOOKUP(CU1,'Processing Count'!CY1:KQ24,24,0),0)+IFERROR(HLOOKUP(CU1,'Processing Count'!CY27:KQ59,33),0)</f>
        <v>1152</v>
      </c>
      <c r="CV2" s="72">
        <f>IFERROR(HLOOKUP(CV1,'Processing Count'!CZ1:KR24,24,0),0)+IFERROR(HLOOKUP(CV1,'Processing Count'!CZ27:KR59,33),0)</f>
        <v>10</v>
      </c>
      <c r="CW2" s="72">
        <f>IFERROR(HLOOKUP(CW1,'Processing Count'!DA1:KS24,24,0),0)+IFERROR(HLOOKUP(CW1,'Processing Count'!DA27:KS59,33),0)</f>
        <v>0</v>
      </c>
      <c r="CX2" s="72">
        <f>IFERROR(HLOOKUP(CX1,'Processing Count'!DB1:KT24,24,0),0)+IFERROR(HLOOKUP(CX1,'Processing Count'!DB27:KT59,33),0)</f>
        <v>0</v>
      </c>
      <c r="CY2" s="72">
        <f>IFERROR(HLOOKUP(CY1,'Processing Count'!DC1:KU24,24,0),0)+IFERROR(HLOOKUP(CY1,'Processing Count'!DC27:KU59,33),0)</f>
        <v>1328</v>
      </c>
      <c r="CZ2" s="72">
        <f>IFERROR(HLOOKUP(CZ1,'Processing Count'!DD1:KV24,24,0),0)+IFERROR(HLOOKUP(CZ1,'Processing Count'!DD27:KV59,33),0)</f>
        <v>170</v>
      </c>
      <c r="DA2" s="72">
        <f>IFERROR(HLOOKUP(DA1,'Processing Count'!DE1:KW24,24,0),0)+IFERROR(HLOOKUP(DA1,'Processing Count'!DE27:KW59,33),0)</f>
        <v>0</v>
      </c>
      <c r="DB2" s="72">
        <f>IFERROR(HLOOKUP(DB1,'Processing Count'!DF1:KX24,24,0),0)+IFERROR(HLOOKUP(DB1,'Processing Count'!DF27:KX59,33),0)</f>
        <v>0</v>
      </c>
      <c r="DC2" s="72">
        <f>IFERROR(HLOOKUP(DC1,'Processing Count'!DG1:KY24,24,0),0)+IFERROR(HLOOKUP(DC1,'Processing Count'!DG27:KY59,33),0)</f>
        <v>0</v>
      </c>
      <c r="DD2" s="72">
        <f>IFERROR(HLOOKUP(DD1,'Processing Count'!DH1:KZ24,24,0),0)+IFERROR(HLOOKUP(DD1,'Processing Count'!DH27:KZ59,33),0)</f>
        <v>100</v>
      </c>
      <c r="DE2" s="72">
        <f>IFERROR(HLOOKUP(DE1,'Processing Count'!DI1:LA24,24,0),0)+IFERROR(HLOOKUP(DE1,'Processing Count'!DI27:LA59,33),0)</f>
        <v>720</v>
      </c>
      <c r="DF2" s="72">
        <f>IFERROR(HLOOKUP(DF1,'Processing Count'!DJ1:LB24,24,0),0)+IFERROR(HLOOKUP(DF1,'Processing Count'!DJ27:LB59,33),0)</f>
        <v>0</v>
      </c>
      <c r="DG2" s="72">
        <f>IFERROR(HLOOKUP(DG1,'Processing Count'!DK1:LC24,24,0),0)+IFERROR(HLOOKUP(DG1,'Processing Count'!DK27:LC59,33),0)</f>
        <v>0</v>
      </c>
      <c r="DH2" s="72">
        <f>IFERROR(HLOOKUP(DH1,'Processing Count'!DL1:LD24,24,0),0)+IFERROR(HLOOKUP(DH1,'Processing Count'!DL27:LD59,33),0)</f>
        <v>0</v>
      </c>
      <c r="DI2" s="72">
        <f>IFERROR(HLOOKUP(DI1,'Processing Count'!DM1:LE24,24,0),0)+IFERROR(HLOOKUP(DI1,'Processing Count'!DM27:LE59,33),0)</f>
        <v>0</v>
      </c>
      <c r="DJ2" s="72">
        <f>IFERROR(HLOOKUP(DJ1,'Processing Count'!DN1:LF24,24,0),0)+IFERROR(HLOOKUP(DJ1,'Processing Count'!DN27:LF59,33),0)</f>
        <v>0</v>
      </c>
      <c r="DK2" s="72">
        <f>IFERROR(HLOOKUP(DK1,'Processing Count'!DO1:LG24,24,0),0)+IFERROR(HLOOKUP(DK1,'Processing Count'!DO27:LG59,33),0)</f>
        <v>124</v>
      </c>
      <c r="DL2" s="72">
        <f>IFERROR(HLOOKUP(DL1,'Processing Count'!DP1:LH24,24,0),0)+IFERROR(HLOOKUP(DL1,'Processing Count'!DP27:LH59,33),0)</f>
        <v>0</v>
      </c>
      <c r="DM2" s="72">
        <f>IFERROR(HLOOKUP(DM1,'Processing Count'!DQ1:LI24,24,0),0)+IFERROR(HLOOKUP(DM1,'Processing Count'!DQ27:LI59,33),0)</f>
        <v>21</v>
      </c>
      <c r="DN2" s="72">
        <f>IFERROR(HLOOKUP(DN1,'Processing Count'!DR1:LJ24,24,0),0)+IFERROR(HLOOKUP(DN1,'Processing Count'!DR27:LJ59,33),0)</f>
        <v>0</v>
      </c>
      <c r="DO2" s="72">
        <f>IFERROR(HLOOKUP(DO1,'Processing Count'!DS1:LK24,24,0),0)+IFERROR(HLOOKUP(DO1,'Processing Count'!DS27:LK59,33),0)</f>
        <v>118</v>
      </c>
      <c r="DP2" s="72">
        <f>IFERROR(HLOOKUP(DP1,'Processing Count'!DT1:LL24,24,0),0)+IFERROR(HLOOKUP(DP1,'Processing Count'!DT27:LL59,33),0)</f>
        <v>15</v>
      </c>
      <c r="DQ2" s="72">
        <f>IFERROR(HLOOKUP(DQ1,'Processing Count'!DU1:LM24,24,0),0)+IFERROR(HLOOKUP(DQ1,'Processing Count'!DU27:LM59,33),0)</f>
        <v>0</v>
      </c>
      <c r="DR2" s="72">
        <f>IFERROR(HLOOKUP(DR1,'Processing Count'!DV1:LN24,24,0),0)+IFERROR(HLOOKUP(DR1,'Processing Count'!DV27:LN59,33),0)</f>
        <v>0</v>
      </c>
      <c r="DS2" s="72">
        <f>IFERROR(HLOOKUP(DS1,'Processing Count'!DW1:LO24,24,0),0)+IFERROR(HLOOKUP(DS1,'Processing Count'!DW27:LO59,33),0)</f>
        <v>0</v>
      </c>
      <c r="DT2" s="72">
        <f>IFERROR(HLOOKUP(DT1,'Processing Count'!DX1:LP24,24,0),0)+IFERROR(HLOOKUP(DT1,'Processing Count'!DX27:LP59,33),0)</f>
        <v>0</v>
      </c>
      <c r="DU2" s="72">
        <f>IFERROR(HLOOKUP(DU1,'Processing Count'!DY1:LQ24,24,0),0)+IFERROR(HLOOKUP(DU1,'Processing Count'!DY27:LQ59,33),0)</f>
        <v>0</v>
      </c>
      <c r="DV2" s="72">
        <f>IFERROR(HLOOKUP(DV1,'Processing Count'!DZ1:LR24,24,0),0)+IFERROR(HLOOKUP(DV1,'Processing Count'!DZ27:LR59,33),0)</f>
        <v>0</v>
      </c>
      <c r="DW2" s="72">
        <f>IFERROR(HLOOKUP(DW1,'Processing Count'!EA1:LS24,24,0),0)+IFERROR(HLOOKUP(DW1,'Processing Count'!EA27:LS59,33),0)</f>
        <v>0</v>
      </c>
      <c r="DX2" s="72">
        <f>IFERROR(HLOOKUP(DX1,'Processing Count'!EB1:LT24,24,0),0)+IFERROR(HLOOKUP(DX1,'Processing Count'!EB27:LT59,33),0)</f>
        <v>0</v>
      </c>
      <c r="DY2" s="72">
        <f>IFERROR(HLOOKUP(DY1,'Processing Count'!EC1:LU24,24,0),0)+IFERROR(HLOOKUP(DY1,'Processing Count'!EC27:LU59,33),0)</f>
        <v>0</v>
      </c>
      <c r="DZ2" s="72">
        <f>IFERROR(HLOOKUP(DZ1,'Processing Count'!ED1:LV24,24,0),0)+IFERROR(HLOOKUP(DZ1,'Processing Count'!ED27:LV59,33),0)</f>
        <v>503</v>
      </c>
      <c r="EA2" s="72">
        <f>IFERROR(HLOOKUP(EA1,'Processing Count'!EE1:LW24,24,0),0)+IFERROR(HLOOKUP(EA1,'Processing Count'!EE27:LW59,33),0)</f>
        <v>0</v>
      </c>
      <c r="EB2" s="72">
        <f>IFERROR(HLOOKUP(EB1,'Processing Count'!EF1:LX24,24,0),0)+IFERROR(HLOOKUP(EB1,'Processing Count'!EF27:LX59,33),0)</f>
        <v>0</v>
      </c>
      <c r="EC2" s="72">
        <f>IFERROR(HLOOKUP(EC1,'Processing Count'!EG1:LY24,24,0),0)+IFERROR(HLOOKUP(EC1,'Processing Count'!EG27:LY59,33),0)</f>
        <v>0</v>
      </c>
      <c r="ED2" s="72">
        <f>IFERROR(HLOOKUP(ED1,'Processing Count'!EH1:LZ24,24,0),0)+IFERROR(HLOOKUP(ED1,'Processing Count'!EH27:LZ59,33),0)</f>
        <v>193</v>
      </c>
      <c r="EE2" s="72">
        <f>IFERROR(HLOOKUP(EE1,'Processing Count'!EI1:MA24,24,0),0)+IFERROR(HLOOKUP(EE1,'Processing Count'!EI27:MA59,33),0)</f>
        <v>27</v>
      </c>
      <c r="EF2" s="72">
        <f>IFERROR(HLOOKUP(EF1,'Processing Count'!EJ1:MB24,24,0),0)+IFERROR(HLOOKUP(EF1,'Processing Count'!EJ27:MB59,33),0)</f>
        <v>0</v>
      </c>
      <c r="EG2" s="72">
        <f>IFERROR(HLOOKUP(EG1,'Processing Count'!EK1:MC24,24,0),0)+IFERROR(HLOOKUP(EG1,'Processing Count'!EK27:MC59,33),0)</f>
        <v>0</v>
      </c>
      <c r="EH2" s="72">
        <f>IFERROR(HLOOKUP(EH1,'Processing Count'!EL1:MD24,24,0),0)+IFERROR(HLOOKUP(EH1,'Processing Count'!EL27:MD59,33),0)</f>
        <v>0</v>
      </c>
      <c r="EI2" s="72">
        <f>IFERROR(HLOOKUP(EI1,'Processing Count'!EM1:ME24,24,0),0)+IFERROR(HLOOKUP(EI1,'Processing Count'!EM27:ME59,33),0)</f>
        <v>0</v>
      </c>
      <c r="EJ2" s="72">
        <f>IFERROR(HLOOKUP(EJ1,'Processing Count'!EN1:MF24,24,0),0)+IFERROR(HLOOKUP(EJ1,'Processing Count'!EN27:MF59,33),0)</f>
        <v>0</v>
      </c>
      <c r="EK2" s="72">
        <f>IFERROR(HLOOKUP(EK1,'Processing Count'!EO1:MG24,24,0),0)+IFERROR(HLOOKUP(EK1,'Processing Count'!EO27:MG59,33),0)</f>
        <v>0</v>
      </c>
      <c r="EL2" s="72">
        <f>IFERROR(HLOOKUP(EL1,'Processing Count'!EP1:MH24,24,0),0)+IFERROR(HLOOKUP(EL1,'Processing Count'!EP27:MH59,33),0)</f>
        <v>0</v>
      </c>
      <c r="EM2" s="72">
        <f>IFERROR(HLOOKUP(EM1,'Processing Count'!EQ1:MI24,24,0),0)+IFERROR(HLOOKUP(EM1,'Processing Count'!EQ27:MI59,33),0)</f>
        <v>0</v>
      </c>
      <c r="EN2" s="72">
        <f>IFERROR(HLOOKUP(EN1,'Processing Count'!ER1:MJ24,24,0),0)+IFERROR(HLOOKUP(EN1,'Processing Count'!ER27:MJ59,33),0)</f>
        <v>299</v>
      </c>
      <c r="EO2" s="72">
        <f>IFERROR(HLOOKUP(EO1,'Processing Count'!ES1:MK24,24,0),0)+IFERROR(HLOOKUP(EO1,'Processing Count'!ES27:MK59,33),0)</f>
        <v>0</v>
      </c>
      <c r="EP2" s="72">
        <f>IFERROR(HLOOKUP(EP1,'Processing Count'!ET1:ML24,24,0),0)+IFERROR(HLOOKUP(EP1,'Processing Count'!ET27:ML59,33),0)</f>
        <v>0</v>
      </c>
      <c r="EQ2" s="72">
        <f>IFERROR(HLOOKUP(EQ1,'Processing Count'!EU1:MM24,24,0),0)+IFERROR(HLOOKUP(EQ1,'Processing Count'!EU27:MM59,33),0)</f>
        <v>0</v>
      </c>
      <c r="ER2" s="72">
        <f>IFERROR(HLOOKUP(ER1,'Processing Count'!EV1:MN24,24,0),0)+IFERROR(HLOOKUP(ER1,'Processing Count'!EV27:MN59,33),0)</f>
        <v>0</v>
      </c>
      <c r="ES2" s="72">
        <f>IFERROR(HLOOKUP(ES1,'Processing Count'!EW1:MO24,24,0),0)+IFERROR(HLOOKUP(ES1,'Processing Count'!EW27:MO59,33),0)</f>
        <v>0</v>
      </c>
      <c r="ET2" s="72">
        <f>IFERROR(HLOOKUP(ET1,'Processing Count'!EX1:MP24,24,0),0)+IFERROR(HLOOKUP(ET1,'Processing Count'!EX27:MP59,33),0)</f>
        <v>342</v>
      </c>
      <c r="EU2" s="72">
        <f>IFERROR(HLOOKUP(EU1,'Processing Count'!EY1:MQ24,24,0),0)+IFERROR(HLOOKUP(EU1,'Processing Count'!EY27:MQ59,33),0)</f>
        <v>0</v>
      </c>
      <c r="EV2" s="72">
        <f>IFERROR(HLOOKUP(EV1,'Processing Count'!EZ1:MR24,24,0),0)+IFERROR(HLOOKUP(EV1,'Processing Count'!EZ27:MR59,33),0)</f>
        <v>23</v>
      </c>
      <c r="EW2" s="72">
        <f>IFERROR(HLOOKUP(EW1,'Processing Count'!FA1:MS24,24,0),0)+IFERROR(HLOOKUP(EW1,'Processing Count'!FA27:MS59,33),0)</f>
        <v>47</v>
      </c>
      <c r="EX2" s="72">
        <f>IFERROR(HLOOKUP(EX1,'Processing Count'!FB1:MT24,24,0),0)+IFERROR(HLOOKUP(EX1,'Processing Count'!FB27:MT59,33),0)</f>
        <v>0</v>
      </c>
      <c r="EY2" s="72">
        <f>IFERROR(HLOOKUP(EY1,'Processing Count'!FC1:MU24,24,0),0)+IFERROR(HLOOKUP(EY1,'Processing Count'!FC27:MU59,33),0)</f>
        <v>0</v>
      </c>
      <c r="EZ2" s="72">
        <f>IFERROR(HLOOKUP(EZ1,'Processing Count'!FD1:MV24,24,0),0)+IFERROR(HLOOKUP(EZ1,'Processing Count'!FD27:MV59,33),0)</f>
        <v>0</v>
      </c>
      <c r="FA2" s="72">
        <f>IFERROR(HLOOKUP(FA1,'Processing Count'!FE1:MW24,24,0),0)+IFERROR(HLOOKUP(FA1,'Processing Count'!FE27:MW59,33),0)</f>
        <v>0</v>
      </c>
      <c r="FB2" s="72">
        <f>IFERROR(HLOOKUP(FB1,'Processing Count'!FF1:MX24,24,0),0)+IFERROR(HLOOKUP(FB1,'Processing Count'!FF27:MX59,33),0)</f>
        <v>0</v>
      </c>
      <c r="FC2" s="72">
        <f>IFERROR(HLOOKUP(FC1,'Processing Count'!FG1:MY24,24,0),0)+IFERROR(HLOOKUP(FC1,'Processing Count'!FG27:MY59,33),0)</f>
        <v>0</v>
      </c>
      <c r="FD2" s="72">
        <f>IFERROR(HLOOKUP(FD1,'Processing Count'!FH1:MZ24,24,0),0)+IFERROR(HLOOKUP(FD1,'Processing Count'!FH27:MZ59,33),0)</f>
        <v>0</v>
      </c>
      <c r="FE2" s="72">
        <f>IFERROR(HLOOKUP(FE1,'Processing Count'!FI1:NA24,24,0),0)+IFERROR(HLOOKUP(FE1,'Processing Count'!FI27:NA59,33),0)</f>
        <v>110</v>
      </c>
      <c r="FF2" s="72">
        <f>IFERROR(HLOOKUP(FF1,'Processing Count'!FJ1:NB24,24,0),0)+IFERROR(HLOOKUP(FF1,'Processing Count'!FJ27:NB59,33),0)</f>
        <v>637</v>
      </c>
      <c r="FG2" s="72">
        <f>IFERROR(HLOOKUP(FG1,'Processing Count'!FK1:NC24,24,0),0)+IFERROR(HLOOKUP(FG1,'Processing Count'!FK27:NC59,33),0)</f>
        <v>0</v>
      </c>
      <c r="FH2" s="72">
        <f>IFERROR(HLOOKUP(FH1,'Processing Count'!FL1:ND24,24,0),0)+IFERROR(HLOOKUP(FH1,'Processing Count'!FL27:ND59,33),0)</f>
        <v>0</v>
      </c>
      <c r="FI2" s="72">
        <f>IFERROR(HLOOKUP(FI1,'Processing Count'!FM1:NE24,24,0),0)+IFERROR(HLOOKUP(FI1,'Processing Count'!FM27:NE59,33),0)</f>
        <v>0</v>
      </c>
      <c r="FJ2" s="72">
        <f>IFERROR(HLOOKUP(FJ1,'Processing Count'!FN1:NF24,24,0),0)+IFERROR(HLOOKUP(FJ1,'Processing Count'!FN27:NF59,33),0)</f>
        <v>0</v>
      </c>
      <c r="FK2" s="72">
        <f>IFERROR(HLOOKUP(FK1,'Processing Count'!FO1:NG24,24,0),0)+IFERROR(HLOOKUP(FK1,'Processing Count'!FO27:NG59,33),0)</f>
        <v>0</v>
      </c>
      <c r="FL2" s="72">
        <f>IFERROR(HLOOKUP(FL1,'Processing Count'!FP1:NH24,24,0),0)+IFERROR(HLOOKUP(FL1,'Processing Count'!FP27:NH59,33),0)</f>
        <v>0</v>
      </c>
      <c r="FM2" s="72">
        <f>IFERROR(HLOOKUP(FM1,'Processing Count'!FQ1:NI24,24,0),0)+IFERROR(HLOOKUP(FM1,'Processing Count'!FQ27:NI59,33),0)</f>
        <v>0</v>
      </c>
      <c r="FN2" s="72">
        <f>IFERROR(HLOOKUP(FN1,'Processing Count'!FR1:NJ24,24,0),0)+IFERROR(HLOOKUP(FN1,'Processing Count'!FR27:NJ59,33),0)</f>
        <v>0</v>
      </c>
      <c r="FO2" s="72">
        <f>IFERROR(HLOOKUP(FO1,'Processing Count'!FS1:NK24,24,0),0)+IFERROR(HLOOKUP(FO1,'Processing Count'!FS27:NK59,33),0)</f>
        <v>0</v>
      </c>
      <c r="FP2" s="72">
        <f>IFERROR(HLOOKUP(FP1,'Processing Count'!FT1:NL24,24,0),0)+IFERROR(HLOOKUP(FP1,'Processing Count'!FT27:NL59,33),0)</f>
        <v>0</v>
      </c>
      <c r="FQ2" s="72">
        <f>IFERROR(HLOOKUP(FQ1,'Processing Count'!FU1:NM24,24,0),0)+IFERROR(HLOOKUP(FQ1,'Processing Count'!FU27:NM59,33),0)</f>
        <v>0</v>
      </c>
      <c r="FR2" s="72">
        <f>IFERROR(HLOOKUP(FR1,'Processing Count'!FV1:NN24,24,0),0)+IFERROR(HLOOKUP(FR1,'Processing Count'!FV27:NN59,33),0)</f>
        <v>100</v>
      </c>
      <c r="FS2" s="72">
        <f>IFERROR(HLOOKUP(FS1,'Processing Count'!FW1:NO24,24,0),0)+IFERROR(HLOOKUP(FS1,'Processing Count'!FW27:NO59,33),0)</f>
        <v>216</v>
      </c>
      <c r="FT2" s="72">
        <f>IFERROR(HLOOKUP(FT1,'Processing Count'!FX1:NP24,24,0),0)+IFERROR(HLOOKUP(FT1,'Processing Count'!FX27:NP59,33),0)</f>
        <v>0</v>
      </c>
      <c r="FU2" s="72">
        <f>IFERROR(HLOOKUP(FU1,'Processing Count'!FY1:NQ24,24,0),0)+IFERROR(HLOOKUP(FU1,'Processing Count'!FY27:NQ59,33),0)</f>
        <v>0</v>
      </c>
      <c r="FV2" s="72">
        <f>IFERROR(HLOOKUP(FV1,'Processing Count'!FZ1:NR24,24,0),0)+IFERROR(HLOOKUP(FV1,'Processing Count'!FZ27:NR59,33),0)</f>
        <v>70</v>
      </c>
      <c r="FW2" s="72">
        <f>IFERROR(HLOOKUP(FW1,'Processing Count'!GA1:NS24,24,0),0)+IFERROR(HLOOKUP(FW1,'Processing Count'!GA27:NS59,33),0)</f>
        <v>0</v>
      </c>
      <c r="FX2" s="72">
        <f>IFERROR(HLOOKUP(FX1,'Processing Count'!GB1:NT24,24,0),0)+IFERROR(HLOOKUP(FX1,'Processing Count'!GB27:NT59,33),0)</f>
        <v>0</v>
      </c>
      <c r="FY2" s="72">
        <f>IFERROR(HLOOKUP(FY1,'Processing Count'!GC1:NU24,24,0),0)+IFERROR(HLOOKUP(FY1,'Processing Count'!GC27:NU59,33),0)</f>
        <v>616</v>
      </c>
      <c r="FZ2" s="72">
        <f>IFERROR(HLOOKUP(FZ1,'Processing Count'!GD1:NV24,24,0),0)+IFERROR(HLOOKUP(FZ1,'Processing Count'!GD27:NV59,33),0)</f>
        <v>0</v>
      </c>
      <c r="GA2" s="72">
        <f>IFERROR(HLOOKUP(GA1,'Processing Count'!GE1:NW24,24,0),0)+IFERROR(HLOOKUP(GA1,'Processing Count'!GE27:NW59,33),0)</f>
        <v>0</v>
      </c>
      <c r="GB2" s="72">
        <f>IFERROR(HLOOKUP(GB1,'Processing Count'!GF1:NX24,24,0),0)+IFERROR(HLOOKUP(GB1,'Processing Count'!GF27:NX59,33),0)</f>
        <v>700</v>
      </c>
      <c r="GC2" s="72">
        <f>IFERROR(HLOOKUP(GC1,'Processing Count'!GG1:NY24,24,0),0)+IFERROR(HLOOKUP(GC1,'Processing Count'!GG27:NY59,33),0)</f>
        <v>0</v>
      </c>
      <c r="GD2" s="72">
        <f>IFERROR(HLOOKUP(GD1,'Processing Count'!GH1:NZ24,24,0),0)+IFERROR(HLOOKUP(GD1,'Processing Count'!GH27:NZ59,33),0)</f>
        <v>122</v>
      </c>
      <c r="GE2" s="72">
        <f>IFERROR(HLOOKUP(GE1,'Processing Count'!GI1:OA24,24,0),0)+IFERROR(HLOOKUP(GE1,'Processing Count'!GI27:OA59,33),0)</f>
        <v>0</v>
      </c>
      <c r="GF2" s="72">
        <f>IFERROR(HLOOKUP(GF1,'Processing Count'!GJ1:OB24,24,0),0)+IFERROR(HLOOKUP(GF1,'Processing Count'!GJ27:OB59,33),0)</f>
        <v>0</v>
      </c>
      <c r="GG2" s="72">
        <f>IFERROR(HLOOKUP(GG1,'Processing Count'!GK1:OC24,24,0),0)+IFERROR(HLOOKUP(GG1,'Processing Count'!GK27:OC59,33),0)</f>
        <v>0</v>
      </c>
      <c r="GH2" s="72">
        <f>IFERROR(HLOOKUP(GH1,'Processing Count'!GL1:OD24,24,0),0)+IFERROR(HLOOKUP(GH1,'Processing Count'!GL27:OD59,33),0)</f>
        <v>0</v>
      </c>
      <c r="GI2" s="72">
        <f>IFERROR(HLOOKUP(GI1,'Processing Count'!GM1:OE24,24,0),0)+IFERROR(HLOOKUP(GI1,'Processing Count'!GM27:OE59,33),0)</f>
        <v>0</v>
      </c>
      <c r="GJ2" s="72">
        <f>IFERROR(HLOOKUP(GJ1,'Processing Count'!GN1:OF24,24,0),0)+IFERROR(HLOOKUP(GJ1,'Processing Count'!GN27:OF59,33),0)</f>
        <v>0</v>
      </c>
      <c r="GK2" s="72">
        <f>IFERROR(HLOOKUP(GK1,'Processing Count'!GO1:OG24,24,0),0)+IFERROR(HLOOKUP(GK1,'Processing Count'!GO27:OG59,33),0)</f>
        <v>0</v>
      </c>
      <c r="GL2" s="72">
        <f>IFERROR(HLOOKUP(GL1,'Processing Count'!GP1:OH24,24,0),0)+IFERROR(HLOOKUP(GL1,'Processing Count'!GP27:OH59,33),0)</f>
        <v>0</v>
      </c>
      <c r="GM2" s="72">
        <f>IFERROR(HLOOKUP(GM1,'Processing Count'!GQ1:OI24,24,0),0)+IFERROR(HLOOKUP(GM1,'Processing Count'!GQ27:OI59,33),0)</f>
        <v>0</v>
      </c>
      <c r="GN2" s="72">
        <f>IFERROR(HLOOKUP(GN1,'Processing Count'!GR1:OJ24,24,0),0)+IFERROR(HLOOKUP(GN1,'Processing Count'!GR27:OJ59,33),0)</f>
        <v>621</v>
      </c>
      <c r="GO2" s="72">
        <f>IFERROR(HLOOKUP(GO1,'Processing Count'!GS1:OK24,24,0),0)+IFERROR(HLOOKUP(GO1,'Processing Count'!GS27:OK59,33),0)</f>
        <v>32</v>
      </c>
      <c r="GP2" s="72">
        <f>IFERROR(HLOOKUP(GP1,'Processing Count'!GT1:OL24,24,0),0)+IFERROR(HLOOKUP(GP1,'Processing Count'!GT27:OL59,33),0)</f>
        <v>747</v>
      </c>
      <c r="GQ2" s="72">
        <f>IFERROR(HLOOKUP(GQ1,'Processing Count'!GU1:OM24,24,0),0)+IFERROR(HLOOKUP(GQ1,'Processing Count'!GU27:OM59,33),0)</f>
        <v>0</v>
      </c>
      <c r="GR2" s="72">
        <f>IFERROR(HLOOKUP(GR1,'Processing Count'!GV1:ON24,24,0),0)+IFERROR(HLOOKUP(GR1,'Processing Count'!GV27:ON59,33),0)</f>
        <v>0</v>
      </c>
    </row>
    <row r="3" spans="1:200" ht="18">
      <c r="A3" s="231" t="s">
        <v>241</v>
      </c>
      <c r="B3" s="231"/>
      <c r="C3" s="134">
        <f>SUM(C21:C51)-C2</f>
        <v>100959</v>
      </c>
      <c r="D3" s="219">
        <f>SUM(D21:D51)-D2</f>
        <v>0</v>
      </c>
      <c r="E3" s="219">
        <v>541</v>
      </c>
      <c r="F3" s="219">
        <f t="shared" ref="E3:BP3" si="0">SUM(F21:F51)-F2</f>
        <v>16</v>
      </c>
      <c r="G3" s="219">
        <f t="shared" si="0"/>
        <v>16</v>
      </c>
      <c r="H3" s="219">
        <f t="shared" si="0"/>
        <v>637</v>
      </c>
      <c r="I3" s="219">
        <f t="shared" si="0"/>
        <v>754</v>
      </c>
      <c r="J3" s="219">
        <f t="shared" si="0"/>
        <v>0</v>
      </c>
      <c r="K3" s="219">
        <f t="shared" si="0"/>
        <v>21</v>
      </c>
      <c r="L3" s="219">
        <f t="shared" si="0"/>
        <v>0</v>
      </c>
      <c r="M3" s="219">
        <f t="shared" si="0"/>
        <v>0</v>
      </c>
      <c r="N3" s="219">
        <f t="shared" si="0"/>
        <v>894</v>
      </c>
      <c r="O3" s="219">
        <f t="shared" si="0"/>
        <v>672</v>
      </c>
      <c r="P3" s="219">
        <f t="shared" si="0"/>
        <v>0</v>
      </c>
      <c r="Q3" s="219">
        <f t="shared" si="0"/>
        <v>667</v>
      </c>
      <c r="R3" s="219">
        <f t="shared" si="0"/>
        <v>2118</v>
      </c>
      <c r="S3" s="219">
        <f t="shared" si="0"/>
        <v>909</v>
      </c>
      <c r="T3" s="219">
        <f t="shared" si="0"/>
        <v>3003</v>
      </c>
      <c r="U3" s="219">
        <f t="shared" si="0"/>
        <v>20</v>
      </c>
      <c r="V3" s="219">
        <f t="shared" si="0"/>
        <v>300</v>
      </c>
      <c r="W3" s="219">
        <f t="shared" si="0"/>
        <v>39</v>
      </c>
      <c r="X3" s="219">
        <f t="shared" si="0"/>
        <v>2</v>
      </c>
      <c r="Y3" s="219">
        <f t="shared" si="0"/>
        <v>380</v>
      </c>
      <c r="Z3" s="219">
        <f t="shared" si="0"/>
        <v>814</v>
      </c>
      <c r="AA3" s="219">
        <f t="shared" si="0"/>
        <v>403</v>
      </c>
      <c r="AB3" s="219">
        <f t="shared" si="0"/>
        <v>497</v>
      </c>
      <c r="AC3" s="219">
        <f t="shared" si="0"/>
        <v>0</v>
      </c>
      <c r="AD3" s="219">
        <f t="shared" si="0"/>
        <v>1156</v>
      </c>
      <c r="AE3" s="219">
        <f t="shared" si="0"/>
        <v>123</v>
      </c>
      <c r="AF3" s="219">
        <f t="shared" si="0"/>
        <v>25</v>
      </c>
      <c r="AG3" s="219">
        <f t="shared" si="0"/>
        <v>793</v>
      </c>
      <c r="AH3" s="219">
        <f t="shared" si="0"/>
        <v>252</v>
      </c>
      <c r="AI3" s="219">
        <f t="shared" si="0"/>
        <v>239</v>
      </c>
      <c r="AJ3" s="219">
        <f t="shared" si="0"/>
        <v>0</v>
      </c>
      <c r="AK3" s="219">
        <f t="shared" si="0"/>
        <v>146</v>
      </c>
      <c r="AL3" s="219">
        <f t="shared" si="0"/>
        <v>0</v>
      </c>
      <c r="AM3" s="219">
        <f t="shared" si="0"/>
        <v>0</v>
      </c>
      <c r="AN3" s="219">
        <f t="shared" si="0"/>
        <v>180</v>
      </c>
      <c r="AO3" s="219">
        <f t="shared" si="0"/>
        <v>33</v>
      </c>
      <c r="AP3" s="219">
        <f t="shared" si="0"/>
        <v>293</v>
      </c>
      <c r="AQ3" s="219">
        <f t="shared" si="0"/>
        <v>106</v>
      </c>
      <c r="AR3" s="219">
        <f t="shared" si="0"/>
        <v>410</v>
      </c>
      <c r="AS3" s="219">
        <f t="shared" si="0"/>
        <v>0</v>
      </c>
      <c r="AT3" s="219">
        <f t="shared" si="0"/>
        <v>567</v>
      </c>
      <c r="AU3" s="219">
        <f t="shared" si="0"/>
        <v>171</v>
      </c>
      <c r="AV3" s="219">
        <f t="shared" si="0"/>
        <v>72</v>
      </c>
      <c r="AW3" s="219">
        <f t="shared" si="0"/>
        <v>826</v>
      </c>
      <c r="AX3" s="219">
        <f t="shared" si="0"/>
        <v>1161</v>
      </c>
      <c r="AY3" s="219">
        <f t="shared" si="0"/>
        <v>58</v>
      </c>
      <c r="AZ3" s="219">
        <f t="shared" si="0"/>
        <v>252</v>
      </c>
      <c r="BA3" s="219">
        <f t="shared" si="0"/>
        <v>1374</v>
      </c>
      <c r="BB3" s="219">
        <f t="shared" si="0"/>
        <v>903</v>
      </c>
      <c r="BC3" s="219">
        <f t="shared" si="0"/>
        <v>314</v>
      </c>
      <c r="BD3" s="219">
        <f t="shared" si="0"/>
        <v>1736</v>
      </c>
      <c r="BE3" s="219">
        <f t="shared" si="0"/>
        <v>586</v>
      </c>
      <c r="BF3" s="219">
        <f t="shared" si="0"/>
        <v>0</v>
      </c>
      <c r="BG3" s="219">
        <f t="shared" si="0"/>
        <v>716</v>
      </c>
      <c r="BH3" s="219">
        <f t="shared" si="0"/>
        <v>103</v>
      </c>
      <c r="BI3" s="219">
        <f t="shared" si="0"/>
        <v>784</v>
      </c>
      <c r="BJ3" s="219">
        <f t="shared" si="0"/>
        <v>365</v>
      </c>
      <c r="BK3" s="219">
        <f t="shared" si="0"/>
        <v>4</v>
      </c>
      <c r="BL3" s="219">
        <f t="shared" si="0"/>
        <v>808</v>
      </c>
      <c r="BM3" s="219">
        <f t="shared" si="0"/>
        <v>10</v>
      </c>
      <c r="BN3" s="219">
        <f t="shared" si="0"/>
        <v>492</v>
      </c>
      <c r="BO3" s="219">
        <f t="shared" si="0"/>
        <v>518</v>
      </c>
      <c r="BP3" s="219">
        <f t="shared" si="0"/>
        <v>334</v>
      </c>
      <c r="BQ3" s="219">
        <f t="shared" ref="BQ3:EB3" si="1">SUM(BQ21:BQ51)-BQ2</f>
        <v>522</v>
      </c>
      <c r="BR3" s="219">
        <f t="shared" si="1"/>
        <v>0</v>
      </c>
      <c r="BS3" s="219">
        <f t="shared" si="1"/>
        <v>340</v>
      </c>
      <c r="BT3" s="219">
        <f t="shared" si="1"/>
        <v>0</v>
      </c>
      <c r="BU3" s="219">
        <f t="shared" si="1"/>
        <v>777</v>
      </c>
      <c r="BV3" s="219">
        <f t="shared" si="1"/>
        <v>358</v>
      </c>
      <c r="BW3" s="219">
        <f t="shared" si="1"/>
        <v>897</v>
      </c>
      <c r="BX3" s="219">
        <f t="shared" si="1"/>
        <v>0</v>
      </c>
      <c r="BY3" s="219">
        <f t="shared" si="1"/>
        <v>4</v>
      </c>
      <c r="BZ3" s="219">
        <f t="shared" si="1"/>
        <v>587</v>
      </c>
      <c r="CA3" s="219">
        <f t="shared" si="1"/>
        <v>993</v>
      </c>
      <c r="CB3" s="219">
        <f t="shared" si="1"/>
        <v>995</v>
      </c>
      <c r="CC3" s="219">
        <f t="shared" si="1"/>
        <v>481</v>
      </c>
      <c r="CD3" s="219">
        <f t="shared" si="1"/>
        <v>3408</v>
      </c>
      <c r="CE3" s="219">
        <f t="shared" si="1"/>
        <v>16</v>
      </c>
      <c r="CF3" s="219">
        <f t="shared" si="1"/>
        <v>170</v>
      </c>
      <c r="CG3" s="219">
        <f t="shared" si="1"/>
        <v>5</v>
      </c>
      <c r="CH3" s="219">
        <f t="shared" si="1"/>
        <v>965</v>
      </c>
      <c r="CI3" s="219">
        <f t="shared" si="1"/>
        <v>0</v>
      </c>
      <c r="CJ3" s="219">
        <f t="shared" si="1"/>
        <v>3295</v>
      </c>
      <c r="CK3" s="219">
        <f t="shared" si="1"/>
        <v>30</v>
      </c>
      <c r="CL3" s="219">
        <f t="shared" si="1"/>
        <v>1</v>
      </c>
      <c r="CM3" s="219">
        <f t="shared" si="1"/>
        <v>0</v>
      </c>
      <c r="CN3" s="219">
        <f t="shared" si="1"/>
        <v>840</v>
      </c>
      <c r="CO3" s="219">
        <f t="shared" si="1"/>
        <v>26</v>
      </c>
      <c r="CP3" s="219">
        <f t="shared" si="1"/>
        <v>593</v>
      </c>
      <c r="CQ3" s="219">
        <f t="shared" si="1"/>
        <v>0</v>
      </c>
      <c r="CR3" s="219">
        <f t="shared" si="1"/>
        <v>0</v>
      </c>
      <c r="CS3" s="219">
        <f t="shared" si="1"/>
        <v>107</v>
      </c>
      <c r="CT3" s="219">
        <f t="shared" si="1"/>
        <v>624</v>
      </c>
      <c r="CU3" s="219">
        <f t="shared" si="1"/>
        <v>20</v>
      </c>
      <c r="CV3" s="219">
        <f t="shared" si="1"/>
        <v>114</v>
      </c>
      <c r="CW3" s="219">
        <f t="shared" si="1"/>
        <v>10</v>
      </c>
      <c r="CX3" s="219">
        <f t="shared" si="1"/>
        <v>0</v>
      </c>
      <c r="CY3" s="219">
        <f t="shared" si="1"/>
        <v>109</v>
      </c>
      <c r="CZ3" s="219">
        <f t="shared" si="1"/>
        <v>567</v>
      </c>
      <c r="DA3" s="219">
        <f t="shared" si="1"/>
        <v>746</v>
      </c>
      <c r="DB3" s="219">
        <f t="shared" si="1"/>
        <v>0</v>
      </c>
      <c r="DC3" s="219">
        <f t="shared" si="1"/>
        <v>5</v>
      </c>
      <c r="DD3" s="219">
        <f t="shared" si="1"/>
        <v>496</v>
      </c>
      <c r="DE3" s="219">
        <f t="shared" si="1"/>
        <v>82</v>
      </c>
      <c r="DF3" s="219">
        <f t="shared" si="1"/>
        <v>0</v>
      </c>
      <c r="DG3" s="219">
        <f t="shared" si="1"/>
        <v>541</v>
      </c>
      <c r="DH3" s="219">
        <f t="shared" si="1"/>
        <v>246</v>
      </c>
      <c r="DI3" s="219">
        <f t="shared" si="1"/>
        <v>1819</v>
      </c>
      <c r="DJ3" s="219">
        <f t="shared" si="1"/>
        <v>14</v>
      </c>
      <c r="DK3" s="219">
        <f t="shared" si="1"/>
        <v>3349</v>
      </c>
      <c r="DL3" s="219">
        <f t="shared" si="1"/>
        <v>253</v>
      </c>
      <c r="DM3" s="219">
        <f t="shared" si="1"/>
        <v>305</v>
      </c>
      <c r="DN3" s="219">
        <f t="shared" si="1"/>
        <v>1480</v>
      </c>
      <c r="DO3" s="219">
        <f t="shared" si="1"/>
        <v>134</v>
      </c>
      <c r="DP3" s="219">
        <f t="shared" si="1"/>
        <v>325</v>
      </c>
      <c r="DQ3" s="219">
        <f t="shared" si="1"/>
        <v>692</v>
      </c>
      <c r="DR3" s="219">
        <f t="shared" si="1"/>
        <v>1269</v>
      </c>
      <c r="DS3" s="219">
        <f t="shared" si="1"/>
        <v>978</v>
      </c>
      <c r="DT3" s="219">
        <f t="shared" si="1"/>
        <v>1068</v>
      </c>
      <c r="DU3" s="219">
        <f t="shared" si="1"/>
        <v>385</v>
      </c>
      <c r="DV3" s="219">
        <f t="shared" si="1"/>
        <v>12</v>
      </c>
      <c r="DW3" s="219">
        <f t="shared" si="1"/>
        <v>14</v>
      </c>
      <c r="DX3" s="219">
        <f t="shared" si="1"/>
        <v>603</v>
      </c>
      <c r="DY3" s="219">
        <f t="shared" si="1"/>
        <v>799</v>
      </c>
      <c r="DZ3" s="219">
        <f t="shared" si="1"/>
        <v>1183</v>
      </c>
      <c r="EA3" s="219">
        <f t="shared" si="1"/>
        <v>6</v>
      </c>
      <c r="EB3" s="219">
        <f t="shared" si="1"/>
        <v>811</v>
      </c>
      <c r="EC3" s="219">
        <f t="shared" ref="EC3:GL3" si="2">SUM(EC21:EC51)-EC2</f>
        <v>225</v>
      </c>
      <c r="ED3" s="219">
        <f t="shared" si="2"/>
        <v>1515</v>
      </c>
      <c r="EE3" s="219">
        <f t="shared" si="2"/>
        <v>232</v>
      </c>
      <c r="EF3" s="219">
        <f t="shared" si="2"/>
        <v>1089</v>
      </c>
      <c r="EG3" s="219">
        <f t="shared" si="2"/>
        <v>78</v>
      </c>
      <c r="EH3" s="219">
        <f t="shared" si="2"/>
        <v>157</v>
      </c>
      <c r="EI3" s="219">
        <f t="shared" si="2"/>
        <v>1019</v>
      </c>
      <c r="EJ3" s="219">
        <f t="shared" si="2"/>
        <v>645</v>
      </c>
      <c r="EK3" s="219">
        <f t="shared" si="2"/>
        <v>728</v>
      </c>
      <c r="EL3" s="219">
        <f t="shared" si="2"/>
        <v>767</v>
      </c>
      <c r="EM3" s="219">
        <f t="shared" si="2"/>
        <v>694</v>
      </c>
      <c r="EN3" s="219">
        <f t="shared" si="2"/>
        <v>345</v>
      </c>
      <c r="EO3" s="219">
        <f t="shared" si="2"/>
        <v>729</v>
      </c>
      <c r="EP3" s="219">
        <f t="shared" si="2"/>
        <v>372</v>
      </c>
      <c r="EQ3" s="219">
        <f t="shared" si="2"/>
        <v>236</v>
      </c>
      <c r="ER3" s="219">
        <f t="shared" si="2"/>
        <v>389</v>
      </c>
      <c r="ES3" s="219">
        <f t="shared" si="2"/>
        <v>236</v>
      </c>
      <c r="ET3" s="219">
        <f t="shared" si="2"/>
        <v>419</v>
      </c>
      <c r="EU3" s="219">
        <f t="shared" si="2"/>
        <v>1362</v>
      </c>
      <c r="EV3" s="219">
        <f t="shared" si="2"/>
        <v>1364</v>
      </c>
      <c r="EW3" s="219">
        <f t="shared" si="2"/>
        <v>397</v>
      </c>
      <c r="EX3" s="219">
        <f t="shared" si="2"/>
        <v>530</v>
      </c>
      <c r="EY3" s="219">
        <f t="shared" si="2"/>
        <v>508</v>
      </c>
      <c r="EZ3" s="219">
        <f t="shared" si="2"/>
        <v>254</v>
      </c>
      <c r="FA3" s="219">
        <f t="shared" si="2"/>
        <v>0</v>
      </c>
      <c r="FB3" s="219">
        <f t="shared" si="2"/>
        <v>370</v>
      </c>
      <c r="FC3" s="219">
        <f t="shared" si="2"/>
        <v>0</v>
      </c>
      <c r="FD3" s="219">
        <f t="shared" si="2"/>
        <v>98</v>
      </c>
      <c r="FE3" s="219">
        <f t="shared" si="2"/>
        <v>0</v>
      </c>
      <c r="FF3" s="219">
        <f t="shared" si="2"/>
        <v>172</v>
      </c>
      <c r="FG3" s="219">
        <f t="shared" si="2"/>
        <v>13</v>
      </c>
      <c r="FH3" s="219">
        <f t="shared" si="2"/>
        <v>4160</v>
      </c>
      <c r="FI3" s="219">
        <f t="shared" si="2"/>
        <v>458</v>
      </c>
      <c r="FJ3" s="219">
        <f t="shared" si="2"/>
        <v>26</v>
      </c>
      <c r="FK3" s="219">
        <f t="shared" si="2"/>
        <v>669</v>
      </c>
      <c r="FL3" s="219">
        <f t="shared" si="2"/>
        <v>9</v>
      </c>
      <c r="FM3" s="219">
        <f t="shared" si="2"/>
        <v>156</v>
      </c>
      <c r="FN3" s="219">
        <f t="shared" si="2"/>
        <v>440</v>
      </c>
      <c r="FO3" s="219">
        <f t="shared" si="2"/>
        <v>846</v>
      </c>
      <c r="FP3" s="219">
        <f t="shared" si="2"/>
        <v>882</v>
      </c>
      <c r="FQ3" s="219">
        <f t="shared" si="2"/>
        <v>1636</v>
      </c>
      <c r="FR3" s="219">
        <f t="shared" si="2"/>
        <v>0</v>
      </c>
      <c r="FS3" s="219">
        <f t="shared" si="2"/>
        <v>1247</v>
      </c>
      <c r="FT3" s="219">
        <f t="shared" si="2"/>
        <v>785</v>
      </c>
      <c r="FU3" s="219">
        <f t="shared" si="2"/>
        <v>0</v>
      </c>
      <c r="FV3" s="219">
        <f t="shared" si="2"/>
        <v>71</v>
      </c>
      <c r="FW3" s="219">
        <f t="shared" si="2"/>
        <v>5</v>
      </c>
      <c r="FX3" s="219">
        <f t="shared" si="2"/>
        <v>29</v>
      </c>
      <c r="FY3" s="219">
        <f t="shared" si="2"/>
        <v>0</v>
      </c>
      <c r="FZ3" s="219">
        <f t="shared" si="2"/>
        <v>804</v>
      </c>
      <c r="GA3" s="219">
        <f t="shared" si="2"/>
        <v>32</v>
      </c>
      <c r="GB3" s="219">
        <f t="shared" si="2"/>
        <v>5</v>
      </c>
      <c r="GC3" s="219">
        <f t="shared" si="2"/>
        <v>0</v>
      </c>
      <c r="GD3" s="219">
        <f t="shared" si="2"/>
        <v>576</v>
      </c>
      <c r="GE3" s="219">
        <f t="shared" si="2"/>
        <v>1227</v>
      </c>
      <c r="GF3" s="219">
        <f t="shared" si="2"/>
        <v>647</v>
      </c>
      <c r="GG3" s="219">
        <f t="shared" si="2"/>
        <v>847</v>
      </c>
      <c r="GH3" s="219">
        <f t="shared" si="2"/>
        <v>245</v>
      </c>
      <c r="GI3" s="219">
        <f t="shared" si="2"/>
        <v>85</v>
      </c>
      <c r="GJ3" s="219">
        <f t="shared" si="2"/>
        <v>1390</v>
      </c>
      <c r="GK3" s="219">
        <f t="shared" si="2"/>
        <v>1081</v>
      </c>
      <c r="GL3" s="219">
        <f t="shared" si="2"/>
        <v>723</v>
      </c>
      <c r="GM3" s="219">
        <f t="shared" ref="GM3:GR3" si="3">SUM(GM21:GM51)-GM2</f>
        <v>2216</v>
      </c>
      <c r="GN3" s="219">
        <f t="shared" si="3"/>
        <v>85</v>
      </c>
      <c r="GO3" s="219">
        <f t="shared" si="3"/>
        <v>963</v>
      </c>
      <c r="GP3" s="219">
        <f t="shared" si="3"/>
        <v>0</v>
      </c>
      <c r="GQ3" s="219">
        <f t="shared" si="3"/>
        <v>0</v>
      </c>
      <c r="GR3" s="219">
        <f t="shared" si="3"/>
        <v>589</v>
      </c>
    </row>
    <row r="4" spans="1:200" ht="15.6" customHeight="1">
      <c r="A4" s="73" t="s">
        <v>242</v>
      </c>
      <c r="B4" s="230">
        <f>COUNTA(C22,C25:C29,C32:C36,C39:C43,C46:C50)</f>
        <v>21</v>
      </c>
      <c r="C4" s="23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0"/>
      <c r="Y4" s="220"/>
      <c r="Z4" s="220"/>
      <c r="AA4" s="220"/>
      <c r="AB4" s="220"/>
      <c r="AC4" s="220"/>
      <c r="AD4" s="220"/>
      <c r="AE4" s="220"/>
      <c r="AF4" s="220"/>
      <c r="AG4" s="220"/>
      <c r="AH4" s="220"/>
      <c r="AI4" s="220"/>
      <c r="AJ4" s="220"/>
      <c r="AK4" s="220"/>
      <c r="AL4" s="220"/>
      <c r="AM4" s="220"/>
      <c r="AN4" s="220"/>
      <c r="AO4" s="220"/>
      <c r="AP4" s="220"/>
      <c r="AQ4" s="220"/>
      <c r="AR4" s="220"/>
      <c r="AS4" s="220"/>
      <c r="AT4" s="220"/>
      <c r="AU4" s="220"/>
      <c r="AV4" s="220"/>
      <c r="AW4" s="220"/>
      <c r="AX4" s="220"/>
      <c r="AY4" s="220"/>
      <c r="AZ4" s="220"/>
      <c r="BA4" s="220"/>
      <c r="BB4" s="220"/>
      <c r="BC4" s="220"/>
      <c r="BD4" s="220"/>
      <c r="BE4" s="220"/>
      <c r="BF4" s="220"/>
      <c r="BG4" s="220"/>
      <c r="BH4" s="220"/>
      <c r="BI4" s="220"/>
      <c r="BJ4" s="220"/>
      <c r="BK4" s="220"/>
      <c r="BL4" s="220"/>
      <c r="BM4" s="220"/>
      <c r="BN4" s="220"/>
      <c r="BO4" s="220"/>
      <c r="BP4" s="220"/>
      <c r="BQ4" s="220"/>
      <c r="BR4" s="220"/>
      <c r="BS4" s="220"/>
      <c r="BT4" s="220"/>
      <c r="BU4" s="220"/>
      <c r="BV4" s="220"/>
      <c r="BW4" s="220"/>
      <c r="BX4" s="220"/>
      <c r="BY4" s="220"/>
      <c r="BZ4" s="220"/>
      <c r="CA4" s="220"/>
      <c r="CB4" s="220"/>
      <c r="CC4" s="220"/>
      <c r="CD4" s="220"/>
      <c r="CE4" s="220"/>
      <c r="CF4" s="220"/>
      <c r="CG4" s="220"/>
      <c r="CH4" s="220"/>
      <c r="CI4" s="220"/>
      <c r="CJ4" s="220"/>
      <c r="CK4" s="220"/>
      <c r="CL4" s="220"/>
      <c r="CM4" s="220"/>
      <c r="CN4" s="220"/>
      <c r="CO4" s="220"/>
      <c r="CP4" s="220"/>
      <c r="CQ4" s="220"/>
      <c r="CR4" s="220"/>
      <c r="CS4" s="220"/>
      <c r="CT4" s="220"/>
      <c r="CU4" s="220"/>
      <c r="CV4" s="220"/>
      <c r="CW4" s="220"/>
      <c r="CX4" s="220"/>
      <c r="CY4" s="220"/>
      <c r="CZ4" s="220"/>
      <c r="DA4" s="220"/>
      <c r="DB4" s="220"/>
      <c r="DC4" s="220"/>
      <c r="DD4" s="220"/>
      <c r="DE4" s="220"/>
      <c r="DF4" s="220"/>
      <c r="DG4" s="220"/>
      <c r="DH4" s="220"/>
      <c r="DI4" s="220"/>
      <c r="DJ4" s="220"/>
      <c r="DK4" s="220"/>
      <c r="DL4" s="220"/>
      <c r="DM4" s="220"/>
      <c r="DN4" s="220"/>
      <c r="DO4" s="220"/>
      <c r="DP4" s="220"/>
      <c r="DQ4" s="220"/>
      <c r="DR4" s="220"/>
      <c r="DS4" s="220"/>
      <c r="DT4" s="220"/>
      <c r="DU4" s="220"/>
      <c r="DV4" s="220"/>
      <c r="DW4" s="220"/>
      <c r="DX4" s="220"/>
      <c r="DY4" s="220"/>
      <c r="DZ4" s="220"/>
      <c r="EA4" s="220"/>
      <c r="EB4" s="220"/>
      <c r="EC4" s="220"/>
      <c r="ED4" s="220"/>
      <c r="EE4" s="220"/>
      <c r="EF4" s="220"/>
      <c r="EG4" s="220"/>
      <c r="EH4" s="220"/>
      <c r="EI4" s="220"/>
      <c r="EJ4" s="220"/>
      <c r="EK4" s="220"/>
      <c r="EL4" s="220"/>
      <c r="EM4" s="220"/>
      <c r="EN4" s="220"/>
      <c r="EO4" s="220"/>
      <c r="EP4" s="220"/>
      <c r="EQ4" s="220"/>
      <c r="ER4" s="220"/>
      <c r="ES4" s="220"/>
      <c r="ET4" s="220"/>
      <c r="EU4" s="220"/>
      <c r="EV4" s="220"/>
      <c r="EW4" s="220"/>
      <c r="EX4" s="220"/>
      <c r="EY4" s="220"/>
      <c r="EZ4" s="220"/>
      <c r="FA4" s="220"/>
      <c r="FB4" s="220"/>
      <c r="FC4" s="220"/>
      <c r="FD4" s="220"/>
      <c r="FE4" s="220"/>
      <c r="FF4" s="220"/>
      <c r="FG4" s="220"/>
      <c r="FH4" s="220"/>
      <c r="FI4" s="220"/>
      <c r="FJ4" s="220"/>
      <c r="FK4" s="220"/>
      <c r="FL4" s="220"/>
      <c r="FM4" s="220"/>
      <c r="FN4" s="220"/>
      <c r="FO4" s="220"/>
      <c r="FP4" s="220"/>
      <c r="FQ4" s="220"/>
      <c r="FR4" s="220"/>
      <c r="FS4" s="220"/>
      <c r="FT4" s="220"/>
      <c r="FU4" s="220"/>
      <c r="FV4" s="220"/>
      <c r="FW4" s="220"/>
      <c r="FX4" s="220"/>
      <c r="FY4" s="220"/>
      <c r="FZ4" s="220"/>
      <c r="GA4" s="220"/>
      <c r="GB4" s="220"/>
      <c r="GC4" s="220"/>
      <c r="GD4" s="220"/>
      <c r="GE4" s="220"/>
      <c r="GF4" s="220"/>
      <c r="GG4" s="220"/>
      <c r="GH4" s="220"/>
      <c r="GI4" s="220"/>
      <c r="GJ4" s="220"/>
      <c r="GK4" s="220"/>
      <c r="GL4" s="220"/>
      <c r="GM4" s="220"/>
      <c r="GN4" s="220"/>
      <c r="GO4" s="220"/>
      <c r="GP4" s="220"/>
      <c r="GQ4" s="220"/>
      <c r="GR4" s="220"/>
    </row>
    <row r="5" spans="1:200" ht="15.6">
      <c r="A5" s="230" t="s">
        <v>243</v>
      </c>
      <c r="B5" s="230"/>
      <c r="C5" s="230"/>
      <c r="D5" s="74">
        <f>COUNTIF(D22,"&gt;0")+COUNTIF(D25:D29,"&gt;0")+COUNTIF(D39:D43,"&gt;0")+COUNTIF(D32:D36,"&gt;0")+COUNTIF(D46:D50,"&gt;0")</f>
        <v>0</v>
      </c>
      <c r="E5" s="74">
        <v>16</v>
      </c>
      <c r="F5" s="74">
        <v>2</v>
      </c>
      <c r="G5" s="74">
        <f t="shared" ref="E5:BP5" si="4">COUNTIF(G22,"&gt;0")+COUNTIF(G25:G29,"&gt;0")+COUNTIF(G39:G43,"&gt;0")+COUNTIF(G32:G36,"&gt;0")+COUNTIF(G46:G50,"&gt;0")</f>
        <v>4</v>
      </c>
      <c r="H5" s="74">
        <f t="shared" si="4"/>
        <v>21</v>
      </c>
      <c r="I5" s="74">
        <f t="shared" si="4"/>
        <v>19</v>
      </c>
      <c r="J5" s="74">
        <f t="shared" si="4"/>
        <v>0</v>
      </c>
      <c r="K5" s="74">
        <f t="shared" si="4"/>
        <v>2</v>
      </c>
      <c r="L5" s="74">
        <f t="shared" si="4"/>
        <v>0</v>
      </c>
      <c r="M5" s="74">
        <f t="shared" si="4"/>
        <v>8</v>
      </c>
      <c r="N5" s="74">
        <f t="shared" si="4"/>
        <v>21</v>
      </c>
      <c r="O5" s="74">
        <f t="shared" si="4"/>
        <v>10</v>
      </c>
      <c r="P5" s="74">
        <f t="shared" si="4"/>
        <v>20</v>
      </c>
      <c r="Q5" s="74">
        <f t="shared" si="4"/>
        <v>20</v>
      </c>
      <c r="R5" s="74">
        <f t="shared" si="4"/>
        <v>21</v>
      </c>
      <c r="S5" s="74">
        <f t="shared" si="4"/>
        <v>19</v>
      </c>
      <c r="T5" s="74">
        <f t="shared" si="4"/>
        <v>21</v>
      </c>
      <c r="U5" s="74">
        <f t="shared" si="4"/>
        <v>15</v>
      </c>
      <c r="V5" s="74">
        <f t="shared" si="4"/>
        <v>8</v>
      </c>
      <c r="W5" s="74">
        <f t="shared" si="4"/>
        <v>6</v>
      </c>
      <c r="X5" s="74">
        <f t="shared" si="4"/>
        <v>1</v>
      </c>
      <c r="Y5" s="74">
        <f t="shared" si="4"/>
        <v>21</v>
      </c>
      <c r="Z5" s="74">
        <f t="shared" si="4"/>
        <v>14</v>
      </c>
      <c r="AA5" s="74">
        <f t="shared" si="4"/>
        <v>20</v>
      </c>
      <c r="AB5" s="74">
        <f t="shared" si="4"/>
        <v>20</v>
      </c>
      <c r="AC5" s="74">
        <f t="shared" si="4"/>
        <v>0</v>
      </c>
      <c r="AD5" s="74">
        <f t="shared" si="4"/>
        <v>20</v>
      </c>
      <c r="AE5" s="74">
        <f t="shared" si="4"/>
        <v>9</v>
      </c>
      <c r="AF5" s="74">
        <f t="shared" si="4"/>
        <v>2</v>
      </c>
      <c r="AG5" s="74">
        <f t="shared" si="4"/>
        <v>19</v>
      </c>
      <c r="AH5" s="74">
        <f t="shared" si="4"/>
        <v>3</v>
      </c>
      <c r="AI5" s="74">
        <f t="shared" si="4"/>
        <v>7</v>
      </c>
      <c r="AJ5" s="74">
        <f t="shared" si="4"/>
        <v>0</v>
      </c>
      <c r="AK5" s="74">
        <f t="shared" si="4"/>
        <v>10</v>
      </c>
      <c r="AL5" s="74">
        <f t="shared" si="4"/>
        <v>6</v>
      </c>
      <c r="AM5" s="74">
        <f t="shared" si="4"/>
        <v>4</v>
      </c>
      <c r="AN5" s="74">
        <f t="shared" si="4"/>
        <v>19</v>
      </c>
      <c r="AO5" s="74">
        <f t="shared" si="4"/>
        <v>1</v>
      </c>
      <c r="AP5" s="74">
        <f t="shared" si="4"/>
        <v>21</v>
      </c>
      <c r="AQ5" s="74">
        <f t="shared" si="4"/>
        <v>10</v>
      </c>
      <c r="AR5" s="74">
        <f t="shared" si="4"/>
        <v>16</v>
      </c>
      <c r="AS5" s="74">
        <f t="shared" si="4"/>
        <v>0</v>
      </c>
      <c r="AT5" s="74">
        <f t="shared" si="4"/>
        <v>15</v>
      </c>
      <c r="AU5" s="74">
        <f t="shared" si="4"/>
        <v>5</v>
      </c>
      <c r="AV5" s="74">
        <f t="shared" si="4"/>
        <v>4</v>
      </c>
      <c r="AW5" s="74">
        <f t="shared" si="4"/>
        <v>21</v>
      </c>
      <c r="AX5" s="74">
        <f t="shared" si="4"/>
        <v>20</v>
      </c>
      <c r="AY5" s="74">
        <f t="shared" si="4"/>
        <v>4</v>
      </c>
      <c r="AZ5" s="74">
        <f t="shared" si="4"/>
        <v>11</v>
      </c>
      <c r="BA5" s="74">
        <f t="shared" si="4"/>
        <v>21</v>
      </c>
      <c r="BB5" s="74">
        <f t="shared" si="4"/>
        <v>20</v>
      </c>
      <c r="BC5" s="74">
        <f t="shared" si="4"/>
        <v>10</v>
      </c>
      <c r="BD5" s="74">
        <f t="shared" si="4"/>
        <v>20</v>
      </c>
      <c r="BE5" s="74">
        <f t="shared" si="4"/>
        <v>20</v>
      </c>
      <c r="BF5" s="74">
        <f t="shared" si="4"/>
        <v>6</v>
      </c>
      <c r="BG5" s="74">
        <f t="shared" si="4"/>
        <v>21</v>
      </c>
      <c r="BH5" s="74">
        <f t="shared" si="4"/>
        <v>7</v>
      </c>
      <c r="BI5" s="74">
        <f t="shared" si="4"/>
        <v>19</v>
      </c>
      <c r="BJ5" s="74">
        <f t="shared" si="4"/>
        <v>19</v>
      </c>
      <c r="BK5" s="74">
        <f t="shared" si="4"/>
        <v>1</v>
      </c>
      <c r="BL5" s="74">
        <f t="shared" si="4"/>
        <v>17</v>
      </c>
      <c r="BM5" s="74">
        <f t="shared" si="4"/>
        <v>1</v>
      </c>
      <c r="BN5" s="74">
        <f t="shared" si="4"/>
        <v>13</v>
      </c>
      <c r="BO5" s="74">
        <f t="shared" si="4"/>
        <v>19</v>
      </c>
      <c r="BP5" s="74">
        <f t="shared" si="4"/>
        <v>8</v>
      </c>
      <c r="BQ5" s="74">
        <f t="shared" ref="BQ5:EB5" si="5">COUNTIF(BQ22,"&gt;0")+COUNTIF(BQ25:BQ29,"&gt;0")+COUNTIF(BQ39:BQ43,"&gt;0")+COUNTIF(BQ32:BQ36,"&gt;0")+COUNTIF(BQ46:BQ50,"&gt;0")</f>
        <v>10</v>
      </c>
      <c r="BR5" s="74">
        <f t="shared" si="5"/>
        <v>0</v>
      </c>
      <c r="BS5" s="74">
        <f t="shared" si="5"/>
        <v>14</v>
      </c>
      <c r="BT5" s="74">
        <f t="shared" si="5"/>
        <v>0</v>
      </c>
      <c r="BU5" s="74">
        <f t="shared" si="5"/>
        <v>20</v>
      </c>
      <c r="BV5" s="74">
        <f t="shared" si="5"/>
        <v>20</v>
      </c>
      <c r="BW5" s="74">
        <f t="shared" si="5"/>
        <v>20</v>
      </c>
      <c r="BX5" s="74">
        <f t="shared" si="5"/>
        <v>6</v>
      </c>
      <c r="BY5" s="74">
        <f t="shared" si="5"/>
        <v>1</v>
      </c>
      <c r="BZ5" s="74">
        <f t="shared" si="5"/>
        <v>19</v>
      </c>
      <c r="CA5" s="74">
        <f t="shared" si="5"/>
        <v>20</v>
      </c>
      <c r="CB5" s="74">
        <f t="shared" si="5"/>
        <v>18</v>
      </c>
      <c r="CC5" s="74">
        <f t="shared" si="5"/>
        <v>19</v>
      </c>
      <c r="CD5" s="74">
        <f t="shared" si="5"/>
        <v>20</v>
      </c>
      <c r="CE5" s="74">
        <f t="shared" si="5"/>
        <v>12</v>
      </c>
      <c r="CF5" s="74">
        <f t="shared" si="5"/>
        <v>19</v>
      </c>
      <c r="CG5" s="74">
        <f t="shared" si="5"/>
        <v>2</v>
      </c>
      <c r="CH5" s="74">
        <f t="shared" si="5"/>
        <v>21</v>
      </c>
      <c r="CI5" s="74">
        <f t="shared" si="5"/>
        <v>0</v>
      </c>
      <c r="CJ5" s="74">
        <f t="shared" si="5"/>
        <v>21</v>
      </c>
      <c r="CK5" s="74">
        <f t="shared" si="5"/>
        <v>2</v>
      </c>
      <c r="CL5" s="74">
        <f t="shared" si="5"/>
        <v>19</v>
      </c>
      <c r="CM5" s="74">
        <f t="shared" si="5"/>
        <v>0</v>
      </c>
      <c r="CN5" s="74">
        <f t="shared" si="5"/>
        <v>20</v>
      </c>
      <c r="CO5" s="74">
        <f t="shared" si="5"/>
        <v>10</v>
      </c>
      <c r="CP5" s="74">
        <f t="shared" si="5"/>
        <v>10</v>
      </c>
      <c r="CQ5" s="74">
        <f t="shared" si="5"/>
        <v>0</v>
      </c>
      <c r="CR5" s="74">
        <f t="shared" si="5"/>
        <v>13</v>
      </c>
      <c r="CS5" s="74">
        <f t="shared" si="5"/>
        <v>13</v>
      </c>
      <c r="CT5" s="74">
        <f t="shared" si="5"/>
        <v>20</v>
      </c>
      <c r="CU5" s="74">
        <f t="shared" si="5"/>
        <v>11</v>
      </c>
      <c r="CV5" s="74">
        <f t="shared" si="5"/>
        <v>7</v>
      </c>
      <c r="CW5" s="74">
        <f t="shared" si="5"/>
        <v>2</v>
      </c>
      <c r="CX5" s="74">
        <f t="shared" si="5"/>
        <v>0</v>
      </c>
      <c r="CY5" s="74">
        <f t="shared" si="5"/>
        <v>20</v>
      </c>
      <c r="CZ5" s="74">
        <f t="shared" si="5"/>
        <v>18</v>
      </c>
      <c r="DA5" s="74">
        <f t="shared" si="5"/>
        <v>21</v>
      </c>
      <c r="DB5" s="74">
        <f t="shared" si="5"/>
        <v>0</v>
      </c>
      <c r="DC5" s="74">
        <f t="shared" si="5"/>
        <v>1</v>
      </c>
      <c r="DD5" s="74">
        <f t="shared" si="5"/>
        <v>16</v>
      </c>
      <c r="DE5" s="74">
        <f t="shared" si="5"/>
        <v>15</v>
      </c>
      <c r="DF5" s="74">
        <f t="shared" si="5"/>
        <v>0</v>
      </c>
      <c r="DG5" s="74">
        <f t="shared" si="5"/>
        <v>20</v>
      </c>
      <c r="DH5" s="74">
        <f t="shared" si="5"/>
        <v>13</v>
      </c>
      <c r="DI5" s="74">
        <f t="shared" si="5"/>
        <v>21</v>
      </c>
      <c r="DJ5" s="74">
        <f t="shared" si="5"/>
        <v>2</v>
      </c>
      <c r="DK5" s="74">
        <f t="shared" si="5"/>
        <v>20</v>
      </c>
      <c r="DL5" s="74">
        <f t="shared" si="5"/>
        <v>18</v>
      </c>
      <c r="DM5" s="74">
        <f t="shared" si="5"/>
        <v>9</v>
      </c>
      <c r="DN5" s="74">
        <f t="shared" si="5"/>
        <v>21</v>
      </c>
      <c r="DO5" s="74">
        <f t="shared" si="5"/>
        <v>15</v>
      </c>
      <c r="DP5" s="74">
        <f t="shared" si="5"/>
        <v>11</v>
      </c>
      <c r="DQ5" s="74">
        <f t="shared" si="5"/>
        <v>20</v>
      </c>
      <c r="DR5" s="74">
        <f t="shared" si="5"/>
        <v>20</v>
      </c>
      <c r="DS5" s="74">
        <f t="shared" si="5"/>
        <v>21</v>
      </c>
      <c r="DT5" s="74">
        <f t="shared" si="5"/>
        <v>20</v>
      </c>
      <c r="DU5" s="74">
        <f t="shared" si="5"/>
        <v>18</v>
      </c>
      <c r="DV5" s="74">
        <f t="shared" si="5"/>
        <v>1</v>
      </c>
      <c r="DW5" s="74">
        <f t="shared" si="5"/>
        <v>3</v>
      </c>
      <c r="DX5" s="74">
        <f t="shared" si="5"/>
        <v>21</v>
      </c>
      <c r="DY5" s="74">
        <f t="shared" si="5"/>
        <v>17</v>
      </c>
      <c r="DZ5" s="74">
        <f t="shared" si="5"/>
        <v>19</v>
      </c>
      <c r="EA5" s="74">
        <f t="shared" si="5"/>
        <v>2</v>
      </c>
      <c r="EB5" s="74">
        <f t="shared" si="5"/>
        <v>21</v>
      </c>
      <c r="EC5" s="74">
        <f t="shared" ref="EC5:GN5" si="6">COUNTIF(EC22,"&gt;0")+COUNTIF(EC25:EC29,"&gt;0")+COUNTIF(EC39:EC43,"&gt;0")+COUNTIF(EC32:EC36,"&gt;0")+COUNTIF(EC46:EC50,"&gt;0")</f>
        <v>11</v>
      </c>
      <c r="ED5" s="74">
        <f t="shared" si="6"/>
        <v>21</v>
      </c>
      <c r="EE5" s="74">
        <f t="shared" si="6"/>
        <v>15</v>
      </c>
      <c r="EF5" s="74">
        <f t="shared" si="6"/>
        <v>19</v>
      </c>
      <c r="EG5" s="74">
        <f t="shared" si="6"/>
        <v>5</v>
      </c>
      <c r="EH5" s="74">
        <f t="shared" si="6"/>
        <v>13</v>
      </c>
      <c r="EI5" s="74">
        <f t="shared" si="6"/>
        <v>14</v>
      </c>
      <c r="EJ5" s="74">
        <f t="shared" si="6"/>
        <v>20</v>
      </c>
      <c r="EK5" s="74">
        <f t="shared" si="6"/>
        <v>17</v>
      </c>
      <c r="EL5" s="74">
        <f t="shared" si="6"/>
        <v>17</v>
      </c>
      <c r="EM5" s="74">
        <f t="shared" si="6"/>
        <v>19</v>
      </c>
      <c r="EN5" s="74">
        <f t="shared" si="6"/>
        <v>8</v>
      </c>
      <c r="EO5" s="74">
        <f t="shared" si="6"/>
        <v>21</v>
      </c>
      <c r="EP5" s="74">
        <f t="shared" si="6"/>
        <v>14</v>
      </c>
      <c r="EQ5" s="74">
        <f t="shared" si="6"/>
        <v>16</v>
      </c>
      <c r="ER5" s="74">
        <f t="shared" si="6"/>
        <v>11</v>
      </c>
      <c r="ES5" s="74">
        <f t="shared" si="6"/>
        <v>14</v>
      </c>
      <c r="ET5" s="74">
        <f t="shared" si="6"/>
        <v>12</v>
      </c>
      <c r="EU5" s="74">
        <f t="shared" si="6"/>
        <v>20</v>
      </c>
      <c r="EV5" s="74">
        <f t="shared" si="6"/>
        <v>21</v>
      </c>
      <c r="EW5" s="74">
        <f t="shared" si="6"/>
        <v>15</v>
      </c>
      <c r="EX5" s="74">
        <f t="shared" si="6"/>
        <v>20</v>
      </c>
      <c r="EY5" s="74">
        <f t="shared" si="6"/>
        <v>16</v>
      </c>
      <c r="EZ5" s="74">
        <f t="shared" si="6"/>
        <v>17</v>
      </c>
      <c r="FA5" s="74">
        <f t="shared" si="6"/>
        <v>0</v>
      </c>
      <c r="FB5" s="74">
        <f t="shared" si="6"/>
        <v>13</v>
      </c>
      <c r="FC5" s="74">
        <f t="shared" si="6"/>
        <v>0</v>
      </c>
      <c r="FD5" s="74">
        <f t="shared" si="6"/>
        <v>6</v>
      </c>
      <c r="FE5" s="74">
        <f t="shared" si="6"/>
        <v>2</v>
      </c>
      <c r="FF5" s="74">
        <f t="shared" si="6"/>
        <v>20</v>
      </c>
      <c r="FG5" s="74">
        <f t="shared" si="6"/>
        <v>2</v>
      </c>
      <c r="FH5" s="74">
        <f t="shared" si="6"/>
        <v>21</v>
      </c>
      <c r="FI5" s="74">
        <f t="shared" si="6"/>
        <v>17</v>
      </c>
      <c r="FJ5" s="74">
        <f t="shared" si="6"/>
        <v>2</v>
      </c>
      <c r="FK5" s="74">
        <f t="shared" si="6"/>
        <v>21</v>
      </c>
      <c r="FL5" s="74">
        <f t="shared" si="6"/>
        <v>2</v>
      </c>
      <c r="FM5" s="74">
        <f t="shared" si="6"/>
        <v>9</v>
      </c>
      <c r="FN5" s="74">
        <f t="shared" si="6"/>
        <v>11</v>
      </c>
      <c r="FO5" s="74">
        <f t="shared" si="6"/>
        <v>20</v>
      </c>
      <c r="FP5" s="74">
        <f t="shared" si="6"/>
        <v>21</v>
      </c>
      <c r="FQ5" s="74">
        <f t="shared" si="6"/>
        <v>21</v>
      </c>
      <c r="FR5" s="74">
        <f t="shared" si="6"/>
        <v>2</v>
      </c>
      <c r="FS5" s="74">
        <f t="shared" si="6"/>
        <v>21</v>
      </c>
      <c r="FT5" s="74">
        <f t="shared" si="6"/>
        <v>21</v>
      </c>
      <c r="FU5" s="74">
        <f t="shared" si="6"/>
        <v>0</v>
      </c>
      <c r="FV5" s="74">
        <f t="shared" si="6"/>
        <v>5</v>
      </c>
      <c r="FW5" s="74">
        <f t="shared" si="6"/>
        <v>1</v>
      </c>
      <c r="FX5" s="74">
        <f t="shared" si="6"/>
        <v>2</v>
      </c>
      <c r="FY5" s="74">
        <f t="shared" si="6"/>
        <v>18</v>
      </c>
      <c r="FZ5" s="74">
        <f t="shared" si="6"/>
        <v>19</v>
      </c>
      <c r="GA5" s="74">
        <f t="shared" si="6"/>
        <v>3</v>
      </c>
      <c r="GB5" s="74">
        <f t="shared" si="6"/>
        <v>18</v>
      </c>
      <c r="GC5" s="74">
        <f t="shared" si="6"/>
        <v>0</v>
      </c>
      <c r="GD5" s="74">
        <f t="shared" si="6"/>
        <v>16</v>
      </c>
      <c r="GE5" s="74">
        <f t="shared" si="6"/>
        <v>17</v>
      </c>
      <c r="GF5" s="74">
        <f t="shared" si="6"/>
        <v>15</v>
      </c>
      <c r="GG5" s="74">
        <f t="shared" si="6"/>
        <v>13</v>
      </c>
      <c r="GH5" s="74">
        <f t="shared" si="6"/>
        <v>20</v>
      </c>
      <c r="GI5" s="74">
        <f t="shared" si="6"/>
        <v>4</v>
      </c>
      <c r="GJ5" s="74">
        <f t="shared" si="6"/>
        <v>21</v>
      </c>
      <c r="GK5" s="74">
        <f t="shared" si="6"/>
        <v>21</v>
      </c>
      <c r="GL5" s="74">
        <f t="shared" si="6"/>
        <v>19</v>
      </c>
      <c r="GM5" s="74">
        <f t="shared" si="6"/>
        <v>21</v>
      </c>
      <c r="GN5" s="74">
        <f t="shared" si="6"/>
        <v>19</v>
      </c>
      <c r="GO5" s="74">
        <f t="shared" ref="GO5:GR5" si="7">COUNTIF(GO22,"&gt;0")+COUNTIF(GO25:GO29,"&gt;0")+COUNTIF(GO39:GO43,"&gt;0")+COUNTIF(GO32:GO36,"&gt;0")+COUNTIF(GO46:GO50,"&gt;0")</f>
        <v>21</v>
      </c>
      <c r="GP5" s="74">
        <f t="shared" si="7"/>
        <v>18</v>
      </c>
      <c r="GQ5" s="74">
        <f t="shared" si="7"/>
        <v>0</v>
      </c>
      <c r="GR5" s="74">
        <f t="shared" si="7"/>
        <v>18</v>
      </c>
    </row>
    <row r="6" spans="1:200" ht="15.6">
      <c r="A6" s="230" t="s">
        <v>244</v>
      </c>
      <c r="B6" s="230"/>
      <c r="C6" s="230"/>
      <c r="D6" s="75">
        <f t="shared" ref="D6" si="8">D5*8</f>
        <v>0</v>
      </c>
      <c r="E6" s="75">
        <f t="shared" ref="E6:BP6" si="9">E5*8</f>
        <v>128</v>
      </c>
      <c r="F6" s="75">
        <f t="shared" si="9"/>
        <v>16</v>
      </c>
      <c r="G6" s="75">
        <f t="shared" si="9"/>
        <v>32</v>
      </c>
      <c r="H6" s="75">
        <f t="shared" si="9"/>
        <v>168</v>
      </c>
      <c r="I6" s="75">
        <f t="shared" si="9"/>
        <v>152</v>
      </c>
      <c r="J6" s="75">
        <f t="shared" si="9"/>
        <v>0</v>
      </c>
      <c r="K6" s="75">
        <f t="shared" si="9"/>
        <v>16</v>
      </c>
      <c r="L6" s="75">
        <f t="shared" si="9"/>
        <v>0</v>
      </c>
      <c r="M6" s="75">
        <f t="shared" si="9"/>
        <v>64</v>
      </c>
      <c r="N6" s="75">
        <f t="shared" si="9"/>
        <v>168</v>
      </c>
      <c r="O6" s="75">
        <f t="shared" si="9"/>
        <v>80</v>
      </c>
      <c r="P6" s="75">
        <f t="shared" si="9"/>
        <v>160</v>
      </c>
      <c r="Q6" s="75">
        <f t="shared" si="9"/>
        <v>160</v>
      </c>
      <c r="R6" s="75">
        <f t="shared" si="9"/>
        <v>168</v>
      </c>
      <c r="S6" s="75">
        <f t="shared" si="9"/>
        <v>152</v>
      </c>
      <c r="T6" s="75">
        <f t="shared" si="9"/>
        <v>168</v>
      </c>
      <c r="U6" s="75">
        <f t="shared" si="9"/>
        <v>120</v>
      </c>
      <c r="V6" s="75">
        <f t="shared" si="9"/>
        <v>64</v>
      </c>
      <c r="W6" s="75">
        <f t="shared" si="9"/>
        <v>48</v>
      </c>
      <c r="X6" s="75">
        <f t="shared" si="9"/>
        <v>8</v>
      </c>
      <c r="Y6" s="75">
        <f t="shared" si="9"/>
        <v>168</v>
      </c>
      <c r="Z6" s="75">
        <f t="shared" si="9"/>
        <v>112</v>
      </c>
      <c r="AA6" s="75">
        <f t="shared" si="9"/>
        <v>160</v>
      </c>
      <c r="AB6" s="75">
        <f t="shared" si="9"/>
        <v>160</v>
      </c>
      <c r="AC6" s="75">
        <f t="shared" si="9"/>
        <v>0</v>
      </c>
      <c r="AD6" s="75">
        <f t="shared" si="9"/>
        <v>160</v>
      </c>
      <c r="AE6" s="75">
        <f t="shared" si="9"/>
        <v>72</v>
      </c>
      <c r="AF6" s="75">
        <f t="shared" si="9"/>
        <v>16</v>
      </c>
      <c r="AG6" s="75">
        <f t="shared" si="9"/>
        <v>152</v>
      </c>
      <c r="AH6" s="75">
        <f t="shared" si="9"/>
        <v>24</v>
      </c>
      <c r="AI6" s="75">
        <f t="shared" si="9"/>
        <v>56</v>
      </c>
      <c r="AJ6" s="75">
        <f t="shared" si="9"/>
        <v>0</v>
      </c>
      <c r="AK6" s="75">
        <f t="shared" si="9"/>
        <v>80</v>
      </c>
      <c r="AL6" s="75">
        <f t="shared" si="9"/>
        <v>48</v>
      </c>
      <c r="AM6" s="75">
        <f t="shared" si="9"/>
        <v>32</v>
      </c>
      <c r="AN6" s="75">
        <f t="shared" si="9"/>
        <v>152</v>
      </c>
      <c r="AO6" s="75">
        <f t="shared" si="9"/>
        <v>8</v>
      </c>
      <c r="AP6" s="75">
        <f t="shared" si="9"/>
        <v>168</v>
      </c>
      <c r="AQ6" s="75">
        <f t="shared" si="9"/>
        <v>80</v>
      </c>
      <c r="AR6" s="75">
        <f t="shared" si="9"/>
        <v>128</v>
      </c>
      <c r="AS6" s="75">
        <f t="shared" si="9"/>
        <v>0</v>
      </c>
      <c r="AT6" s="75">
        <f t="shared" si="9"/>
        <v>120</v>
      </c>
      <c r="AU6" s="75">
        <f t="shared" si="9"/>
        <v>40</v>
      </c>
      <c r="AV6" s="75">
        <f t="shared" si="9"/>
        <v>32</v>
      </c>
      <c r="AW6" s="75">
        <f t="shared" si="9"/>
        <v>168</v>
      </c>
      <c r="AX6" s="75">
        <f t="shared" si="9"/>
        <v>160</v>
      </c>
      <c r="AY6" s="75">
        <f t="shared" si="9"/>
        <v>32</v>
      </c>
      <c r="AZ6" s="75">
        <f t="shared" si="9"/>
        <v>88</v>
      </c>
      <c r="BA6" s="75">
        <f t="shared" si="9"/>
        <v>168</v>
      </c>
      <c r="BB6" s="75">
        <f t="shared" si="9"/>
        <v>160</v>
      </c>
      <c r="BC6" s="75">
        <f t="shared" si="9"/>
        <v>80</v>
      </c>
      <c r="BD6" s="75">
        <f t="shared" si="9"/>
        <v>160</v>
      </c>
      <c r="BE6" s="75">
        <f t="shared" si="9"/>
        <v>160</v>
      </c>
      <c r="BF6" s="75">
        <f t="shared" si="9"/>
        <v>48</v>
      </c>
      <c r="BG6" s="75">
        <f t="shared" si="9"/>
        <v>168</v>
      </c>
      <c r="BH6" s="75">
        <f t="shared" si="9"/>
        <v>56</v>
      </c>
      <c r="BI6" s="75">
        <f t="shared" si="9"/>
        <v>152</v>
      </c>
      <c r="BJ6" s="75">
        <f t="shared" si="9"/>
        <v>152</v>
      </c>
      <c r="BK6" s="75">
        <f t="shared" si="9"/>
        <v>8</v>
      </c>
      <c r="BL6" s="75">
        <f t="shared" si="9"/>
        <v>136</v>
      </c>
      <c r="BM6" s="75">
        <f t="shared" si="9"/>
        <v>8</v>
      </c>
      <c r="BN6" s="75">
        <f t="shared" si="9"/>
        <v>104</v>
      </c>
      <c r="BO6" s="75">
        <f t="shared" si="9"/>
        <v>152</v>
      </c>
      <c r="BP6" s="75">
        <f t="shared" si="9"/>
        <v>64</v>
      </c>
      <c r="BQ6" s="75">
        <f t="shared" ref="BQ6:DG6" si="10">BQ5*8</f>
        <v>80</v>
      </c>
      <c r="BR6" s="75">
        <f t="shared" si="10"/>
        <v>0</v>
      </c>
      <c r="BS6" s="75">
        <f t="shared" si="10"/>
        <v>112</v>
      </c>
      <c r="BT6" s="75">
        <f t="shared" si="10"/>
        <v>0</v>
      </c>
      <c r="BU6" s="75">
        <f t="shared" si="10"/>
        <v>160</v>
      </c>
      <c r="BV6" s="75">
        <f t="shared" si="10"/>
        <v>160</v>
      </c>
      <c r="BW6" s="75">
        <f t="shared" si="10"/>
        <v>160</v>
      </c>
      <c r="BX6" s="75">
        <f t="shared" si="10"/>
        <v>48</v>
      </c>
      <c r="BY6" s="75">
        <f t="shared" si="10"/>
        <v>8</v>
      </c>
      <c r="BZ6" s="75">
        <f t="shared" si="10"/>
        <v>152</v>
      </c>
      <c r="CA6" s="75">
        <f t="shared" si="10"/>
        <v>160</v>
      </c>
      <c r="CB6" s="75">
        <f t="shared" si="10"/>
        <v>144</v>
      </c>
      <c r="CC6" s="75">
        <f t="shared" si="10"/>
        <v>152</v>
      </c>
      <c r="CD6" s="75">
        <f t="shared" si="10"/>
        <v>160</v>
      </c>
      <c r="CE6" s="75">
        <f t="shared" si="10"/>
        <v>96</v>
      </c>
      <c r="CF6" s="75">
        <f t="shared" si="10"/>
        <v>152</v>
      </c>
      <c r="CG6" s="75">
        <f t="shared" si="10"/>
        <v>16</v>
      </c>
      <c r="CH6" s="75">
        <f t="shared" si="10"/>
        <v>168</v>
      </c>
      <c r="CI6" s="75">
        <f t="shared" si="10"/>
        <v>0</v>
      </c>
      <c r="CJ6" s="75">
        <f t="shared" si="10"/>
        <v>168</v>
      </c>
      <c r="CK6" s="75">
        <f t="shared" si="10"/>
        <v>16</v>
      </c>
      <c r="CL6" s="75">
        <f t="shared" si="10"/>
        <v>152</v>
      </c>
      <c r="CM6" s="75">
        <f t="shared" si="10"/>
        <v>0</v>
      </c>
      <c r="CN6" s="75">
        <f t="shared" si="10"/>
        <v>160</v>
      </c>
      <c r="CO6" s="75">
        <f t="shared" si="10"/>
        <v>80</v>
      </c>
      <c r="CP6" s="75">
        <f t="shared" si="10"/>
        <v>80</v>
      </c>
      <c r="CQ6" s="75">
        <f t="shared" si="10"/>
        <v>0</v>
      </c>
      <c r="CR6" s="75">
        <f t="shared" si="10"/>
        <v>104</v>
      </c>
      <c r="CS6" s="75">
        <f t="shared" si="10"/>
        <v>104</v>
      </c>
      <c r="CT6" s="75">
        <f t="shared" si="10"/>
        <v>160</v>
      </c>
      <c r="CU6" s="75">
        <f t="shared" si="10"/>
        <v>88</v>
      </c>
      <c r="CV6" s="75">
        <f t="shared" si="10"/>
        <v>56</v>
      </c>
      <c r="CW6" s="75">
        <f t="shared" si="10"/>
        <v>16</v>
      </c>
      <c r="CX6" s="75">
        <f t="shared" si="10"/>
        <v>0</v>
      </c>
      <c r="CY6" s="75">
        <f t="shared" si="10"/>
        <v>160</v>
      </c>
      <c r="CZ6" s="75">
        <f t="shared" si="10"/>
        <v>144</v>
      </c>
      <c r="DA6" s="75">
        <f t="shared" si="10"/>
        <v>168</v>
      </c>
      <c r="DB6" s="75">
        <f t="shared" si="10"/>
        <v>0</v>
      </c>
      <c r="DC6" s="75">
        <f t="shared" si="10"/>
        <v>8</v>
      </c>
      <c r="DD6" s="75">
        <f t="shared" si="10"/>
        <v>128</v>
      </c>
      <c r="DE6" s="75">
        <f t="shared" si="10"/>
        <v>120</v>
      </c>
      <c r="DF6" s="75">
        <f t="shared" si="10"/>
        <v>0</v>
      </c>
      <c r="DG6" s="75">
        <f t="shared" si="10"/>
        <v>160</v>
      </c>
      <c r="DH6" s="75">
        <f t="shared" ref="DH6:EL6" si="11">DH5*8</f>
        <v>104</v>
      </c>
      <c r="DI6" s="75">
        <f t="shared" si="11"/>
        <v>168</v>
      </c>
      <c r="DJ6" s="75">
        <f t="shared" si="11"/>
        <v>16</v>
      </c>
      <c r="DK6" s="75">
        <f t="shared" si="11"/>
        <v>160</v>
      </c>
      <c r="DL6" s="75">
        <f t="shared" si="11"/>
        <v>144</v>
      </c>
      <c r="DM6" s="75">
        <f t="shared" si="11"/>
        <v>72</v>
      </c>
      <c r="DN6" s="75">
        <f t="shared" si="11"/>
        <v>168</v>
      </c>
      <c r="DO6" s="75">
        <f t="shared" si="11"/>
        <v>120</v>
      </c>
      <c r="DP6" s="75">
        <f t="shared" si="11"/>
        <v>88</v>
      </c>
      <c r="DQ6" s="75">
        <f t="shared" si="11"/>
        <v>160</v>
      </c>
      <c r="DR6" s="75">
        <f t="shared" si="11"/>
        <v>160</v>
      </c>
      <c r="DS6" s="75">
        <f t="shared" si="11"/>
        <v>168</v>
      </c>
      <c r="DT6" s="75">
        <f t="shared" si="11"/>
        <v>160</v>
      </c>
      <c r="DU6" s="75">
        <f t="shared" si="11"/>
        <v>144</v>
      </c>
      <c r="DV6" s="75">
        <f t="shared" si="11"/>
        <v>8</v>
      </c>
      <c r="DW6" s="75">
        <f t="shared" si="11"/>
        <v>24</v>
      </c>
      <c r="DX6" s="75">
        <f t="shared" si="11"/>
        <v>168</v>
      </c>
      <c r="DY6" s="75">
        <f t="shared" si="11"/>
        <v>136</v>
      </c>
      <c r="DZ6" s="75">
        <f t="shared" si="11"/>
        <v>152</v>
      </c>
      <c r="EA6" s="75">
        <f t="shared" si="11"/>
        <v>16</v>
      </c>
      <c r="EB6" s="75">
        <f t="shared" si="11"/>
        <v>168</v>
      </c>
      <c r="EC6" s="75">
        <f t="shared" si="11"/>
        <v>88</v>
      </c>
      <c r="ED6" s="75">
        <f t="shared" si="11"/>
        <v>168</v>
      </c>
      <c r="EE6" s="75">
        <f t="shared" si="11"/>
        <v>120</v>
      </c>
      <c r="EF6" s="75">
        <f t="shared" si="11"/>
        <v>152</v>
      </c>
      <c r="EG6" s="75">
        <f t="shared" si="11"/>
        <v>40</v>
      </c>
      <c r="EH6" s="75">
        <f t="shared" si="11"/>
        <v>104</v>
      </c>
      <c r="EI6" s="75">
        <f t="shared" si="11"/>
        <v>112</v>
      </c>
      <c r="EJ6" s="75">
        <f t="shared" si="11"/>
        <v>160</v>
      </c>
      <c r="EK6" s="75">
        <f t="shared" si="11"/>
        <v>136</v>
      </c>
      <c r="EL6" s="75">
        <f t="shared" si="11"/>
        <v>136</v>
      </c>
      <c r="EM6" s="75">
        <f>EM5*8</f>
        <v>152</v>
      </c>
      <c r="EN6" s="75">
        <f>EN5*8</f>
        <v>64</v>
      </c>
      <c r="EO6" s="75">
        <f t="shared" ref="EO6:EQ6" si="12">EO5*8</f>
        <v>168</v>
      </c>
      <c r="EP6" s="75">
        <f t="shared" si="12"/>
        <v>112</v>
      </c>
      <c r="EQ6" s="75">
        <f t="shared" si="12"/>
        <v>128</v>
      </c>
      <c r="ER6" s="75">
        <f t="shared" ref="ER6" si="13">ER5*8</f>
        <v>88</v>
      </c>
      <c r="ES6" s="75">
        <f t="shared" ref="ES6" si="14">ES5*8</f>
        <v>112</v>
      </c>
      <c r="ET6" s="75">
        <f t="shared" ref="ET6" si="15">ET5*8</f>
        <v>96</v>
      </c>
      <c r="EU6" s="75">
        <f t="shared" ref="EU6" si="16">EU5*8</f>
        <v>160</v>
      </c>
      <c r="EV6" s="75">
        <f t="shared" ref="EV6" si="17">EV5*8</f>
        <v>168</v>
      </c>
      <c r="EW6" s="75">
        <f t="shared" ref="EW6" si="18">EW5*8</f>
        <v>120</v>
      </c>
      <c r="EX6" s="75">
        <f t="shared" ref="EX6" si="19">EX5*8</f>
        <v>160</v>
      </c>
      <c r="EY6" s="75">
        <f t="shared" ref="EY6" si="20">EY5*8</f>
        <v>128</v>
      </c>
      <c r="EZ6" s="75">
        <f t="shared" ref="EZ6" si="21">EZ5*8</f>
        <v>136</v>
      </c>
      <c r="FA6" s="75">
        <f t="shared" ref="FA6" si="22">FA5*8</f>
        <v>0</v>
      </c>
      <c r="FB6" s="75">
        <f t="shared" ref="FB6" si="23">FB5*8</f>
        <v>104</v>
      </c>
      <c r="FC6" s="75">
        <f t="shared" ref="FC6:GL6" si="24">FC5*8</f>
        <v>0</v>
      </c>
      <c r="FD6" s="75">
        <f t="shared" si="24"/>
        <v>48</v>
      </c>
      <c r="FE6" s="75">
        <f t="shared" si="24"/>
        <v>16</v>
      </c>
      <c r="FF6" s="75">
        <f t="shared" si="24"/>
        <v>160</v>
      </c>
      <c r="FG6" s="75">
        <f t="shared" si="24"/>
        <v>16</v>
      </c>
      <c r="FH6" s="75">
        <f t="shared" si="24"/>
        <v>168</v>
      </c>
      <c r="FI6" s="75">
        <f t="shared" si="24"/>
        <v>136</v>
      </c>
      <c r="FJ6" s="75">
        <f t="shared" si="24"/>
        <v>16</v>
      </c>
      <c r="FK6" s="75">
        <f t="shared" si="24"/>
        <v>168</v>
      </c>
      <c r="FL6" s="75">
        <f t="shared" si="24"/>
        <v>16</v>
      </c>
      <c r="FM6" s="75">
        <f t="shared" si="24"/>
        <v>72</v>
      </c>
      <c r="FN6" s="75">
        <f t="shared" si="24"/>
        <v>88</v>
      </c>
      <c r="FO6" s="75">
        <f t="shared" si="24"/>
        <v>160</v>
      </c>
      <c r="FP6" s="75">
        <f t="shared" si="24"/>
        <v>168</v>
      </c>
      <c r="FQ6" s="75">
        <f t="shared" si="24"/>
        <v>168</v>
      </c>
      <c r="FR6" s="75">
        <f t="shared" si="24"/>
        <v>16</v>
      </c>
      <c r="FS6" s="75">
        <f t="shared" si="24"/>
        <v>168</v>
      </c>
      <c r="FT6" s="75">
        <f t="shared" si="24"/>
        <v>168</v>
      </c>
      <c r="FU6" s="75">
        <f t="shared" si="24"/>
        <v>0</v>
      </c>
      <c r="FV6" s="75">
        <f t="shared" si="24"/>
        <v>40</v>
      </c>
      <c r="FW6" s="75">
        <f t="shared" si="24"/>
        <v>8</v>
      </c>
      <c r="FX6" s="75">
        <f t="shared" si="24"/>
        <v>16</v>
      </c>
      <c r="FY6" s="75">
        <f t="shared" si="24"/>
        <v>144</v>
      </c>
      <c r="FZ6" s="75">
        <f t="shared" si="24"/>
        <v>152</v>
      </c>
      <c r="GA6" s="75">
        <f t="shared" si="24"/>
        <v>24</v>
      </c>
      <c r="GB6" s="75">
        <f t="shared" si="24"/>
        <v>144</v>
      </c>
      <c r="GC6" s="75">
        <f t="shared" si="24"/>
        <v>0</v>
      </c>
      <c r="GD6" s="75">
        <f t="shared" si="24"/>
        <v>128</v>
      </c>
      <c r="GE6" s="75">
        <f t="shared" si="24"/>
        <v>136</v>
      </c>
      <c r="GF6" s="75">
        <f t="shared" si="24"/>
        <v>120</v>
      </c>
      <c r="GG6" s="75">
        <f t="shared" si="24"/>
        <v>104</v>
      </c>
      <c r="GH6" s="75">
        <f t="shared" si="24"/>
        <v>160</v>
      </c>
      <c r="GI6" s="75">
        <f t="shared" si="24"/>
        <v>32</v>
      </c>
      <c r="GJ6" s="75">
        <f t="shared" si="24"/>
        <v>168</v>
      </c>
      <c r="GK6" s="75">
        <f t="shared" si="24"/>
        <v>168</v>
      </c>
      <c r="GL6" s="75">
        <f t="shared" si="24"/>
        <v>152</v>
      </c>
      <c r="GM6" s="75">
        <f t="shared" ref="GM6:GR6" si="25">GM5*8</f>
        <v>168</v>
      </c>
      <c r="GN6" s="75">
        <f t="shared" si="25"/>
        <v>152</v>
      </c>
      <c r="GO6" s="75">
        <f t="shared" si="25"/>
        <v>168</v>
      </c>
      <c r="GP6" s="75">
        <f t="shared" si="25"/>
        <v>144</v>
      </c>
      <c r="GQ6" s="75">
        <f t="shared" si="25"/>
        <v>0</v>
      </c>
      <c r="GR6" s="75">
        <f t="shared" si="25"/>
        <v>144</v>
      </c>
    </row>
    <row r="7" spans="1:200" ht="15.6">
      <c r="A7" s="230" t="s">
        <v>245</v>
      </c>
      <c r="B7" s="230"/>
      <c r="C7" s="230"/>
      <c r="D7" s="32" t="str">
        <f>IFERROR(D3/D6,"0")</f>
        <v>0</v>
      </c>
      <c r="E7" s="32">
        <f t="shared" ref="E7:BP7" si="26">IFERROR(E3/E6,"0")</f>
        <v>4.2265625</v>
      </c>
      <c r="F7" s="32">
        <f t="shared" si="26"/>
        <v>1</v>
      </c>
      <c r="G7" s="32">
        <f t="shared" si="26"/>
        <v>0.5</v>
      </c>
      <c r="H7" s="32">
        <f t="shared" si="26"/>
        <v>3.7916666666666665</v>
      </c>
      <c r="I7" s="32">
        <f t="shared" si="26"/>
        <v>4.9605263157894735</v>
      </c>
      <c r="J7" s="32" t="str">
        <f t="shared" si="26"/>
        <v>0</v>
      </c>
      <c r="K7" s="32">
        <f t="shared" si="26"/>
        <v>1.3125</v>
      </c>
      <c r="L7" s="32" t="str">
        <f t="shared" si="26"/>
        <v>0</v>
      </c>
      <c r="M7" s="32">
        <f t="shared" si="26"/>
        <v>0</v>
      </c>
      <c r="N7" s="32">
        <f t="shared" si="26"/>
        <v>5.3214285714285712</v>
      </c>
      <c r="O7" s="32">
        <f t="shared" si="26"/>
        <v>8.4</v>
      </c>
      <c r="P7" s="32">
        <f t="shared" si="26"/>
        <v>0</v>
      </c>
      <c r="Q7" s="32">
        <f t="shared" si="26"/>
        <v>4.1687500000000002</v>
      </c>
      <c r="R7" s="32">
        <f t="shared" si="26"/>
        <v>12.607142857142858</v>
      </c>
      <c r="S7" s="32">
        <f t="shared" si="26"/>
        <v>5.9802631578947372</v>
      </c>
      <c r="T7" s="32">
        <f t="shared" si="26"/>
        <v>17.875</v>
      </c>
      <c r="U7" s="32">
        <f t="shared" si="26"/>
        <v>0.16666666666666666</v>
      </c>
      <c r="V7" s="32">
        <f t="shared" si="26"/>
        <v>4.6875</v>
      </c>
      <c r="W7" s="32">
        <f t="shared" si="26"/>
        <v>0.8125</v>
      </c>
      <c r="X7" s="32">
        <f t="shared" si="26"/>
        <v>0.25</v>
      </c>
      <c r="Y7" s="32">
        <f t="shared" si="26"/>
        <v>2.2619047619047619</v>
      </c>
      <c r="Z7" s="32">
        <f t="shared" si="26"/>
        <v>7.2678571428571432</v>
      </c>
      <c r="AA7" s="32">
        <f t="shared" si="26"/>
        <v>2.5187499999999998</v>
      </c>
      <c r="AB7" s="32">
        <f t="shared" si="26"/>
        <v>3.1062500000000002</v>
      </c>
      <c r="AC7" s="32" t="str">
        <f t="shared" si="26"/>
        <v>0</v>
      </c>
      <c r="AD7" s="32">
        <f t="shared" si="26"/>
        <v>7.2249999999999996</v>
      </c>
      <c r="AE7" s="32">
        <f t="shared" si="26"/>
        <v>1.7083333333333333</v>
      </c>
      <c r="AF7" s="32">
        <f t="shared" si="26"/>
        <v>1.5625</v>
      </c>
      <c r="AG7" s="32">
        <f t="shared" si="26"/>
        <v>5.2171052631578947</v>
      </c>
      <c r="AH7" s="32">
        <f t="shared" si="26"/>
        <v>10.5</v>
      </c>
      <c r="AI7" s="32">
        <f t="shared" si="26"/>
        <v>4.2678571428571432</v>
      </c>
      <c r="AJ7" s="32" t="str">
        <f t="shared" si="26"/>
        <v>0</v>
      </c>
      <c r="AK7" s="32">
        <f t="shared" si="26"/>
        <v>1.825</v>
      </c>
      <c r="AL7" s="32">
        <f t="shared" si="26"/>
        <v>0</v>
      </c>
      <c r="AM7" s="32">
        <f t="shared" si="26"/>
        <v>0</v>
      </c>
      <c r="AN7" s="32">
        <f t="shared" si="26"/>
        <v>1.1842105263157894</v>
      </c>
      <c r="AO7" s="32">
        <f t="shared" si="26"/>
        <v>4.125</v>
      </c>
      <c r="AP7" s="32">
        <f t="shared" si="26"/>
        <v>1.7440476190476191</v>
      </c>
      <c r="AQ7" s="32">
        <f t="shared" si="26"/>
        <v>1.325</v>
      </c>
      <c r="AR7" s="32">
        <f t="shared" si="26"/>
        <v>3.203125</v>
      </c>
      <c r="AS7" s="32" t="str">
        <f t="shared" si="26"/>
        <v>0</v>
      </c>
      <c r="AT7" s="32">
        <f t="shared" si="26"/>
        <v>4.7249999999999996</v>
      </c>
      <c r="AU7" s="32">
        <f t="shared" si="26"/>
        <v>4.2750000000000004</v>
      </c>
      <c r="AV7" s="32">
        <f t="shared" si="26"/>
        <v>2.25</v>
      </c>
      <c r="AW7" s="32">
        <f t="shared" si="26"/>
        <v>4.916666666666667</v>
      </c>
      <c r="AX7" s="32">
        <f t="shared" si="26"/>
        <v>7.2562499999999996</v>
      </c>
      <c r="AY7" s="32">
        <f t="shared" si="26"/>
        <v>1.8125</v>
      </c>
      <c r="AZ7" s="32">
        <f t="shared" si="26"/>
        <v>2.8636363636363638</v>
      </c>
      <c r="BA7" s="32">
        <f t="shared" si="26"/>
        <v>8.1785714285714288</v>
      </c>
      <c r="BB7" s="32">
        <f t="shared" si="26"/>
        <v>5.6437499999999998</v>
      </c>
      <c r="BC7" s="32">
        <f t="shared" si="26"/>
        <v>3.9249999999999998</v>
      </c>
      <c r="BD7" s="32">
        <f t="shared" si="26"/>
        <v>10.85</v>
      </c>
      <c r="BE7" s="32">
        <f t="shared" si="26"/>
        <v>3.6625000000000001</v>
      </c>
      <c r="BF7" s="32">
        <f t="shared" si="26"/>
        <v>0</v>
      </c>
      <c r="BG7" s="32">
        <f t="shared" si="26"/>
        <v>4.2619047619047619</v>
      </c>
      <c r="BH7" s="32">
        <f t="shared" si="26"/>
        <v>1.8392857142857142</v>
      </c>
      <c r="BI7" s="32">
        <f t="shared" si="26"/>
        <v>5.1578947368421053</v>
      </c>
      <c r="BJ7" s="32">
        <f t="shared" si="26"/>
        <v>2.4013157894736841</v>
      </c>
      <c r="BK7" s="32">
        <f t="shared" si="26"/>
        <v>0.5</v>
      </c>
      <c r="BL7" s="32">
        <f t="shared" si="26"/>
        <v>5.9411764705882355</v>
      </c>
      <c r="BM7" s="32">
        <f t="shared" si="26"/>
        <v>1.25</v>
      </c>
      <c r="BN7" s="32">
        <f t="shared" si="26"/>
        <v>4.7307692307692308</v>
      </c>
      <c r="BO7" s="32">
        <f t="shared" si="26"/>
        <v>3.4078947368421053</v>
      </c>
      <c r="BP7" s="32">
        <f t="shared" si="26"/>
        <v>5.21875</v>
      </c>
      <c r="BQ7" s="32">
        <f t="shared" ref="BQ7:EB7" si="27">IFERROR(BQ3/BQ6,"0")</f>
        <v>6.5250000000000004</v>
      </c>
      <c r="BR7" s="32" t="str">
        <f t="shared" si="27"/>
        <v>0</v>
      </c>
      <c r="BS7" s="32">
        <f t="shared" si="27"/>
        <v>3.0357142857142856</v>
      </c>
      <c r="BT7" s="32" t="str">
        <f t="shared" si="27"/>
        <v>0</v>
      </c>
      <c r="BU7" s="32">
        <f t="shared" si="27"/>
        <v>4.8562500000000002</v>
      </c>
      <c r="BV7" s="32">
        <f t="shared" si="27"/>
        <v>2.2374999999999998</v>
      </c>
      <c r="BW7" s="32">
        <f t="shared" si="27"/>
        <v>5.6062500000000002</v>
      </c>
      <c r="BX7" s="32">
        <f t="shared" si="27"/>
        <v>0</v>
      </c>
      <c r="BY7" s="32">
        <f t="shared" si="27"/>
        <v>0.5</v>
      </c>
      <c r="BZ7" s="32">
        <f t="shared" si="27"/>
        <v>3.861842105263158</v>
      </c>
      <c r="CA7" s="32">
        <f t="shared" si="27"/>
        <v>6.2062499999999998</v>
      </c>
      <c r="CB7" s="32">
        <f t="shared" si="27"/>
        <v>6.9097222222222223</v>
      </c>
      <c r="CC7" s="32">
        <f t="shared" si="27"/>
        <v>3.1644736842105261</v>
      </c>
      <c r="CD7" s="32">
        <f t="shared" si="27"/>
        <v>21.3</v>
      </c>
      <c r="CE7" s="32">
        <f t="shared" si="27"/>
        <v>0.16666666666666666</v>
      </c>
      <c r="CF7" s="32">
        <f t="shared" si="27"/>
        <v>1.118421052631579</v>
      </c>
      <c r="CG7" s="32">
        <f t="shared" si="27"/>
        <v>0.3125</v>
      </c>
      <c r="CH7" s="32">
        <f t="shared" si="27"/>
        <v>5.7440476190476186</v>
      </c>
      <c r="CI7" s="32" t="str">
        <f t="shared" si="27"/>
        <v>0</v>
      </c>
      <c r="CJ7" s="32">
        <f t="shared" si="27"/>
        <v>19.613095238095237</v>
      </c>
      <c r="CK7" s="32">
        <f t="shared" si="27"/>
        <v>1.875</v>
      </c>
      <c r="CL7" s="32">
        <f t="shared" si="27"/>
        <v>6.5789473684210523E-3</v>
      </c>
      <c r="CM7" s="32" t="str">
        <f t="shared" si="27"/>
        <v>0</v>
      </c>
      <c r="CN7" s="32">
        <f t="shared" si="27"/>
        <v>5.25</v>
      </c>
      <c r="CO7" s="32">
        <f t="shared" si="27"/>
        <v>0.32500000000000001</v>
      </c>
      <c r="CP7" s="32">
        <f t="shared" si="27"/>
        <v>7.4124999999999996</v>
      </c>
      <c r="CQ7" s="32" t="str">
        <f t="shared" si="27"/>
        <v>0</v>
      </c>
      <c r="CR7" s="32">
        <f t="shared" si="27"/>
        <v>0</v>
      </c>
      <c r="CS7" s="32">
        <f t="shared" si="27"/>
        <v>1.0288461538461537</v>
      </c>
      <c r="CT7" s="32">
        <f t="shared" si="27"/>
        <v>3.9</v>
      </c>
      <c r="CU7" s="32">
        <f t="shared" si="27"/>
        <v>0.22727272727272727</v>
      </c>
      <c r="CV7" s="32">
        <f t="shared" si="27"/>
        <v>2.0357142857142856</v>
      </c>
      <c r="CW7" s="32">
        <f t="shared" si="27"/>
        <v>0.625</v>
      </c>
      <c r="CX7" s="32" t="str">
        <f t="shared" si="27"/>
        <v>0</v>
      </c>
      <c r="CY7" s="32">
        <f t="shared" si="27"/>
        <v>0.68125000000000002</v>
      </c>
      <c r="CZ7" s="32">
        <f t="shared" si="27"/>
        <v>3.9375</v>
      </c>
      <c r="DA7" s="32">
        <f t="shared" si="27"/>
        <v>4.4404761904761907</v>
      </c>
      <c r="DB7" s="32" t="str">
        <f t="shared" si="27"/>
        <v>0</v>
      </c>
      <c r="DC7" s="32">
        <f t="shared" si="27"/>
        <v>0.625</v>
      </c>
      <c r="DD7" s="32">
        <f t="shared" si="27"/>
        <v>3.875</v>
      </c>
      <c r="DE7" s="32">
        <f t="shared" si="27"/>
        <v>0.68333333333333335</v>
      </c>
      <c r="DF7" s="32" t="str">
        <f t="shared" si="27"/>
        <v>0</v>
      </c>
      <c r="DG7" s="32">
        <f t="shared" si="27"/>
        <v>3.3812500000000001</v>
      </c>
      <c r="DH7" s="32">
        <f t="shared" si="27"/>
        <v>2.3653846153846154</v>
      </c>
      <c r="DI7" s="32">
        <f t="shared" si="27"/>
        <v>10.827380952380953</v>
      </c>
      <c r="DJ7" s="32">
        <f t="shared" si="27"/>
        <v>0.875</v>
      </c>
      <c r="DK7" s="32">
        <f t="shared" si="27"/>
        <v>20.931249999999999</v>
      </c>
      <c r="DL7" s="32">
        <f t="shared" si="27"/>
        <v>1.7569444444444444</v>
      </c>
      <c r="DM7" s="32">
        <f t="shared" si="27"/>
        <v>4.2361111111111107</v>
      </c>
      <c r="DN7" s="32">
        <f t="shared" si="27"/>
        <v>8.8095238095238102</v>
      </c>
      <c r="DO7" s="32">
        <f t="shared" si="27"/>
        <v>1.1166666666666667</v>
      </c>
      <c r="DP7" s="32">
        <f t="shared" si="27"/>
        <v>3.6931818181818183</v>
      </c>
      <c r="DQ7" s="32">
        <f t="shared" si="27"/>
        <v>4.3250000000000002</v>
      </c>
      <c r="DR7" s="32">
        <f t="shared" si="27"/>
        <v>7.9312500000000004</v>
      </c>
      <c r="DS7" s="32">
        <f t="shared" si="27"/>
        <v>5.8214285714285712</v>
      </c>
      <c r="DT7" s="32">
        <f t="shared" si="27"/>
        <v>6.6749999999999998</v>
      </c>
      <c r="DU7" s="32">
        <f t="shared" si="27"/>
        <v>2.6736111111111112</v>
      </c>
      <c r="DV7" s="32">
        <f t="shared" si="27"/>
        <v>1.5</v>
      </c>
      <c r="DW7" s="32">
        <f t="shared" si="27"/>
        <v>0.58333333333333337</v>
      </c>
      <c r="DX7" s="32">
        <f t="shared" si="27"/>
        <v>3.5892857142857144</v>
      </c>
      <c r="DY7" s="32">
        <f t="shared" si="27"/>
        <v>5.875</v>
      </c>
      <c r="DZ7" s="32">
        <f t="shared" si="27"/>
        <v>7.7828947368421053</v>
      </c>
      <c r="EA7" s="32">
        <f t="shared" si="27"/>
        <v>0.375</v>
      </c>
      <c r="EB7" s="32">
        <f t="shared" si="27"/>
        <v>4.8273809523809526</v>
      </c>
      <c r="EC7" s="32">
        <f t="shared" ref="EC7:FC7" si="28">IFERROR(EC3/EC6,"0")</f>
        <v>2.5568181818181817</v>
      </c>
      <c r="ED7" s="32">
        <f t="shared" si="28"/>
        <v>9.0178571428571423</v>
      </c>
      <c r="EE7" s="32">
        <f t="shared" si="28"/>
        <v>1.9333333333333333</v>
      </c>
      <c r="EF7" s="32">
        <f t="shared" si="28"/>
        <v>7.1644736842105265</v>
      </c>
      <c r="EG7" s="32">
        <f t="shared" si="28"/>
        <v>1.95</v>
      </c>
      <c r="EH7" s="32">
        <f t="shared" si="28"/>
        <v>1.5096153846153846</v>
      </c>
      <c r="EI7" s="32">
        <f t="shared" si="28"/>
        <v>9.0982142857142865</v>
      </c>
      <c r="EJ7" s="32">
        <f t="shared" si="28"/>
        <v>4.03125</v>
      </c>
      <c r="EK7" s="32">
        <f t="shared" si="28"/>
        <v>5.3529411764705879</v>
      </c>
      <c r="EL7" s="32">
        <f t="shared" si="28"/>
        <v>5.6397058823529411</v>
      </c>
      <c r="EM7" s="32">
        <f t="shared" si="28"/>
        <v>4.5657894736842106</v>
      </c>
      <c r="EN7" s="32">
        <f t="shared" si="28"/>
        <v>5.390625</v>
      </c>
      <c r="EO7" s="32">
        <f t="shared" si="28"/>
        <v>4.3392857142857144</v>
      </c>
      <c r="EP7" s="32">
        <f t="shared" si="28"/>
        <v>3.3214285714285716</v>
      </c>
      <c r="EQ7" s="32">
        <f t="shared" si="28"/>
        <v>1.84375</v>
      </c>
      <c r="ER7" s="32">
        <f t="shared" si="28"/>
        <v>4.4204545454545459</v>
      </c>
      <c r="ES7" s="32">
        <f t="shared" si="28"/>
        <v>2.1071428571428572</v>
      </c>
      <c r="ET7" s="32">
        <f t="shared" si="28"/>
        <v>4.364583333333333</v>
      </c>
      <c r="EU7" s="32">
        <f t="shared" si="28"/>
        <v>8.5124999999999993</v>
      </c>
      <c r="EV7" s="32">
        <f t="shared" si="28"/>
        <v>8.1190476190476186</v>
      </c>
      <c r="EW7" s="32">
        <f t="shared" si="28"/>
        <v>3.3083333333333331</v>
      </c>
      <c r="EX7" s="32">
        <f t="shared" si="28"/>
        <v>3.3125</v>
      </c>
      <c r="EY7" s="32">
        <f t="shared" si="28"/>
        <v>3.96875</v>
      </c>
      <c r="EZ7" s="32">
        <f t="shared" si="28"/>
        <v>1.8676470588235294</v>
      </c>
      <c r="FA7" s="32" t="str">
        <f t="shared" si="28"/>
        <v>0</v>
      </c>
      <c r="FB7" s="32">
        <f t="shared" si="28"/>
        <v>3.5576923076923075</v>
      </c>
      <c r="FC7" s="32" t="str">
        <f t="shared" si="28"/>
        <v>0</v>
      </c>
      <c r="FD7" s="32">
        <f t="shared" ref="FD7:GL7" si="29">IFERROR(FD3/FD6,"0")</f>
        <v>2.0416666666666665</v>
      </c>
      <c r="FE7" s="32">
        <f t="shared" si="29"/>
        <v>0</v>
      </c>
      <c r="FF7" s="32">
        <f t="shared" si="29"/>
        <v>1.075</v>
      </c>
      <c r="FG7" s="32">
        <f t="shared" si="29"/>
        <v>0.8125</v>
      </c>
      <c r="FH7" s="32">
        <f t="shared" si="29"/>
        <v>24.761904761904763</v>
      </c>
      <c r="FI7" s="32">
        <f t="shared" si="29"/>
        <v>3.3676470588235294</v>
      </c>
      <c r="FJ7" s="32">
        <f t="shared" si="29"/>
        <v>1.625</v>
      </c>
      <c r="FK7" s="32">
        <f t="shared" si="29"/>
        <v>3.9821428571428572</v>
      </c>
      <c r="FL7" s="32">
        <f t="shared" si="29"/>
        <v>0.5625</v>
      </c>
      <c r="FM7" s="32">
        <f t="shared" si="29"/>
        <v>2.1666666666666665</v>
      </c>
      <c r="FN7" s="32">
        <f t="shared" si="29"/>
        <v>5</v>
      </c>
      <c r="FO7" s="32">
        <f t="shared" si="29"/>
        <v>5.2874999999999996</v>
      </c>
      <c r="FP7" s="32">
        <f t="shared" si="29"/>
        <v>5.25</v>
      </c>
      <c r="FQ7" s="32">
        <f t="shared" si="29"/>
        <v>9.7380952380952372</v>
      </c>
      <c r="FR7" s="32">
        <f t="shared" si="29"/>
        <v>0</v>
      </c>
      <c r="FS7" s="32">
        <f t="shared" si="29"/>
        <v>7.4226190476190474</v>
      </c>
      <c r="FT7" s="32">
        <f t="shared" si="29"/>
        <v>4.6726190476190474</v>
      </c>
      <c r="FU7" s="32" t="str">
        <f t="shared" si="29"/>
        <v>0</v>
      </c>
      <c r="FV7" s="32">
        <f t="shared" si="29"/>
        <v>1.7749999999999999</v>
      </c>
      <c r="FW7" s="32">
        <f t="shared" si="29"/>
        <v>0.625</v>
      </c>
      <c r="FX7" s="32">
        <f t="shared" si="29"/>
        <v>1.8125</v>
      </c>
      <c r="FY7" s="32">
        <f t="shared" si="29"/>
        <v>0</v>
      </c>
      <c r="FZ7" s="32">
        <f t="shared" si="29"/>
        <v>5.2894736842105265</v>
      </c>
      <c r="GA7" s="32">
        <f t="shared" si="29"/>
        <v>1.3333333333333333</v>
      </c>
      <c r="GB7" s="32">
        <f t="shared" si="29"/>
        <v>3.4722222222222224E-2</v>
      </c>
      <c r="GC7" s="32" t="str">
        <f t="shared" si="29"/>
        <v>0</v>
      </c>
      <c r="GD7" s="32">
        <f t="shared" si="29"/>
        <v>4.5</v>
      </c>
      <c r="GE7" s="32">
        <f t="shared" si="29"/>
        <v>9.0220588235294112</v>
      </c>
      <c r="GF7" s="32">
        <f t="shared" si="29"/>
        <v>5.3916666666666666</v>
      </c>
      <c r="GG7" s="32">
        <f t="shared" si="29"/>
        <v>8.1442307692307701</v>
      </c>
      <c r="GH7" s="32">
        <f t="shared" si="29"/>
        <v>1.53125</v>
      </c>
      <c r="GI7" s="32">
        <f t="shared" si="29"/>
        <v>2.65625</v>
      </c>
      <c r="GJ7" s="32">
        <f t="shared" si="29"/>
        <v>8.2738095238095237</v>
      </c>
      <c r="GK7" s="32">
        <f t="shared" si="29"/>
        <v>6.4345238095238093</v>
      </c>
      <c r="GL7" s="32">
        <f t="shared" si="29"/>
        <v>4.7565789473684212</v>
      </c>
      <c r="GM7" s="32">
        <f t="shared" ref="GM7:GR7" si="30">IFERROR(GM3/GM6,"0")</f>
        <v>13.19047619047619</v>
      </c>
      <c r="GN7" s="32">
        <f t="shared" si="30"/>
        <v>0.55921052631578949</v>
      </c>
      <c r="GO7" s="32">
        <f t="shared" si="30"/>
        <v>5.7321428571428568</v>
      </c>
      <c r="GP7" s="32">
        <f t="shared" si="30"/>
        <v>0</v>
      </c>
      <c r="GQ7" s="32" t="str">
        <f t="shared" si="30"/>
        <v>0</v>
      </c>
      <c r="GR7" s="32">
        <f t="shared" si="30"/>
        <v>4.0902777777777777</v>
      </c>
    </row>
    <row r="8" spans="1:200" ht="19.149999999999999">
      <c r="A8" s="7" t="s">
        <v>246</v>
      </c>
      <c r="B8" s="7" t="s">
        <v>247</v>
      </c>
      <c r="C8" s="76"/>
      <c r="D8" s="8">
        <f t="shared" ref="D8:BO8" si="31">$B$4*8*13</f>
        <v>2184</v>
      </c>
      <c r="E8" s="8">
        <f t="shared" si="31"/>
        <v>2184</v>
      </c>
      <c r="F8" s="8">
        <f t="shared" si="31"/>
        <v>2184</v>
      </c>
      <c r="G8" s="8">
        <f t="shared" si="31"/>
        <v>2184</v>
      </c>
      <c r="H8" s="8">
        <f t="shared" si="31"/>
        <v>2184</v>
      </c>
      <c r="I8" s="8">
        <f t="shared" si="31"/>
        <v>2184</v>
      </c>
      <c r="J8" s="8">
        <f t="shared" si="31"/>
        <v>2184</v>
      </c>
      <c r="K8" s="8">
        <f t="shared" si="31"/>
        <v>2184</v>
      </c>
      <c r="L8" s="8">
        <f t="shared" si="31"/>
        <v>2184</v>
      </c>
      <c r="M8" s="8">
        <f t="shared" si="31"/>
        <v>2184</v>
      </c>
      <c r="N8" s="8">
        <f t="shared" si="31"/>
        <v>2184</v>
      </c>
      <c r="O8" s="8">
        <f t="shared" si="31"/>
        <v>2184</v>
      </c>
      <c r="P8" s="8">
        <f t="shared" si="31"/>
        <v>2184</v>
      </c>
      <c r="Q8" s="8">
        <f t="shared" si="31"/>
        <v>2184</v>
      </c>
      <c r="R8" s="8">
        <f t="shared" si="31"/>
        <v>2184</v>
      </c>
      <c r="S8" s="8">
        <f t="shared" si="31"/>
        <v>2184</v>
      </c>
      <c r="T8" s="8">
        <f t="shared" si="31"/>
        <v>2184</v>
      </c>
      <c r="U8" s="8">
        <f t="shared" si="31"/>
        <v>2184</v>
      </c>
      <c r="V8" s="8">
        <f t="shared" si="31"/>
        <v>2184</v>
      </c>
      <c r="W8" s="8">
        <f t="shared" si="31"/>
        <v>2184</v>
      </c>
      <c r="X8" s="8">
        <f t="shared" si="31"/>
        <v>2184</v>
      </c>
      <c r="Y8" s="8">
        <f t="shared" si="31"/>
        <v>2184</v>
      </c>
      <c r="Z8" s="8">
        <f t="shared" si="31"/>
        <v>2184</v>
      </c>
      <c r="AA8" s="8">
        <f t="shared" si="31"/>
        <v>2184</v>
      </c>
      <c r="AB8" s="8">
        <f t="shared" si="31"/>
        <v>2184</v>
      </c>
      <c r="AC8" s="8">
        <f t="shared" si="31"/>
        <v>2184</v>
      </c>
      <c r="AD8" s="8">
        <f t="shared" si="31"/>
        <v>2184</v>
      </c>
      <c r="AE8" s="8">
        <f t="shared" si="31"/>
        <v>2184</v>
      </c>
      <c r="AF8" s="8">
        <f t="shared" si="31"/>
        <v>2184</v>
      </c>
      <c r="AG8" s="8">
        <f t="shared" si="31"/>
        <v>2184</v>
      </c>
      <c r="AH8" s="8">
        <f t="shared" si="31"/>
        <v>2184</v>
      </c>
      <c r="AI8" s="8">
        <f t="shared" si="31"/>
        <v>2184</v>
      </c>
      <c r="AJ8" s="8">
        <f t="shared" si="31"/>
        <v>2184</v>
      </c>
      <c r="AK8" s="8">
        <f t="shared" si="31"/>
        <v>2184</v>
      </c>
      <c r="AL8" s="8">
        <f t="shared" si="31"/>
        <v>2184</v>
      </c>
      <c r="AM8" s="8">
        <f t="shared" si="31"/>
        <v>2184</v>
      </c>
      <c r="AN8" s="8">
        <f t="shared" si="31"/>
        <v>2184</v>
      </c>
      <c r="AO8" s="8">
        <f t="shared" si="31"/>
        <v>2184</v>
      </c>
      <c r="AP8" s="8">
        <f t="shared" si="31"/>
        <v>2184</v>
      </c>
      <c r="AQ8" s="8">
        <f t="shared" si="31"/>
        <v>2184</v>
      </c>
      <c r="AR8" s="8">
        <f t="shared" si="31"/>
        <v>2184</v>
      </c>
      <c r="AS8" s="8">
        <f t="shared" si="31"/>
        <v>2184</v>
      </c>
      <c r="AT8" s="8">
        <f t="shared" si="31"/>
        <v>2184</v>
      </c>
      <c r="AU8" s="8">
        <f t="shared" si="31"/>
        <v>2184</v>
      </c>
      <c r="AV8" s="8">
        <f t="shared" si="31"/>
        <v>2184</v>
      </c>
      <c r="AW8" s="8">
        <f t="shared" si="31"/>
        <v>2184</v>
      </c>
      <c r="AX8" s="8">
        <f t="shared" si="31"/>
        <v>2184</v>
      </c>
      <c r="AY8" s="8">
        <f t="shared" si="31"/>
        <v>2184</v>
      </c>
      <c r="AZ8" s="8">
        <f t="shared" si="31"/>
        <v>2184</v>
      </c>
      <c r="BA8" s="8">
        <f t="shared" si="31"/>
        <v>2184</v>
      </c>
      <c r="BB8" s="8">
        <f t="shared" si="31"/>
        <v>2184</v>
      </c>
      <c r="BC8" s="8">
        <f t="shared" si="31"/>
        <v>2184</v>
      </c>
      <c r="BD8" s="8">
        <f t="shared" si="31"/>
        <v>2184</v>
      </c>
      <c r="BE8" s="8">
        <f t="shared" si="31"/>
        <v>2184</v>
      </c>
      <c r="BF8" s="8">
        <f t="shared" si="31"/>
        <v>2184</v>
      </c>
      <c r="BG8" s="8">
        <f t="shared" si="31"/>
        <v>2184</v>
      </c>
      <c r="BH8" s="8">
        <f t="shared" si="31"/>
        <v>2184</v>
      </c>
      <c r="BI8" s="8">
        <f t="shared" si="31"/>
        <v>2184</v>
      </c>
      <c r="BJ8" s="8">
        <f t="shared" si="31"/>
        <v>2184</v>
      </c>
      <c r="BK8" s="8">
        <f t="shared" si="31"/>
        <v>2184</v>
      </c>
      <c r="BL8" s="8">
        <f t="shared" si="31"/>
        <v>2184</v>
      </c>
      <c r="BM8" s="8">
        <f t="shared" si="31"/>
        <v>2184</v>
      </c>
      <c r="BN8" s="8">
        <f t="shared" si="31"/>
        <v>2184</v>
      </c>
      <c r="BO8" s="8">
        <f t="shared" si="31"/>
        <v>2184</v>
      </c>
      <c r="BP8" s="8">
        <f t="shared" ref="BP8:EA8" si="32">$B$4*8*13</f>
        <v>2184</v>
      </c>
      <c r="BQ8" s="8">
        <f t="shared" si="32"/>
        <v>2184</v>
      </c>
      <c r="BR8" s="8">
        <f t="shared" si="32"/>
        <v>2184</v>
      </c>
      <c r="BS8" s="8">
        <f t="shared" si="32"/>
        <v>2184</v>
      </c>
      <c r="BT8" s="8">
        <f t="shared" si="32"/>
        <v>2184</v>
      </c>
      <c r="BU8" s="8">
        <f t="shared" si="32"/>
        <v>2184</v>
      </c>
      <c r="BV8" s="8">
        <f t="shared" si="32"/>
        <v>2184</v>
      </c>
      <c r="BW8" s="8">
        <f t="shared" si="32"/>
        <v>2184</v>
      </c>
      <c r="BX8" s="8">
        <f t="shared" si="32"/>
        <v>2184</v>
      </c>
      <c r="BY8" s="8">
        <f t="shared" si="32"/>
        <v>2184</v>
      </c>
      <c r="BZ8" s="8">
        <f t="shared" si="32"/>
        <v>2184</v>
      </c>
      <c r="CA8" s="8">
        <f t="shared" si="32"/>
        <v>2184</v>
      </c>
      <c r="CB8" s="8">
        <f t="shared" si="32"/>
        <v>2184</v>
      </c>
      <c r="CC8" s="8">
        <f t="shared" si="32"/>
        <v>2184</v>
      </c>
      <c r="CD8" s="8">
        <f t="shared" si="32"/>
        <v>2184</v>
      </c>
      <c r="CE8" s="8">
        <f t="shared" si="32"/>
        <v>2184</v>
      </c>
      <c r="CF8" s="8">
        <f t="shared" si="32"/>
        <v>2184</v>
      </c>
      <c r="CG8" s="8">
        <f t="shared" si="32"/>
        <v>2184</v>
      </c>
      <c r="CH8" s="8">
        <f t="shared" si="32"/>
        <v>2184</v>
      </c>
      <c r="CI8" s="8">
        <f t="shared" si="32"/>
        <v>2184</v>
      </c>
      <c r="CJ8" s="8">
        <f t="shared" si="32"/>
        <v>2184</v>
      </c>
      <c r="CK8" s="8">
        <f t="shared" si="32"/>
        <v>2184</v>
      </c>
      <c r="CL8" s="8">
        <f t="shared" si="32"/>
        <v>2184</v>
      </c>
      <c r="CM8" s="8">
        <f t="shared" si="32"/>
        <v>2184</v>
      </c>
      <c r="CN8" s="8">
        <f t="shared" si="32"/>
        <v>2184</v>
      </c>
      <c r="CO8" s="8">
        <f t="shared" si="32"/>
        <v>2184</v>
      </c>
      <c r="CP8" s="8">
        <f t="shared" si="32"/>
        <v>2184</v>
      </c>
      <c r="CQ8" s="8">
        <f t="shared" si="32"/>
        <v>2184</v>
      </c>
      <c r="CR8" s="8">
        <f t="shared" si="32"/>
        <v>2184</v>
      </c>
      <c r="CS8" s="8">
        <f t="shared" si="32"/>
        <v>2184</v>
      </c>
      <c r="CT8" s="8">
        <f t="shared" si="32"/>
        <v>2184</v>
      </c>
      <c r="CU8" s="8">
        <f t="shared" si="32"/>
        <v>2184</v>
      </c>
      <c r="CV8" s="8">
        <f t="shared" si="32"/>
        <v>2184</v>
      </c>
      <c r="CW8" s="8">
        <f t="shared" si="32"/>
        <v>2184</v>
      </c>
      <c r="CX8" s="8">
        <f t="shared" si="32"/>
        <v>2184</v>
      </c>
      <c r="CY8" s="8">
        <f t="shared" si="32"/>
        <v>2184</v>
      </c>
      <c r="CZ8" s="8">
        <f t="shared" si="32"/>
        <v>2184</v>
      </c>
      <c r="DA8" s="8">
        <f t="shared" si="32"/>
        <v>2184</v>
      </c>
      <c r="DB8" s="8">
        <f t="shared" si="32"/>
        <v>2184</v>
      </c>
      <c r="DC8" s="8">
        <f t="shared" si="32"/>
        <v>2184</v>
      </c>
      <c r="DD8" s="8">
        <f t="shared" si="32"/>
        <v>2184</v>
      </c>
      <c r="DE8" s="8">
        <f t="shared" si="32"/>
        <v>2184</v>
      </c>
      <c r="DF8" s="8">
        <f t="shared" si="32"/>
        <v>2184</v>
      </c>
      <c r="DG8" s="8">
        <f t="shared" si="32"/>
        <v>2184</v>
      </c>
      <c r="DH8" s="8">
        <f t="shared" si="32"/>
        <v>2184</v>
      </c>
      <c r="DI8" s="8">
        <f t="shared" si="32"/>
        <v>2184</v>
      </c>
      <c r="DJ8" s="8">
        <f t="shared" si="32"/>
        <v>2184</v>
      </c>
      <c r="DK8" s="8">
        <f t="shared" si="32"/>
        <v>2184</v>
      </c>
      <c r="DL8" s="8">
        <f t="shared" si="32"/>
        <v>2184</v>
      </c>
      <c r="DM8" s="8">
        <f t="shared" si="32"/>
        <v>2184</v>
      </c>
      <c r="DN8" s="8">
        <f t="shared" si="32"/>
        <v>2184</v>
      </c>
      <c r="DO8" s="8">
        <f t="shared" si="32"/>
        <v>2184</v>
      </c>
      <c r="DP8" s="8">
        <f t="shared" si="32"/>
        <v>2184</v>
      </c>
      <c r="DQ8" s="8">
        <f t="shared" si="32"/>
        <v>2184</v>
      </c>
      <c r="DR8" s="8">
        <f t="shared" si="32"/>
        <v>2184</v>
      </c>
      <c r="DS8" s="8">
        <f t="shared" si="32"/>
        <v>2184</v>
      </c>
      <c r="DT8" s="8">
        <f t="shared" si="32"/>
        <v>2184</v>
      </c>
      <c r="DU8" s="8">
        <f t="shared" si="32"/>
        <v>2184</v>
      </c>
      <c r="DV8" s="8">
        <f t="shared" si="32"/>
        <v>2184</v>
      </c>
      <c r="DW8" s="8">
        <f t="shared" si="32"/>
        <v>2184</v>
      </c>
      <c r="DX8" s="8">
        <f t="shared" si="32"/>
        <v>2184</v>
      </c>
      <c r="DY8" s="8">
        <f t="shared" si="32"/>
        <v>2184</v>
      </c>
      <c r="DZ8" s="8">
        <f t="shared" si="32"/>
        <v>2184</v>
      </c>
      <c r="EA8" s="8">
        <f t="shared" si="32"/>
        <v>2184</v>
      </c>
      <c r="EB8" s="8">
        <f t="shared" ref="EB8:GN8" si="33">$B$4*8*13</f>
        <v>2184</v>
      </c>
      <c r="EC8" s="8">
        <f t="shared" si="33"/>
        <v>2184</v>
      </c>
      <c r="ED8" s="8">
        <f t="shared" si="33"/>
        <v>2184</v>
      </c>
      <c r="EE8" s="8">
        <f t="shared" si="33"/>
        <v>2184</v>
      </c>
      <c r="EF8" s="8">
        <f t="shared" si="33"/>
        <v>2184</v>
      </c>
      <c r="EG8" s="8">
        <f t="shared" si="33"/>
        <v>2184</v>
      </c>
      <c r="EH8" s="8">
        <f t="shared" si="33"/>
        <v>2184</v>
      </c>
      <c r="EI8" s="8">
        <f t="shared" si="33"/>
        <v>2184</v>
      </c>
      <c r="EJ8" s="8">
        <f t="shared" si="33"/>
        <v>2184</v>
      </c>
      <c r="EK8" s="8">
        <f t="shared" si="33"/>
        <v>2184</v>
      </c>
      <c r="EL8" s="8">
        <f t="shared" si="33"/>
        <v>2184</v>
      </c>
      <c r="EM8" s="8">
        <f t="shared" si="33"/>
        <v>2184</v>
      </c>
      <c r="EN8" s="8">
        <f t="shared" si="33"/>
        <v>2184</v>
      </c>
      <c r="EO8" s="8">
        <f t="shared" si="33"/>
        <v>2184</v>
      </c>
      <c r="EP8" s="8">
        <f t="shared" si="33"/>
        <v>2184</v>
      </c>
      <c r="EQ8" s="8">
        <f t="shared" si="33"/>
        <v>2184</v>
      </c>
      <c r="ER8" s="8">
        <f t="shared" si="33"/>
        <v>2184</v>
      </c>
      <c r="ES8" s="8">
        <f t="shared" si="33"/>
        <v>2184</v>
      </c>
      <c r="ET8" s="8">
        <f t="shared" si="33"/>
        <v>2184</v>
      </c>
      <c r="EU8" s="8">
        <f t="shared" si="33"/>
        <v>2184</v>
      </c>
      <c r="EV8" s="8">
        <f t="shared" si="33"/>
        <v>2184</v>
      </c>
      <c r="EW8" s="8">
        <f t="shared" si="33"/>
        <v>2184</v>
      </c>
      <c r="EX8" s="8">
        <f t="shared" si="33"/>
        <v>2184</v>
      </c>
      <c r="EY8" s="8">
        <f t="shared" si="33"/>
        <v>2184</v>
      </c>
      <c r="EZ8" s="8">
        <f t="shared" si="33"/>
        <v>2184</v>
      </c>
      <c r="FA8" s="8">
        <f t="shared" si="33"/>
        <v>2184</v>
      </c>
      <c r="FB8" s="8">
        <f t="shared" si="33"/>
        <v>2184</v>
      </c>
      <c r="FC8" s="8">
        <f t="shared" si="33"/>
        <v>2184</v>
      </c>
      <c r="FD8" s="8">
        <f t="shared" si="33"/>
        <v>2184</v>
      </c>
      <c r="FE8" s="8">
        <f t="shared" si="33"/>
        <v>2184</v>
      </c>
      <c r="FF8" s="8">
        <f t="shared" si="33"/>
        <v>2184</v>
      </c>
      <c r="FG8" s="8">
        <f t="shared" si="33"/>
        <v>2184</v>
      </c>
      <c r="FH8" s="8">
        <f t="shared" si="33"/>
        <v>2184</v>
      </c>
      <c r="FI8" s="8">
        <f t="shared" si="33"/>
        <v>2184</v>
      </c>
      <c r="FJ8" s="8">
        <f t="shared" si="33"/>
        <v>2184</v>
      </c>
      <c r="FK8" s="8">
        <f t="shared" si="33"/>
        <v>2184</v>
      </c>
      <c r="FL8" s="8">
        <f t="shared" si="33"/>
        <v>2184</v>
      </c>
      <c r="FM8" s="8">
        <f t="shared" si="33"/>
        <v>2184</v>
      </c>
      <c r="FN8" s="8">
        <f t="shared" si="33"/>
        <v>2184</v>
      </c>
      <c r="FO8" s="8">
        <f t="shared" si="33"/>
        <v>2184</v>
      </c>
      <c r="FP8" s="8">
        <f t="shared" si="33"/>
        <v>2184</v>
      </c>
      <c r="FQ8" s="8">
        <f t="shared" si="33"/>
        <v>2184</v>
      </c>
      <c r="FR8" s="8">
        <f t="shared" si="33"/>
        <v>2184</v>
      </c>
      <c r="FS8" s="8">
        <f t="shared" si="33"/>
        <v>2184</v>
      </c>
      <c r="FT8" s="8">
        <f t="shared" si="33"/>
        <v>2184</v>
      </c>
      <c r="FU8" s="8">
        <f t="shared" si="33"/>
        <v>2184</v>
      </c>
      <c r="FV8" s="8">
        <f t="shared" si="33"/>
        <v>2184</v>
      </c>
      <c r="FW8" s="8">
        <f t="shared" si="33"/>
        <v>2184</v>
      </c>
      <c r="FX8" s="8">
        <f t="shared" si="33"/>
        <v>2184</v>
      </c>
      <c r="FY8" s="8">
        <f t="shared" si="33"/>
        <v>2184</v>
      </c>
      <c r="FZ8" s="8">
        <f t="shared" si="33"/>
        <v>2184</v>
      </c>
      <c r="GA8" s="8">
        <f t="shared" si="33"/>
        <v>2184</v>
      </c>
      <c r="GB8" s="8">
        <f t="shared" si="33"/>
        <v>2184</v>
      </c>
      <c r="GC8" s="8">
        <f t="shared" si="33"/>
        <v>2184</v>
      </c>
      <c r="GD8" s="8">
        <f t="shared" si="33"/>
        <v>2184</v>
      </c>
      <c r="GE8" s="8">
        <f t="shared" si="33"/>
        <v>2184</v>
      </c>
      <c r="GF8" s="8">
        <f t="shared" si="33"/>
        <v>2184</v>
      </c>
      <c r="GG8" s="8">
        <f t="shared" si="33"/>
        <v>2184</v>
      </c>
      <c r="GH8" s="8">
        <f t="shared" si="33"/>
        <v>2184</v>
      </c>
      <c r="GI8" s="8">
        <f t="shared" si="33"/>
        <v>2184</v>
      </c>
      <c r="GJ8" s="8">
        <f t="shared" si="33"/>
        <v>2184</v>
      </c>
      <c r="GK8" s="8">
        <f t="shared" si="33"/>
        <v>2184</v>
      </c>
      <c r="GL8" s="8">
        <f t="shared" si="33"/>
        <v>2184</v>
      </c>
      <c r="GM8" s="8">
        <f t="shared" si="33"/>
        <v>2184</v>
      </c>
      <c r="GN8" s="8">
        <f t="shared" si="33"/>
        <v>2184</v>
      </c>
      <c r="GO8" s="8">
        <f t="shared" ref="GO8:GR8" si="34">$B$4*8*13</f>
        <v>2184</v>
      </c>
      <c r="GP8" s="8">
        <f t="shared" si="34"/>
        <v>2184</v>
      </c>
      <c r="GQ8" s="8">
        <f t="shared" si="34"/>
        <v>2184</v>
      </c>
      <c r="GR8" s="8">
        <f t="shared" si="34"/>
        <v>2184</v>
      </c>
    </row>
    <row r="9" spans="1:200" ht="19.149999999999999">
      <c r="A9" s="223" t="s">
        <v>248</v>
      </c>
      <c r="B9" s="223"/>
      <c r="C9" s="70"/>
      <c r="D9" s="9">
        <f t="shared" ref="D9" si="35">D3-D8</f>
        <v>-2184</v>
      </c>
      <c r="E9" s="9">
        <f t="shared" ref="E9:BP9" si="36">E3-E8</f>
        <v>-1643</v>
      </c>
      <c r="F9" s="9">
        <f t="shared" si="36"/>
        <v>-2168</v>
      </c>
      <c r="G9" s="9">
        <f t="shared" si="36"/>
        <v>-2168</v>
      </c>
      <c r="H9" s="9">
        <f t="shared" si="36"/>
        <v>-1547</v>
      </c>
      <c r="I9" s="9">
        <f t="shared" si="36"/>
        <v>-1430</v>
      </c>
      <c r="J9" s="9">
        <f t="shared" si="36"/>
        <v>-2184</v>
      </c>
      <c r="K9" s="9">
        <f t="shared" si="36"/>
        <v>-2163</v>
      </c>
      <c r="L9" s="9">
        <f t="shared" si="36"/>
        <v>-2184</v>
      </c>
      <c r="M9" s="9">
        <f t="shared" si="36"/>
        <v>-2184</v>
      </c>
      <c r="N9" s="9">
        <f t="shared" si="36"/>
        <v>-1290</v>
      </c>
      <c r="O9" s="9">
        <f t="shared" si="36"/>
        <v>-1512</v>
      </c>
      <c r="P9" s="9">
        <f t="shared" si="36"/>
        <v>-2184</v>
      </c>
      <c r="Q9" s="9">
        <f t="shared" si="36"/>
        <v>-1517</v>
      </c>
      <c r="R9" s="9">
        <f t="shared" si="36"/>
        <v>-66</v>
      </c>
      <c r="S9" s="9">
        <f t="shared" si="36"/>
        <v>-1275</v>
      </c>
      <c r="T9" s="9">
        <f t="shared" si="36"/>
        <v>819</v>
      </c>
      <c r="U9" s="9">
        <f t="shared" si="36"/>
        <v>-2164</v>
      </c>
      <c r="V9" s="9">
        <f t="shared" si="36"/>
        <v>-1884</v>
      </c>
      <c r="W9" s="9">
        <f t="shared" si="36"/>
        <v>-2145</v>
      </c>
      <c r="X9" s="9">
        <f t="shared" si="36"/>
        <v>-2182</v>
      </c>
      <c r="Y9" s="9">
        <f t="shared" si="36"/>
        <v>-1804</v>
      </c>
      <c r="Z9" s="9">
        <f t="shared" si="36"/>
        <v>-1370</v>
      </c>
      <c r="AA9" s="9">
        <f t="shared" si="36"/>
        <v>-1781</v>
      </c>
      <c r="AB9" s="9">
        <f t="shared" si="36"/>
        <v>-1687</v>
      </c>
      <c r="AC9" s="9">
        <f t="shared" si="36"/>
        <v>-2184</v>
      </c>
      <c r="AD9" s="9">
        <f t="shared" si="36"/>
        <v>-1028</v>
      </c>
      <c r="AE9" s="9">
        <f t="shared" si="36"/>
        <v>-2061</v>
      </c>
      <c r="AF9" s="9">
        <f t="shared" si="36"/>
        <v>-2159</v>
      </c>
      <c r="AG9" s="9">
        <f t="shared" si="36"/>
        <v>-1391</v>
      </c>
      <c r="AH9" s="9">
        <f t="shared" si="36"/>
        <v>-1932</v>
      </c>
      <c r="AI9" s="9">
        <f t="shared" si="36"/>
        <v>-1945</v>
      </c>
      <c r="AJ9" s="9">
        <f t="shared" si="36"/>
        <v>-2184</v>
      </c>
      <c r="AK9" s="9">
        <f t="shared" si="36"/>
        <v>-2038</v>
      </c>
      <c r="AL9" s="9">
        <f t="shared" si="36"/>
        <v>-2184</v>
      </c>
      <c r="AM9" s="9">
        <f t="shared" si="36"/>
        <v>-2184</v>
      </c>
      <c r="AN9" s="9">
        <f t="shared" si="36"/>
        <v>-2004</v>
      </c>
      <c r="AO9" s="9">
        <f t="shared" si="36"/>
        <v>-2151</v>
      </c>
      <c r="AP9" s="9">
        <f t="shared" si="36"/>
        <v>-1891</v>
      </c>
      <c r="AQ9" s="9">
        <f t="shared" si="36"/>
        <v>-2078</v>
      </c>
      <c r="AR9" s="9">
        <f t="shared" si="36"/>
        <v>-1774</v>
      </c>
      <c r="AS9" s="9">
        <f t="shared" si="36"/>
        <v>-2184</v>
      </c>
      <c r="AT9" s="9">
        <f t="shared" si="36"/>
        <v>-1617</v>
      </c>
      <c r="AU9" s="9">
        <f t="shared" si="36"/>
        <v>-2013</v>
      </c>
      <c r="AV9" s="9">
        <f t="shared" si="36"/>
        <v>-2112</v>
      </c>
      <c r="AW9" s="9">
        <f t="shared" si="36"/>
        <v>-1358</v>
      </c>
      <c r="AX9" s="9">
        <f t="shared" si="36"/>
        <v>-1023</v>
      </c>
      <c r="AY9" s="9">
        <f t="shared" si="36"/>
        <v>-2126</v>
      </c>
      <c r="AZ9" s="9">
        <f t="shared" si="36"/>
        <v>-1932</v>
      </c>
      <c r="BA9" s="9">
        <f t="shared" si="36"/>
        <v>-810</v>
      </c>
      <c r="BB9" s="9">
        <f t="shared" si="36"/>
        <v>-1281</v>
      </c>
      <c r="BC9" s="9">
        <f t="shared" si="36"/>
        <v>-1870</v>
      </c>
      <c r="BD9" s="9">
        <f t="shared" si="36"/>
        <v>-448</v>
      </c>
      <c r="BE9" s="9">
        <f t="shared" si="36"/>
        <v>-1598</v>
      </c>
      <c r="BF9" s="9">
        <f t="shared" si="36"/>
        <v>-2184</v>
      </c>
      <c r="BG9" s="9">
        <f t="shared" si="36"/>
        <v>-1468</v>
      </c>
      <c r="BH9" s="9">
        <f t="shared" si="36"/>
        <v>-2081</v>
      </c>
      <c r="BI9" s="9">
        <f t="shared" si="36"/>
        <v>-1400</v>
      </c>
      <c r="BJ9" s="9">
        <f t="shared" si="36"/>
        <v>-1819</v>
      </c>
      <c r="BK9" s="9">
        <f t="shared" si="36"/>
        <v>-2180</v>
      </c>
      <c r="BL9" s="9">
        <f t="shared" si="36"/>
        <v>-1376</v>
      </c>
      <c r="BM9" s="9">
        <f t="shared" si="36"/>
        <v>-2174</v>
      </c>
      <c r="BN9" s="9">
        <f t="shared" si="36"/>
        <v>-1692</v>
      </c>
      <c r="BO9" s="9">
        <f t="shared" si="36"/>
        <v>-1666</v>
      </c>
      <c r="BP9" s="9">
        <f t="shared" si="36"/>
        <v>-1850</v>
      </c>
      <c r="BQ9" s="9">
        <f t="shared" ref="BQ9:DG9" si="37">BQ3-BQ8</f>
        <v>-1662</v>
      </c>
      <c r="BR9" s="9">
        <f t="shared" si="37"/>
        <v>-2184</v>
      </c>
      <c r="BS9" s="9">
        <f t="shared" si="37"/>
        <v>-1844</v>
      </c>
      <c r="BT9" s="9">
        <f t="shared" si="37"/>
        <v>-2184</v>
      </c>
      <c r="BU9" s="9">
        <f t="shared" si="37"/>
        <v>-1407</v>
      </c>
      <c r="BV9" s="9">
        <f t="shared" si="37"/>
        <v>-1826</v>
      </c>
      <c r="BW9" s="9">
        <f t="shared" si="37"/>
        <v>-1287</v>
      </c>
      <c r="BX9" s="9">
        <f t="shared" si="37"/>
        <v>-2184</v>
      </c>
      <c r="BY9" s="9">
        <f t="shared" si="37"/>
        <v>-2180</v>
      </c>
      <c r="BZ9" s="9">
        <f t="shared" si="37"/>
        <v>-1597</v>
      </c>
      <c r="CA9" s="9">
        <f t="shared" si="37"/>
        <v>-1191</v>
      </c>
      <c r="CB9" s="9">
        <f t="shared" si="37"/>
        <v>-1189</v>
      </c>
      <c r="CC9" s="9">
        <f t="shared" si="37"/>
        <v>-1703</v>
      </c>
      <c r="CD9" s="9">
        <f t="shared" si="37"/>
        <v>1224</v>
      </c>
      <c r="CE9" s="9">
        <f t="shared" si="37"/>
        <v>-2168</v>
      </c>
      <c r="CF9" s="9">
        <f t="shared" si="37"/>
        <v>-2014</v>
      </c>
      <c r="CG9" s="9">
        <f t="shared" si="37"/>
        <v>-2179</v>
      </c>
      <c r="CH9" s="9">
        <f t="shared" si="37"/>
        <v>-1219</v>
      </c>
      <c r="CI9" s="9">
        <f t="shared" si="37"/>
        <v>-2184</v>
      </c>
      <c r="CJ9" s="9">
        <f t="shared" si="37"/>
        <v>1111</v>
      </c>
      <c r="CK9" s="9">
        <f t="shared" si="37"/>
        <v>-2154</v>
      </c>
      <c r="CL9" s="9">
        <f t="shared" si="37"/>
        <v>-2183</v>
      </c>
      <c r="CM9" s="9">
        <f t="shared" si="37"/>
        <v>-2184</v>
      </c>
      <c r="CN9" s="9">
        <f t="shared" si="37"/>
        <v>-1344</v>
      </c>
      <c r="CO9" s="9">
        <f t="shared" si="37"/>
        <v>-2158</v>
      </c>
      <c r="CP9" s="9">
        <f t="shared" si="37"/>
        <v>-1591</v>
      </c>
      <c r="CQ9" s="9">
        <f t="shared" si="37"/>
        <v>-2184</v>
      </c>
      <c r="CR9" s="9">
        <f t="shared" si="37"/>
        <v>-2184</v>
      </c>
      <c r="CS9" s="9">
        <f t="shared" si="37"/>
        <v>-2077</v>
      </c>
      <c r="CT9" s="9">
        <f t="shared" si="37"/>
        <v>-1560</v>
      </c>
      <c r="CU9" s="9">
        <f t="shared" si="37"/>
        <v>-2164</v>
      </c>
      <c r="CV9" s="9">
        <f t="shared" si="37"/>
        <v>-2070</v>
      </c>
      <c r="CW9" s="9">
        <f t="shared" si="37"/>
        <v>-2174</v>
      </c>
      <c r="CX9" s="9">
        <f t="shared" si="37"/>
        <v>-2184</v>
      </c>
      <c r="CY9" s="9">
        <f t="shared" si="37"/>
        <v>-2075</v>
      </c>
      <c r="CZ9" s="9">
        <f t="shared" si="37"/>
        <v>-1617</v>
      </c>
      <c r="DA9" s="9">
        <f t="shared" si="37"/>
        <v>-1438</v>
      </c>
      <c r="DB9" s="9">
        <f t="shared" si="37"/>
        <v>-2184</v>
      </c>
      <c r="DC9" s="9">
        <f t="shared" si="37"/>
        <v>-2179</v>
      </c>
      <c r="DD9" s="9">
        <f t="shared" si="37"/>
        <v>-1688</v>
      </c>
      <c r="DE9" s="9">
        <f t="shared" si="37"/>
        <v>-2102</v>
      </c>
      <c r="DF9" s="9">
        <f t="shared" si="37"/>
        <v>-2184</v>
      </c>
      <c r="DG9" s="9">
        <f t="shared" si="37"/>
        <v>-1643</v>
      </c>
      <c r="DH9" s="9">
        <f t="shared" ref="DH9:EM9" si="38">DH3-DH8</f>
        <v>-1938</v>
      </c>
      <c r="DI9" s="9">
        <f t="shared" si="38"/>
        <v>-365</v>
      </c>
      <c r="DJ9" s="9">
        <f t="shared" si="38"/>
        <v>-2170</v>
      </c>
      <c r="DK9" s="9">
        <f t="shared" si="38"/>
        <v>1165</v>
      </c>
      <c r="DL9" s="9">
        <f t="shared" si="38"/>
        <v>-1931</v>
      </c>
      <c r="DM9" s="9">
        <f t="shared" si="38"/>
        <v>-1879</v>
      </c>
      <c r="DN9" s="9">
        <f t="shared" si="38"/>
        <v>-704</v>
      </c>
      <c r="DO9" s="9">
        <f t="shared" si="38"/>
        <v>-2050</v>
      </c>
      <c r="DP9" s="9">
        <f t="shared" si="38"/>
        <v>-1859</v>
      </c>
      <c r="DQ9" s="9">
        <f t="shared" si="38"/>
        <v>-1492</v>
      </c>
      <c r="DR9" s="9">
        <f t="shared" si="38"/>
        <v>-915</v>
      </c>
      <c r="DS9" s="9">
        <f t="shared" si="38"/>
        <v>-1206</v>
      </c>
      <c r="DT9" s="9">
        <f t="shared" si="38"/>
        <v>-1116</v>
      </c>
      <c r="DU9" s="9">
        <f t="shared" si="38"/>
        <v>-1799</v>
      </c>
      <c r="DV9" s="9">
        <f t="shared" si="38"/>
        <v>-2172</v>
      </c>
      <c r="DW9" s="9">
        <f t="shared" si="38"/>
        <v>-2170</v>
      </c>
      <c r="DX9" s="9">
        <f t="shared" si="38"/>
        <v>-1581</v>
      </c>
      <c r="DY9" s="9">
        <f t="shared" si="38"/>
        <v>-1385</v>
      </c>
      <c r="DZ9" s="9">
        <f t="shared" si="38"/>
        <v>-1001</v>
      </c>
      <c r="EA9" s="9">
        <f t="shared" si="38"/>
        <v>-2178</v>
      </c>
      <c r="EB9" s="9">
        <f t="shared" si="38"/>
        <v>-1373</v>
      </c>
      <c r="EC9" s="9">
        <f t="shared" si="38"/>
        <v>-1959</v>
      </c>
      <c r="ED9" s="9">
        <f t="shared" si="38"/>
        <v>-669</v>
      </c>
      <c r="EE9" s="9">
        <f t="shared" si="38"/>
        <v>-1952</v>
      </c>
      <c r="EF9" s="9">
        <f t="shared" si="38"/>
        <v>-1095</v>
      </c>
      <c r="EG9" s="9">
        <f t="shared" si="38"/>
        <v>-2106</v>
      </c>
      <c r="EH9" s="9">
        <f t="shared" si="38"/>
        <v>-2027</v>
      </c>
      <c r="EI9" s="9">
        <f t="shared" si="38"/>
        <v>-1165</v>
      </c>
      <c r="EJ9" s="9">
        <f t="shared" si="38"/>
        <v>-1539</v>
      </c>
      <c r="EK9" s="9">
        <f t="shared" si="38"/>
        <v>-1456</v>
      </c>
      <c r="EL9" s="9">
        <f t="shared" si="38"/>
        <v>-1417</v>
      </c>
      <c r="EM9" s="9">
        <f t="shared" si="38"/>
        <v>-1490</v>
      </c>
      <c r="EN9" s="9">
        <f t="shared" ref="EN9:EQ9" si="39">EN3-EN8</f>
        <v>-1839</v>
      </c>
      <c r="EO9" s="9">
        <f t="shared" si="39"/>
        <v>-1455</v>
      </c>
      <c r="EP9" s="9">
        <f t="shared" si="39"/>
        <v>-1812</v>
      </c>
      <c r="EQ9" s="9">
        <f t="shared" si="39"/>
        <v>-1948</v>
      </c>
      <c r="ER9" s="9">
        <f t="shared" ref="ER9:FC9" si="40">ER3-ER8</f>
        <v>-1795</v>
      </c>
      <c r="ES9" s="9">
        <f t="shared" si="40"/>
        <v>-1948</v>
      </c>
      <c r="ET9" s="9">
        <f t="shared" si="40"/>
        <v>-1765</v>
      </c>
      <c r="EU9" s="9">
        <f t="shared" si="40"/>
        <v>-822</v>
      </c>
      <c r="EV9" s="9">
        <f t="shared" si="40"/>
        <v>-820</v>
      </c>
      <c r="EW9" s="9">
        <f t="shared" si="40"/>
        <v>-1787</v>
      </c>
      <c r="EX9" s="9">
        <f t="shared" si="40"/>
        <v>-1654</v>
      </c>
      <c r="EY9" s="9">
        <f t="shared" si="40"/>
        <v>-1676</v>
      </c>
      <c r="EZ9" s="9">
        <f t="shared" si="40"/>
        <v>-1930</v>
      </c>
      <c r="FA9" s="9">
        <f t="shared" si="40"/>
        <v>-2184</v>
      </c>
      <c r="FB9" s="9">
        <f t="shared" si="40"/>
        <v>-1814</v>
      </c>
      <c r="FC9" s="9">
        <f t="shared" si="40"/>
        <v>-2184</v>
      </c>
      <c r="FD9" s="9">
        <f t="shared" ref="FD9:GL9" si="41">FD3-FD8</f>
        <v>-2086</v>
      </c>
      <c r="FE9" s="9">
        <f t="shared" si="41"/>
        <v>-2184</v>
      </c>
      <c r="FF9" s="9">
        <f t="shared" si="41"/>
        <v>-2012</v>
      </c>
      <c r="FG9" s="9">
        <f t="shared" si="41"/>
        <v>-2171</v>
      </c>
      <c r="FH9" s="9">
        <f t="shared" si="41"/>
        <v>1976</v>
      </c>
      <c r="FI9" s="9">
        <f t="shared" si="41"/>
        <v>-1726</v>
      </c>
      <c r="FJ9" s="9">
        <f t="shared" si="41"/>
        <v>-2158</v>
      </c>
      <c r="FK9" s="9">
        <f t="shared" si="41"/>
        <v>-1515</v>
      </c>
      <c r="FL9" s="9">
        <f t="shared" si="41"/>
        <v>-2175</v>
      </c>
      <c r="FM9" s="9">
        <f t="shared" si="41"/>
        <v>-2028</v>
      </c>
      <c r="FN9" s="9">
        <f t="shared" si="41"/>
        <v>-1744</v>
      </c>
      <c r="FO9" s="9">
        <f t="shared" si="41"/>
        <v>-1338</v>
      </c>
      <c r="FP9" s="9">
        <f t="shared" si="41"/>
        <v>-1302</v>
      </c>
      <c r="FQ9" s="9">
        <f t="shared" si="41"/>
        <v>-548</v>
      </c>
      <c r="FR9" s="9">
        <f t="shared" si="41"/>
        <v>-2184</v>
      </c>
      <c r="FS9" s="9">
        <f t="shared" si="41"/>
        <v>-937</v>
      </c>
      <c r="FT9" s="9">
        <f t="shared" si="41"/>
        <v>-1399</v>
      </c>
      <c r="FU9" s="9">
        <f t="shared" si="41"/>
        <v>-2184</v>
      </c>
      <c r="FV9" s="9">
        <f t="shared" si="41"/>
        <v>-2113</v>
      </c>
      <c r="FW9" s="9">
        <f t="shared" si="41"/>
        <v>-2179</v>
      </c>
      <c r="FX9" s="9">
        <f t="shared" si="41"/>
        <v>-2155</v>
      </c>
      <c r="FY9" s="9">
        <f t="shared" si="41"/>
        <v>-2184</v>
      </c>
      <c r="FZ9" s="9">
        <f t="shared" si="41"/>
        <v>-1380</v>
      </c>
      <c r="GA9" s="9">
        <f t="shared" si="41"/>
        <v>-2152</v>
      </c>
      <c r="GB9" s="9">
        <f t="shared" si="41"/>
        <v>-2179</v>
      </c>
      <c r="GC9" s="9">
        <f t="shared" si="41"/>
        <v>-2184</v>
      </c>
      <c r="GD9" s="9">
        <f t="shared" si="41"/>
        <v>-1608</v>
      </c>
      <c r="GE9" s="9">
        <f t="shared" si="41"/>
        <v>-957</v>
      </c>
      <c r="GF9" s="9">
        <f t="shared" si="41"/>
        <v>-1537</v>
      </c>
      <c r="GG9" s="9">
        <f t="shared" si="41"/>
        <v>-1337</v>
      </c>
      <c r="GH9" s="9">
        <f t="shared" si="41"/>
        <v>-1939</v>
      </c>
      <c r="GI9" s="9">
        <f t="shared" si="41"/>
        <v>-2099</v>
      </c>
      <c r="GJ9" s="9">
        <f t="shared" si="41"/>
        <v>-794</v>
      </c>
      <c r="GK9" s="9">
        <f t="shared" si="41"/>
        <v>-1103</v>
      </c>
      <c r="GL9" s="9">
        <f t="shared" si="41"/>
        <v>-1461</v>
      </c>
      <c r="GM9" s="9">
        <f t="shared" ref="GM9:GR9" si="42">GM3-GM8</f>
        <v>32</v>
      </c>
      <c r="GN9" s="9">
        <f t="shared" si="42"/>
        <v>-2099</v>
      </c>
      <c r="GO9" s="9">
        <f t="shared" si="42"/>
        <v>-1221</v>
      </c>
      <c r="GP9" s="9">
        <f t="shared" si="42"/>
        <v>-2184</v>
      </c>
      <c r="GQ9" s="9">
        <f t="shared" si="42"/>
        <v>-2184</v>
      </c>
      <c r="GR9" s="9">
        <f t="shared" si="42"/>
        <v>-1595</v>
      </c>
    </row>
    <row r="10" spans="1:200" ht="19.149999999999999">
      <c r="A10" s="7" t="s">
        <v>249</v>
      </c>
      <c r="B10" s="7" t="s">
        <v>250</v>
      </c>
      <c r="C10" s="70"/>
      <c r="D10" s="8">
        <f t="shared" ref="D10:BO10" si="43">$B$4*8*16</f>
        <v>2688</v>
      </c>
      <c r="E10" s="8">
        <f t="shared" si="43"/>
        <v>2688</v>
      </c>
      <c r="F10" s="8">
        <f t="shared" si="43"/>
        <v>2688</v>
      </c>
      <c r="G10" s="8">
        <f t="shared" si="43"/>
        <v>2688</v>
      </c>
      <c r="H10" s="8">
        <f t="shared" si="43"/>
        <v>2688</v>
      </c>
      <c r="I10" s="8">
        <f t="shared" si="43"/>
        <v>2688</v>
      </c>
      <c r="J10" s="8">
        <f t="shared" si="43"/>
        <v>2688</v>
      </c>
      <c r="K10" s="8">
        <f t="shared" si="43"/>
        <v>2688</v>
      </c>
      <c r="L10" s="8">
        <f t="shared" si="43"/>
        <v>2688</v>
      </c>
      <c r="M10" s="8">
        <f t="shared" si="43"/>
        <v>2688</v>
      </c>
      <c r="N10" s="8">
        <f t="shared" si="43"/>
        <v>2688</v>
      </c>
      <c r="O10" s="8">
        <f t="shared" si="43"/>
        <v>2688</v>
      </c>
      <c r="P10" s="8">
        <f t="shared" si="43"/>
        <v>2688</v>
      </c>
      <c r="Q10" s="8">
        <f t="shared" si="43"/>
        <v>2688</v>
      </c>
      <c r="R10" s="8">
        <f t="shared" si="43"/>
        <v>2688</v>
      </c>
      <c r="S10" s="8">
        <f t="shared" si="43"/>
        <v>2688</v>
      </c>
      <c r="T10" s="8">
        <f t="shared" si="43"/>
        <v>2688</v>
      </c>
      <c r="U10" s="8">
        <f t="shared" si="43"/>
        <v>2688</v>
      </c>
      <c r="V10" s="8">
        <f t="shared" si="43"/>
        <v>2688</v>
      </c>
      <c r="W10" s="8">
        <f t="shared" si="43"/>
        <v>2688</v>
      </c>
      <c r="X10" s="8">
        <f t="shared" si="43"/>
        <v>2688</v>
      </c>
      <c r="Y10" s="8">
        <f t="shared" si="43"/>
        <v>2688</v>
      </c>
      <c r="Z10" s="8">
        <f t="shared" si="43"/>
        <v>2688</v>
      </c>
      <c r="AA10" s="8">
        <f t="shared" si="43"/>
        <v>2688</v>
      </c>
      <c r="AB10" s="8">
        <f t="shared" si="43"/>
        <v>2688</v>
      </c>
      <c r="AC10" s="8">
        <f t="shared" si="43"/>
        <v>2688</v>
      </c>
      <c r="AD10" s="8">
        <f t="shared" si="43"/>
        <v>2688</v>
      </c>
      <c r="AE10" s="8">
        <f t="shared" si="43"/>
        <v>2688</v>
      </c>
      <c r="AF10" s="8">
        <f t="shared" si="43"/>
        <v>2688</v>
      </c>
      <c r="AG10" s="8">
        <f t="shared" si="43"/>
        <v>2688</v>
      </c>
      <c r="AH10" s="8">
        <f t="shared" si="43"/>
        <v>2688</v>
      </c>
      <c r="AI10" s="8">
        <f t="shared" si="43"/>
        <v>2688</v>
      </c>
      <c r="AJ10" s="8">
        <f t="shared" si="43"/>
        <v>2688</v>
      </c>
      <c r="AK10" s="8">
        <f t="shared" si="43"/>
        <v>2688</v>
      </c>
      <c r="AL10" s="8">
        <f t="shared" si="43"/>
        <v>2688</v>
      </c>
      <c r="AM10" s="8">
        <f t="shared" si="43"/>
        <v>2688</v>
      </c>
      <c r="AN10" s="8">
        <f t="shared" si="43"/>
        <v>2688</v>
      </c>
      <c r="AO10" s="8">
        <f t="shared" si="43"/>
        <v>2688</v>
      </c>
      <c r="AP10" s="8">
        <f t="shared" si="43"/>
        <v>2688</v>
      </c>
      <c r="AQ10" s="8">
        <f t="shared" si="43"/>
        <v>2688</v>
      </c>
      <c r="AR10" s="8">
        <f t="shared" si="43"/>
        <v>2688</v>
      </c>
      <c r="AS10" s="8">
        <f t="shared" si="43"/>
        <v>2688</v>
      </c>
      <c r="AT10" s="8">
        <f t="shared" si="43"/>
        <v>2688</v>
      </c>
      <c r="AU10" s="8">
        <f t="shared" si="43"/>
        <v>2688</v>
      </c>
      <c r="AV10" s="8">
        <f t="shared" si="43"/>
        <v>2688</v>
      </c>
      <c r="AW10" s="8">
        <f t="shared" si="43"/>
        <v>2688</v>
      </c>
      <c r="AX10" s="8">
        <f t="shared" si="43"/>
        <v>2688</v>
      </c>
      <c r="AY10" s="8">
        <f t="shared" si="43"/>
        <v>2688</v>
      </c>
      <c r="AZ10" s="8">
        <f t="shared" si="43"/>
        <v>2688</v>
      </c>
      <c r="BA10" s="8">
        <f t="shared" si="43"/>
        <v>2688</v>
      </c>
      <c r="BB10" s="8">
        <f t="shared" si="43"/>
        <v>2688</v>
      </c>
      <c r="BC10" s="8">
        <f t="shared" si="43"/>
        <v>2688</v>
      </c>
      <c r="BD10" s="8">
        <f t="shared" si="43"/>
        <v>2688</v>
      </c>
      <c r="BE10" s="8">
        <f t="shared" si="43"/>
        <v>2688</v>
      </c>
      <c r="BF10" s="8">
        <f t="shared" si="43"/>
        <v>2688</v>
      </c>
      <c r="BG10" s="8">
        <f t="shared" si="43"/>
        <v>2688</v>
      </c>
      <c r="BH10" s="8">
        <f t="shared" si="43"/>
        <v>2688</v>
      </c>
      <c r="BI10" s="8">
        <f t="shared" si="43"/>
        <v>2688</v>
      </c>
      <c r="BJ10" s="8">
        <f t="shared" si="43"/>
        <v>2688</v>
      </c>
      <c r="BK10" s="8">
        <f t="shared" si="43"/>
        <v>2688</v>
      </c>
      <c r="BL10" s="8">
        <f t="shared" si="43"/>
        <v>2688</v>
      </c>
      <c r="BM10" s="8">
        <f t="shared" si="43"/>
        <v>2688</v>
      </c>
      <c r="BN10" s="8">
        <f t="shared" si="43"/>
        <v>2688</v>
      </c>
      <c r="BO10" s="8">
        <f t="shared" si="43"/>
        <v>2688</v>
      </c>
      <c r="BP10" s="8">
        <f t="shared" ref="BP10:EA10" si="44">$B$4*8*16</f>
        <v>2688</v>
      </c>
      <c r="BQ10" s="8">
        <f t="shared" si="44"/>
        <v>2688</v>
      </c>
      <c r="BR10" s="8">
        <f t="shared" si="44"/>
        <v>2688</v>
      </c>
      <c r="BS10" s="8">
        <f t="shared" si="44"/>
        <v>2688</v>
      </c>
      <c r="BT10" s="8">
        <f t="shared" si="44"/>
        <v>2688</v>
      </c>
      <c r="BU10" s="8">
        <f t="shared" si="44"/>
        <v>2688</v>
      </c>
      <c r="BV10" s="8">
        <f t="shared" si="44"/>
        <v>2688</v>
      </c>
      <c r="BW10" s="8">
        <f t="shared" si="44"/>
        <v>2688</v>
      </c>
      <c r="BX10" s="8">
        <f t="shared" si="44"/>
        <v>2688</v>
      </c>
      <c r="BY10" s="8">
        <f t="shared" si="44"/>
        <v>2688</v>
      </c>
      <c r="BZ10" s="8">
        <f t="shared" si="44"/>
        <v>2688</v>
      </c>
      <c r="CA10" s="8">
        <f t="shared" si="44"/>
        <v>2688</v>
      </c>
      <c r="CB10" s="8">
        <f t="shared" si="44"/>
        <v>2688</v>
      </c>
      <c r="CC10" s="8">
        <f t="shared" si="44"/>
        <v>2688</v>
      </c>
      <c r="CD10" s="8">
        <f t="shared" si="44"/>
        <v>2688</v>
      </c>
      <c r="CE10" s="8">
        <f t="shared" si="44"/>
        <v>2688</v>
      </c>
      <c r="CF10" s="8">
        <f t="shared" si="44"/>
        <v>2688</v>
      </c>
      <c r="CG10" s="8">
        <f t="shared" si="44"/>
        <v>2688</v>
      </c>
      <c r="CH10" s="8">
        <f t="shared" si="44"/>
        <v>2688</v>
      </c>
      <c r="CI10" s="8">
        <f t="shared" si="44"/>
        <v>2688</v>
      </c>
      <c r="CJ10" s="8">
        <f t="shared" si="44"/>
        <v>2688</v>
      </c>
      <c r="CK10" s="8">
        <f t="shared" si="44"/>
        <v>2688</v>
      </c>
      <c r="CL10" s="8">
        <f t="shared" si="44"/>
        <v>2688</v>
      </c>
      <c r="CM10" s="8">
        <f t="shared" si="44"/>
        <v>2688</v>
      </c>
      <c r="CN10" s="8">
        <f t="shared" si="44"/>
        <v>2688</v>
      </c>
      <c r="CO10" s="8">
        <f t="shared" si="44"/>
        <v>2688</v>
      </c>
      <c r="CP10" s="8">
        <f t="shared" si="44"/>
        <v>2688</v>
      </c>
      <c r="CQ10" s="8">
        <f t="shared" si="44"/>
        <v>2688</v>
      </c>
      <c r="CR10" s="8">
        <f t="shared" si="44"/>
        <v>2688</v>
      </c>
      <c r="CS10" s="8">
        <f t="shared" si="44"/>
        <v>2688</v>
      </c>
      <c r="CT10" s="8">
        <f t="shared" si="44"/>
        <v>2688</v>
      </c>
      <c r="CU10" s="8">
        <f t="shared" si="44"/>
        <v>2688</v>
      </c>
      <c r="CV10" s="8">
        <f t="shared" si="44"/>
        <v>2688</v>
      </c>
      <c r="CW10" s="8">
        <f t="shared" si="44"/>
        <v>2688</v>
      </c>
      <c r="CX10" s="8">
        <f t="shared" si="44"/>
        <v>2688</v>
      </c>
      <c r="CY10" s="8">
        <f t="shared" si="44"/>
        <v>2688</v>
      </c>
      <c r="CZ10" s="8">
        <f t="shared" si="44"/>
        <v>2688</v>
      </c>
      <c r="DA10" s="8">
        <f t="shared" si="44"/>
        <v>2688</v>
      </c>
      <c r="DB10" s="8">
        <f t="shared" si="44"/>
        <v>2688</v>
      </c>
      <c r="DC10" s="8">
        <f t="shared" si="44"/>
        <v>2688</v>
      </c>
      <c r="DD10" s="8">
        <f t="shared" si="44"/>
        <v>2688</v>
      </c>
      <c r="DE10" s="8">
        <f t="shared" si="44"/>
        <v>2688</v>
      </c>
      <c r="DF10" s="8">
        <f t="shared" si="44"/>
        <v>2688</v>
      </c>
      <c r="DG10" s="8">
        <f t="shared" si="44"/>
        <v>2688</v>
      </c>
      <c r="DH10" s="8">
        <f t="shared" si="44"/>
        <v>2688</v>
      </c>
      <c r="DI10" s="8">
        <f t="shared" si="44"/>
        <v>2688</v>
      </c>
      <c r="DJ10" s="8">
        <f t="shared" si="44"/>
        <v>2688</v>
      </c>
      <c r="DK10" s="8">
        <f t="shared" si="44"/>
        <v>2688</v>
      </c>
      <c r="DL10" s="8">
        <f t="shared" si="44"/>
        <v>2688</v>
      </c>
      <c r="DM10" s="8">
        <f t="shared" si="44"/>
        <v>2688</v>
      </c>
      <c r="DN10" s="8">
        <f t="shared" si="44"/>
        <v>2688</v>
      </c>
      <c r="DO10" s="8">
        <f t="shared" si="44"/>
        <v>2688</v>
      </c>
      <c r="DP10" s="8">
        <f t="shared" si="44"/>
        <v>2688</v>
      </c>
      <c r="DQ10" s="8">
        <f t="shared" si="44"/>
        <v>2688</v>
      </c>
      <c r="DR10" s="8">
        <f t="shared" si="44"/>
        <v>2688</v>
      </c>
      <c r="DS10" s="8">
        <f t="shared" si="44"/>
        <v>2688</v>
      </c>
      <c r="DT10" s="8">
        <f t="shared" si="44"/>
        <v>2688</v>
      </c>
      <c r="DU10" s="8">
        <f t="shared" si="44"/>
        <v>2688</v>
      </c>
      <c r="DV10" s="8">
        <f t="shared" si="44"/>
        <v>2688</v>
      </c>
      <c r="DW10" s="8">
        <f t="shared" si="44"/>
        <v>2688</v>
      </c>
      <c r="DX10" s="8">
        <f t="shared" si="44"/>
        <v>2688</v>
      </c>
      <c r="DY10" s="8">
        <f t="shared" si="44"/>
        <v>2688</v>
      </c>
      <c r="DZ10" s="8">
        <f t="shared" si="44"/>
        <v>2688</v>
      </c>
      <c r="EA10" s="8">
        <f t="shared" si="44"/>
        <v>2688</v>
      </c>
      <c r="EB10" s="8">
        <f t="shared" ref="EB10:GN10" si="45">$B$4*8*16</f>
        <v>2688</v>
      </c>
      <c r="EC10" s="8">
        <f t="shared" si="45"/>
        <v>2688</v>
      </c>
      <c r="ED10" s="8">
        <f t="shared" si="45"/>
        <v>2688</v>
      </c>
      <c r="EE10" s="8">
        <f t="shared" si="45"/>
        <v>2688</v>
      </c>
      <c r="EF10" s="8">
        <f t="shared" si="45"/>
        <v>2688</v>
      </c>
      <c r="EG10" s="8">
        <f t="shared" si="45"/>
        <v>2688</v>
      </c>
      <c r="EH10" s="8">
        <f t="shared" si="45"/>
        <v>2688</v>
      </c>
      <c r="EI10" s="8">
        <f t="shared" si="45"/>
        <v>2688</v>
      </c>
      <c r="EJ10" s="8">
        <f t="shared" si="45"/>
        <v>2688</v>
      </c>
      <c r="EK10" s="8">
        <f t="shared" si="45"/>
        <v>2688</v>
      </c>
      <c r="EL10" s="8">
        <f t="shared" si="45"/>
        <v>2688</v>
      </c>
      <c r="EM10" s="8">
        <f t="shared" si="45"/>
        <v>2688</v>
      </c>
      <c r="EN10" s="8">
        <f t="shared" si="45"/>
        <v>2688</v>
      </c>
      <c r="EO10" s="8">
        <f t="shared" si="45"/>
        <v>2688</v>
      </c>
      <c r="EP10" s="8">
        <f t="shared" si="45"/>
        <v>2688</v>
      </c>
      <c r="EQ10" s="8">
        <f t="shared" si="45"/>
        <v>2688</v>
      </c>
      <c r="ER10" s="8">
        <f t="shared" si="45"/>
        <v>2688</v>
      </c>
      <c r="ES10" s="8">
        <f t="shared" si="45"/>
        <v>2688</v>
      </c>
      <c r="ET10" s="8">
        <f t="shared" si="45"/>
        <v>2688</v>
      </c>
      <c r="EU10" s="8">
        <f t="shared" si="45"/>
        <v>2688</v>
      </c>
      <c r="EV10" s="8">
        <f t="shared" si="45"/>
        <v>2688</v>
      </c>
      <c r="EW10" s="8">
        <f t="shared" si="45"/>
        <v>2688</v>
      </c>
      <c r="EX10" s="8">
        <f t="shared" si="45"/>
        <v>2688</v>
      </c>
      <c r="EY10" s="8">
        <f t="shared" si="45"/>
        <v>2688</v>
      </c>
      <c r="EZ10" s="8">
        <f t="shared" si="45"/>
        <v>2688</v>
      </c>
      <c r="FA10" s="8">
        <f t="shared" si="45"/>
        <v>2688</v>
      </c>
      <c r="FB10" s="8">
        <f t="shared" si="45"/>
        <v>2688</v>
      </c>
      <c r="FC10" s="8">
        <f t="shared" si="45"/>
        <v>2688</v>
      </c>
      <c r="FD10" s="8">
        <f t="shared" si="45"/>
        <v>2688</v>
      </c>
      <c r="FE10" s="8">
        <f t="shared" si="45"/>
        <v>2688</v>
      </c>
      <c r="FF10" s="8">
        <f t="shared" si="45"/>
        <v>2688</v>
      </c>
      <c r="FG10" s="8">
        <f t="shared" si="45"/>
        <v>2688</v>
      </c>
      <c r="FH10" s="8">
        <f t="shared" si="45"/>
        <v>2688</v>
      </c>
      <c r="FI10" s="8">
        <f t="shared" si="45"/>
        <v>2688</v>
      </c>
      <c r="FJ10" s="8">
        <f t="shared" si="45"/>
        <v>2688</v>
      </c>
      <c r="FK10" s="8">
        <f t="shared" si="45"/>
        <v>2688</v>
      </c>
      <c r="FL10" s="8">
        <f t="shared" si="45"/>
        <v>2688</v>
      </c>
      <c r="FM10" s="8">
        <f t="shared" si="45"/>
        <v>2688</v>
      </c>
      <c r="FN10" s="8">
        <f t="shared" si="45"/>
        <v>2688</v>
      </c>
      <c r="FO10" s="8">
        <f t="shared" si="45"/>
        <v>2688</v>
      </c>
      <c r="FP10" s="8">
        <f t="shared" si="45"/>
        <v>2688</v>
      </c>
      <c r="FQ10" s="8">
        <f t="shared" si="45"/>
        <v>2688</v>
      </c>
      <c r="FR10" s="8">
        <f t="shared" si="45"/>
        <v>2688</v>
      </c>
      <c r="FS10" s="8">
        <f t="shared" si="45"/>
        <v>2688</v>
      </c>
      <c r="FT10" s="8">
        <f t="shared" si="45"/>
        <v>2688</v>
      </c>
      <c r="FU10" s="8">
        <f t="shared" si="45"/>
        <v>2688</v>
      </c>
      <c r="FV10" s="8">
        <f t="shared" si="45"/>
        <v>2688</v>
      </c>
      <c r="FW10" s="8">
        <f t="shared" si="45"/>
        <v>2688</v>
      </c>
      <c r="FX10" s="8">
        <f t="shared" si="45"/>
        <v>2688</v>
      </c>
      <c r="FY10" s="8">
        <f t="shared" si="45"/>
        <v>2688</v>
      </c>
      <c r="FZ10" s="8">
        <f t="shared" si="45"/>
        <v>2688</v>
      </c>
      <c r="GA10" s="8">
        <f t="shared" si="45"/>
        <v>2688</v>
      </c>
      <c r="GB10" s="8">
        <f t="shared" si="45"/>
        <v>2688</v>
      </c>
      <c r="GC10" s="8">
        <f t="shared" si="45"/>
        <v>2688</v>
      </c>
      <c r="GD10" s="8">
        <f t="shared" si="45"/>
        <v>2688</v>
      </c>
      <c r="GE10" s="8">
        <f t="shared" si="45"/>
        <v>2688</v>
      </c>
      <c r="GF10" s="8">
        <f t="shared" si="45"/>
        <v>2688</v>
      </c>
      <c r="GG10" s="8">
        <f t="shared" si="45"/>
        <v>2688</v>
      </c>
      <c r="GH10" s="8">
        <f t="shared" si="45"/>
        <v>2688</v>
      </c>
      <c r="GI10" s="8">
        <f t="shared" si="45"/>
        <v>2688</v>
      </c>
      <c r="GJ10" s="8">
        <f t="shared" si="45"/>
        <v>2688</v>
      </c>
      <c r="GK10" s="8">
        <f t="shared" si="45"/>
        <v>2688</v>
      </c>
      <c r="GL10" s="8">
        <f t="shared" si="45"/>
        <v>2688</v>
      </c>
      <c r="GM10" s="8">
        <f t="shared" si="45"/>
        <v>2688</v>
      </c>
      <c r="GN10" s="8">
        <f t="shared" si="45"/>
        <v>2688</v>
      </c>
      <c r="GO10" s="8">
        <f t="shared" ref="GO10:GR10" si="46">$B$4*8*16</f>
        <v>2688</v>
      </c>
      <c r="GP10" s="8">
        <f t="shared" si="46"/>
        <v>2688</v>
      </c>
      <c r="GQ10" s="8">
        <f t="shared" si="46"/>
        <v>2688</v>
      </c>
      <c r="GR10" s="8">
        <f t="shared" si="46"/>
        <v>2688</v>
      </c>
    </row>
    <row r="11" spans="1:200" ht="19.149999999999999">
      <c r="A11" s="224" t="s">
        <v>251</v>
      </c>
      <c r="B11" s="224"/>
      <c r="C11" s="70"/>
      <c r="D11" s="9">
        <f t="shared" ref="D11" si="47">D3-D10</f>
        <v>-2688</v>
      </c>
      <c r="E11" s="9">
        <f t="shared" ref="E11:BP11" si="48">E3-E10</f>
        <v>-2147</v>
      </c>
      <c r="F11" s="9">
        <f t="shared" si="48"/>
        <v>-2672</v>
      </c>
      <c r="G11" s="9">
        <f t="shared" si="48"/>
        <v>-2672</v>
      </c>
      <c r="H11" s="9">
        <f t="shared" si="48"/>
        <v>-2051</v>
      </c>
      <c r="I11" s="9">
        <f t="shared" si="48"/>
        <v>-1934</v>
      </c>
      <c r="J11" s="9">
        <f t="shared" si="48"/>
        <v>-2688</v>
      </c>
      <c r="K11" s="9">
        <f t="shared" si="48"/>
        <v>-2667</v>
      </c>
      <c r="L11" s="9">
        <f t="shared" si="48"/>
        <v>-2688</v>
      </c>
      <c r="M11" s="9">
        <f t="shared" si="48"/>
        <v>-2688</v>
      </c>
      <c r="N11" s="9">
        <f t="shared" si="48"/>
        <v>-1794</v>
      </c>
      <c r="O11" s="9">
        <f t="shared" si="48"/>
        <v>-2016</v>
      </c>
      <c r="P11" s="9">
        <f t="shared" si="48"/>
        <v>-2688</v>
      </c>
      <c r="Q11" s="9">
        <f t="shared" si="48"/>
        <v>-2021</v>
      </c>
      <c r="R11" s="9">
        <f t="shared" si="48"/>
        <v>-570</v>
      </c>
      <c r="S11" s="9">
        <f t="shared" si="48"/>
        <v>-1779</v>
      </c>
      <c r="T11" s="9">
        <f t="shared" si="48"/>
        <v>315</v>
      </c>
      <c r="U11" s="9">
        <f t="shared" si="48"/>
        <v>-2668</v>
      </c>
      <c r="V11" s="9">
        <f t="shared" si="48"/>
        <v>-2388</v>
      </c>
      <c r="W11" s="9">
        <f t="shared" si="48"/>
        <v>-2649</v>
      </c>
      <c r="X11" s="9">
        <f t="shared" si="48"/>
        <v>-2686</v>
      </c>
      <c r="Y11" s="9">
        <f t="shared" si="48"/>
        <v>-2308</v>
      </c>
      <c r="Z11" s="9">
        <f t="shared" si="48"/>
        <v>-1874</v>
      </c>
      <c r="AA11" s="9">
        <f t="shared" si="48"/>
        <v>-2285</v>
      </c>
      <c r="AB11" s="9">
        <f t="shared" si="48"/>
        <v>-2191</v>
      </c>
      <c r="AC11" s="9">
        <f t="shared" si="48"/>
        <v>-2688</v>
      </c>
      <c r="AD11" s="9">
        <f t="shared" si="48"/>
        <v>-1532</v>
      </c>
      <c r="AE11" s="9">
        <f t="shared" si="48"/>
        <v>-2565</v>
      </c>
      <c r="AF11" s="9">
        <f t="shared" si="48"/>
        <v>-2663</v>
      </c>
      <c r="AG11" s="9">
        <f t="shared" si="48"/>
        <v>-1895</v>
      </c>
      <c r="AH11" s="9">
        <f t="shared" si="48"/>
        <v>-2436</v>
      </c>
      <c r="AI11" s="9">
        <f t="shared" si="48"/>
        <v>-2449</v>
      </c>
      <c r="AJ11" s="9">
        <f t="shared" si="48"/>
        <v>-2688</v>
      </c>
      <c r="AK11" s="9">
        <f t="shared" si="48"/>
        <v>-2542</v>
      </c>
      <c r="AL11" s="9">
        <f t="shared" si="48"/>
        <v>-2688</v>
      </c>
      <c r="AM11" s="9">
        <f t="shared" si="48"/>
        <v>-2688</v>
      </c>
      <c r="AN11" s="9">
        <f t="shared" si="48"/>
        <v>-2508</v>
      </c>
      <c r="AO11" s="9">
        <f t="shared" si="48"/>
        <v>-2655</v>
      </c>
      <c r="AP11" s="9">
        <f t="shared" si="48"/>
        <v>-2395</v>
      </c>
      <c r="AQ11" s="9">
        <f t="shared" si="48"/>
        <v>-2582</v>
      </c>
      <c r="AR11" s="9">
        <f t="shared" si="48"/>
        <v>-2278</v>
      </c>
      <c r="AS11" s="9">
        <f t="shared" si="48"/>
        <v>-2688</v>
      </c>
      <c r="AT11" s="9">
        <f t="shared" si="48"/>
        <v>-2121</v>
      </c>
      <c r="AU11" s="9">
        <f t="shared" si="48"/>
        <v>-2517</v>
      </c>
      <c r="AV11" s="9">
        <f t="shared" si="48"/>
        <v>-2616</v>
      </c>
      <c r="AW11" s="9">
        <f t="shared" si="48"/>
        <v>-1862</v>
      </c>
      <c r="AX11" s="9">
        <f t="shared" si="48"/>
        <v>-1527</v>
      </c>
      <c r="AY11" s="9">
        <f t="shared" si="48"/>
        <v>-2630</v>
      </c>
      <c r="AZ11" s="9">
        <f t="shared" si="48"/>
        <v>-2436</v>
      </c>
      <c r="BA11" s="9">
        <f t="shared" si="48"/>
        <v>-1314</v>
      </c>
      <c r="BB11" s="9">
        <f t="shared" si="48"/>
        <v>-1785</v>
      </c>
      <c r="BC11" s="9">
        <f t="shared" si="48"/>
        <v>-2374</v>
      </c>
      <c r="BD11" s="9">
        <f t="shared" si="48"/>
        <v>-952</v>
      </c>
      <c r="BE11" s="9">
        <f t="shared" si="48"/>
        <v>-2102</v>
      </c>
      <c r="BF11" s="9">
        <f t="shared" si="48"/>
        <v>-2688</v>
      </c>
      <c r="BG11" s="9">
        <f t="shared" si="48"/>
        <v>-1972</v>
      </c>
      <c r="BH11" s="9">
        <f t="shared" si="48"/>
        <v>-2585</v>
      </c>
      <c r="BI11" s="9">
        <f t="shared" si="48"/>
        <v>-1904</v>
      </c>
      <c r="BJ11" s="9">
        <f t="shared" si="48"/>
        <v>-2323</v>
      </c>
      <c r="BK11" s="9">
        <f t="shared" si="48"/>
        <v>-2684</v>
      </c>
      <c r="BL11" s="9">
        <f t="shared" si="48"/>
        <v>-1880</v>
      </c>
      <c r="BM11" s="9">
        <f t="shared" si="48"/>
        <v>-2678</v>
      </c>
      <c r="BN11" s="9">
        <f t="shared" si="48"/>
        <v>-2196</v>
      </c>
      <c r="BO11" s="9">
        <f t="shared" si="48"/>
        <v>-2170</v>
      </c>
      <c r="BP11" s="9">
        <f t="shared" si="48"/>
        <v>-2354</v>
      </c>
      <c r="BQ11" s="9">
        <f t="shared" ref="BQ11:DG11" si="49">BQ3-BQ10</f>
        <v>-2166</v>
      </c>
      <c r="BR11" s="9">
        <f t="shared" si="49"/>
        <v>-2688</v>
      </c>
      <c r="BS11" s="9">
        <f t="shared" si="49"/>
        <v>-2348</v>
      </c>
      <c r="BT11" s="9">
        <f t="shared" si="49"/>
        <v>-2688</v>
      </c>
      <c r="BU11" s="9">
        <f t="shared" si="49"/>
        <v>-1911</v>
      </c>
      <c r="BV11" s="9">
        <f t="shared" si="49"/>
        <v>-2330</v>
      </c>
      <c r="BW11" s="9">
        <f t="shared" si="49"/>
        <v>-1791</v>
      </c>
      <c r="BX11" s="9">
        <f t="shared" si="49"/>
        <v>-2688</v>
      </c>
      <c r="BY11" s="9">
        <f t="shared" si="49"/>
        <v>-2684</v>
      </c>
      <c r="BZ11" s="9">
        <f t="shared" si="49"/>
        <v>-2101</v>
      </c>
      <c r="CA11" s="9">
        <f t="shared" si="49"/>
        <v>-1695</v>
      </c>
      <c r="CB11" s="9">
        <f t="shared" si="49"/>
        <v>-1693</v>
      </c>
      <c r="CC11" s="9">
        <f t="shared" si="49"/>
        <v>-2207</v>
      </c>
      <c r="CD11" s="9">
        <f t="shared" si="49"/>
        <v>720</v>
      </c>
      <c r="CE11" s="9">
        <f t="shared" si="49"/>
        <v>-2672</v>
      </c>
      <c r="CF11" s="9">
        <f t="shared" si="49"/>
        <v>-2518</v>
      </c>
      <c r="CG11" s="9">
        <f t="shared" si="49"/>
        <v>-2683</v>
      </c>
      <c r="CH11" s="9">
        <f t="shared" si="49"/>
        <v>-1723</v>
      </c>
      <c r="CI11" s="9">
        <f t="shared" si="49"/>
        <v>-2688</v>
      </c>
      <c r="CJ11" s="9">
        <f t="shared" si="49"/>
        <v>607</v>
      </c>
      <c r="CK11" s="9">
        <f t="shared" si="49"/>
        <v>-2658</v>
      </c>
      <c r="CL11" s="9">
        <f t="shared" si="49"/>
        <v>-2687</v>
      </c>
      <c r="CM11" s="9">
        <f t="shared" si="49"/>
        <v>-2688</v>
      </c>
      <c r="CN11" s="9">
        <f t="shared" si="49"/>
        <v>-1848</v>
      </c>
      <c r="CO11" s="9">
        <f t="shared" si="49"/>
        <v>-2662</v>
      </c>
      <c r="CP11" s="9">
        <f t="shared" si="49"/>
        <v>-2095</v>
      </c>
      <c r="CQ11" s="9">
        <f t="shared" si="49"/>
        <v>-2688</v>
      </c>
      <c r="CR11" s="9">
        <f t="shared" si="49"/>
        <v>-2688</v>
      </c>
      <c r="CS11" s="9">
        <f t="shared" si="49"/>
        <v>-2581</v>
      </c>
      <c r="CT11" s="9">
        <f t="shared" si="49"/>
        <v>-2064</v>
      </c>
      <c r="CU11" s="9">
        <f t="shared" si="49"/>
        <v>-2668</v>
      </c>
      <c r="CV11" s="9">
        <f t="shared" si="49"/>
        <v>-2574</v>
      </c>
      <c r="CW11" s="9">
        <f t="shared" si="49"/>
        <v>-2678</v>
      </c>
      <c r="CX11" s="9">
        <f t="shared" si="49"/>
        <v>-2688</v>
      </c>
      <c r="CY11" s="9">
        <f t="shared" si="49"/>
        <v>-2579</v>
      </c>
      <c r="CZ11" s="9">
        <f t="shared" si="49"/>
        <v>-2121</v>
      </c>
      <c r="DA11" s="9">
        <f t="shared" si="49"/>
        <v>-1942</v>
      </c>
      <c r="DB11" s="9">
        <f t="shared" si="49"/>
        <v>-2688</v>
      </c>
      <c r="DC11" s="9">
        <f t="shared" si="49"/>
        <v>-2683</v>
      </c>
      <c r="DD11" s="9">
        <f t="shared" si="49"/>
        <v>-2192</v>
      </c>
      <c r="DE11" s="9">
        <f t="shared" si="49"/>
        <v>-2606</v>
      </c>
      <c r="DF11" s="9">
        <f t="shared" si="49"/>
        <v>-2688</v>
      </c>
      <c r="DG11" s="9">
        <f t="shared" si="49"/>
        <v>-2147</v>
      </c>
      <c r="DH11" s="9">
        <f t="shared" ref="DH11:EM11" si="50">DH3-DH10</f>
        <v>-2442</v>
      </c>
      <c r="DI11" s="9">
        <f t="shared" si="50"/>
        <v>-869</v>
      </c>
      <c r="DJ11" s="9">
        <f t="shared" si="50"/>
        <v>-2674</v>
      </c>
      <c r="DK11" s="9">
        <f t="shared" si="50"/>
        <v>661</v>
      </c>
      <c r="DL11" s="9">
        <f t="shared" si="50"/>
        <v>-2435</v>
      </c>
      <c r="DM11" s="9">
        <f t="shared" si="50"/>
        <v>-2383</v>
      </c>
      <c r="DN11" s="9">
        <f t="shared" si="50"/>
        <v>-1208</v>
      </c>
      <c r="DO11" s="9">
        <f t="shared" si="50"/>
        <v>-2554</v>
      </c>
      <c r="DP11" s="9">
        <f t="shared" si="50"/>
        <v>-2363</v>
      </c>
      <c r="DQ11" s="9">
        <f t="shared" si="50"/>
        <v>-1996</v>
      </c>
      <c r="DR11" s="9">
        <f t="shared" si="50"/>
        <v>-1419</v>
      </c>
      <c r="DS11" s="9">
        <f t="shared" si="50"/>
        <v>-1710</v>
      </c>
      <c r="DT11" s="9">
        <f t="shared" si="50"/>
        <v>-1620</v>
      </c>
      <c r="DU11" s="9">
        <f t="shared" si="50"/>
        <v>-2303</v>
      </c>
      <c r="DV11" s="9">
        <f t="shared" si="50"/>
        <v>-2676</v>
      </c>
      <c r="DW11" s="9">
        <f t="shared" si="50"/>
        <v>-2674</v>
      </c>
      <c r="DX11" s="9">
        <f t="shared" si="50"/>
        <v>-2085</v>
      </c>
      <c r="DY11" s="9">
        <f t="shared" si="50"/>
        <v>-1889</v>
      </c>
      <c r="DZ11" s="9">
        <f t="shared" si="50"/>
        <v>-1505</v>
      </c>
      <c r="EA11" s="9">
        <f t="shared" si="50"/>
        <v>-2682</v>
      </c>
      <c r="EB11" s="9">
        <f t="shared" si="50"/>
        <v>-1877</v>
      </c>
      <c r="EC11" s="9">
        <f t="shared" si="50"/>
        <v>-2463</v>
      </c>
      <c r="ED11" s="9">
        <f t="shared" si="50"/>
        <v>-1173</v>
      </c>
      <c r="EE11" s="9">
        <f t="shared" si="50"/>
        <v>-2456</v>
      </c>
      <c r="EF11" s="9">
        <f t="shared" si="50"/>
        <v>-1599</v>
      </c>
      <c r="EG11" s="9">
        <f t="shared" si="50"/>
        <v>-2610</v>
      </c>
      <c r="EH11" s="9">
        <f t="shared" si="50"/>
        <v>-2531</v>
      </c>
      <c r="EI11" s="9">
        <f t="shared" si="50"/>
        <v>-1669</v>
      </c>
      <c r="EJ11" s="9">
        <f t="shared" si="50"/>
        <v>-2043</v>
      </c>
      <c r="EK11" s="9">
        <f t="shared" si="50"/>
        <v>-1960</v>
      </c>
      <c r="EL11" s="9">
        <f t="shared" si="50"/>
        <v>-1921</v>
      </c>
      <c r="EM11" s="9">
        <f t="shared" si="50"/>
        <v>-1994</v>
      </c>
      <c r="EN11" s="9">
        <f t="shared" ref="EN11:EQ11" si="51">EN3-EN10</f>
        <v>-2343</v>
      </c>
      <c r="EO11" s="9">
        <f t="shared" si="51"/>
        <v>-1959</v>
      </c>
      <c r="EP11" s="9">
        <f t="shared" si="51"/>
        <v>-2316</v>
      </c>
      <c r="EQ11" s="9">
        <f t="shared" si="51"/>
        <v>-2452</v>
      </c>
      <c r="ER11" s="9">
        <f t="shared" ref="ER11:FC11" si="52">ER3-ER10</f>
        <v>-2299</v>
      </c>
      <c r="ES11" s="9">
        <f t="shared" si="52"/>
        <v>-2452</v>
      </c>
      <c r="ET11" s="9">
        <f t="shared" si="52"/>
        <v>-2269</v>
      </c>
      <c r="EU11" s="9">
        <f t="shared" si="52"/>
        <v>-1326</v>
      </c>
      <c r="EV11" s="9">
        <f t="shared" si="52"/>
        <v>-1324</v>
      </c>
      <c r="EW11" s="9">
        <f t="shared" si="52"/>
        <v>-2291</v>
      </c>
      <c r="EX11" s="9">
        <f t="shared" si="52"/>
        <v>-2158</v>
      </c>
      <c r="EY11" s="9">
        <f t="shared" si="52"/>
        <v>-2180</v>
      </c>
      <c r="EZ11" s="9">
        <f t="shared" si="52"/>
        <v>-2434</v>
      </c>
      <c r="FA11" s="9">
        <f t="shared" si="52"/>
        <v>-2688</v>
      </c>
      <c r="FB11" s="9">
        <f t="shared" si="52"/>
        <v>-2318</v>
      </c>
      <c r="FC11" s="9">
        <f t="shared" si="52"/>
        <v>-2688</v>
      </c>
      <c r="FD11" s="9">
        <f t="shared" ref="FD11:GL11" si="53">FD3-FD10</f>
        <v>-2590</v>
      </c>
      <c r="FE11" s="9">
        <f t="shared" si="53"/>
        <v>-2688</v>
      </c>
      <c r="FF11" s="9">
        <f t="shared" si="53"/>
        <v>-2516</v>
      </c>
      <c r="FG11" s="9">
        <f t="shared" si="53"/>
        <v>-2675</v>
      </c>
      <c r="FH11" s="9">
        <f t="shared" si="53"/>
        <v>1472</v>
      </c>
      <c r="FI11" s="9">
        <f t="shared" si="53"/>
        <v>-2230</v>
      </c>
      <c r="FJ11" s="9">
        <f t="shared" si="53"/>
        <v>-2662</v>
      </c>
      <c r="FK11" s="9">
        <f t="shared" si="53"/>
        <v>-2019</v>
      </c>
      <c r="FL11" s="9">
        <f t="shared" si="53"/>
        <v>-2679</v>
      </c>
      <c r="FM11" s="9">
        <f t="shared" si="53"/>
        <v>-2532</v>
      </c>
      <c r="FN11" s="9">
        <f t="shared" si="53"/>
        <v>-2248</v>
      </c>
      <c r="FO11" s="9">
        <f t="shared" si="53"/>
        <v>-1842</v>
      </c>
      <c r="FP11" s="9">
        <f t="shared" si="53"/>
        <v>-1806</v>
      </c>
      <c r="FQ11" s="9">
        <f t="shared" si="53"/>
        <v>-1052</v>
      </c>
      <c r="FR11" s="9">
        <f t="shared" si="53"/>
        <v>-2688</v>
      </c>
      <c r="FS11" s="9">
        <f t="shared" si="53"/>
        <v>-1441</v>
      </c>
      <c r="FT11" s="9">
        <f t="shared" si="53"/>
        <v>-1903</v>
      </c>
      <c r="FU11" s="9">
        <f t="shared" si="53"/>
        <v>-2688</v>
      </c>
      <c r="FV11" s="9">
        <f t="shared" si="53"/>
        <v>-2617</v>
      </c>
      <c r="FW11" s="9">
        <f t="shared" si="53"/>
        <v>-2683</v>
      </c>
      <c r="FX11" s="9">
        <f t="shared" si="53"/>
        <v>-2659</v>
      </c>
      <c r="FY11" s="9">
        <f t="shared" si="53"/>
        <v>-2688</v>
      </c>
      <c r="FZ11" s="9">
        <f t="shared" si="53"/>
        <v>-1884</v>
      </c>
      <c r="GA11" s="9">
        <f t="shared" si="53"/>
        <v>-2656</v>
      </c>
      <c r="GB11" s="9">
        <f t="shared" si="53"/>
        <v>-2683</v>
      </c>
      <c r="GC11" s="9">
        <f t="shared" si="53"/>
        <v>-2688</v>
      </c>
      <c r="GD11" s="9">
        <f t="shared" si="53"/>
        <v>-2112</v>
      </c>
      <c r="GE11" s="9">
        <f t="shared" si="53"/>
        <v>-1461</v>
      </c>
      <c r="GF11" s="9">
        <f t="shared" si="53"/>
        <v>-2041</v>
      </c>
      <c r="GG11" s="9">
        <f t="shared" si="53"/>
        <v>-1841</v>
      </c>
      <c r="GH11" s="9">
        <f t="shared" si="53"/>
        <v>-2443</v>
      </c>
      <c r="GI11" s="9">
        <f t="shared" si="53"/>
        <v>-2603</v>
      </c>
      <c r="GJ11" s="9">
        <f t="shared" si="53"/>
        <v>-1298</v>
      </c>
      <c r="GK11" s="9">
        <f t="shared" si="53"/>
        <v>-1607</v>
      </c>
      <c r="GL11" s="9">
        <f t="shared" si="53"/>
        <v>-1965</v>
      </c>
      <c r="GM11" s="9">
        <f t="shared" ref="GM11:GR11" si="54">GM3-GM10</f>
        <v>-472</v>
      </c>
      <c r="GN11" s="9">
        <f t="shared" si="54"/>
        <v>-2603</v>
      </c>
      <c r="GO11" s="9">
        <f t="shared" si="54"/>
        <v>-1725</v>
      </c>
      <c r="GP11" s="9">
        <f t="shared" si="54"/>
        <v>-2688</v>
      </c>
      <c r="GQ11" s="9">
        <f t="shared" si="54"/>
        <v>-2688</v>
      </c>
      <c r="GR11" s="9">
        <f t="shared" si="54"/>
        <v>-2099</v>
      </c>
    </row>
    <row r="12" spans="1:200" ht="19.149999999999999">
      <c r="A12" s="7" t="s">
        <v>252</v>
      </c>
      <c r="B12" s="7" t="s">
        <v>253</v>
      </c>
      <c r="C12" s="70"/>
      <c r="D12" s="8">
        <f t="shared" ref="D12:BO12" si="55">$B$4*8*21</f>
        <v>3528</v>
      </c>
      <c r="E12" s="8">
        <f t="shared" si="55"/>
        <v>3528</v>
      </c>
      <c r="F12" s="8">
        <f t="shared" si="55"/>
        <v>3528</v>
      </c>
      <c r="G12" s="8">
        <f t="shared" si="55"/>
        <v>3528</v>
      </c>
      <c r="H12" s="8">
        <f t="shared" si="55"/>
        <v>3528</v>
      </c>
      <c r="I12" s="8">
        <f t="shared" si="55"/>
        <v>3528</v>
      </c>
      <c r="J12" s="8">
        <f t="shared" si="55"/>
        <v>3528</v>
      </c>
      <c r="K12" s="8">
        <f t="shared" si="55"/>
        <v>3528</v>
      </c>
      <c r="L12" s="8">
        <f t="shared" si="55"/>
        <v>3528</v>
      </c>
      <c r="M12" s="8">
        <f t="shared" si="55"/>
        <v>3528</v>
      </c>
      <c r="N12" s="8">
        <f t="shared" si="55"/>
        <v>3528</v>
      </c>
      <c r="O12" s="8">
        <f t="shared" si="55"/>
        <v>3528</v>
      </c>
      <c r="P12" s="8">
        <f t="shared" si="55"/>
        <v>3528</v>
      </c>
      <c r="Q12" s="8">
        <f t="shared" si="55"/>
        <v>3528</v>
      </c>
      <c r="R12" s="8">
        <f t="shared" si="55"/>
        <v>3528</v>
      </c>
      <c r="S12" s="8">
        <f t="shared" si="55"/>
        <v>3528</v>
      </c>
      <c r="T12" s="8">
        <f t="shared" si="55"/>
        <v>3528</v>
      </c>
      <c r="U12" s="8">
        <f t="shared" si="55"/>
        <v>3528</v>
      </c>
      <c r="V12" s="8">
        <f t="shared" si="55"/>
        <v>3528</v>
      </c>
      <c r="W12" s="8">
        <f t="shared" si="55"/>
        <v>3528</v>
      </c>
      <c r="X12" s="8">
        <f t="shared" si="55"/>
        <v>3528</v>
      </c>
      <c r="Y12" s="8">
        <f t="shared" si="55"/>
        <v>3528</v>
      </c>
      <c r="Z12" s="8">
        <f t="shared" si="55"/>
        <v>3528</v>
      </c>
      <c r="AA12" s="8">
        <f t="shared" si="55"/>
        <v>3528</v>
      </c>
      <c r="AB12" s="8">
        <f t="shared" si="55"/>
        <v>3528</v>
      </c>
      <c r="AC12" s="8">
        <f t="shared" si="55"/>
        <v>3528</v>
      </c>
      <c r="AD12" s="8">
        <f t="shared" si="55"/>
        <v>3528</v>
      </c>
      <c r="AE12" s="8">
        <f t="shared" si="55"/>
        <v>3528</v>
      </c>
      <c r="AF12" s="8">
        <f t="shared" si="55"/>
        <v>3528</v>
      </c>
      <c r="AG12" s="8">
        <f t="shared" si="55"/>
        <v>3528</v>
      </c>
      <c r="AH12" s="8">
        <f t="shared" si="55"/>
        <v>3528</v>
      </c>
      <c r="AI12" s="8">
        <f t="shared" si="55"/>
        <v>3528</v>
      </c>
      <c r="AJ12" s="8">
        <f t="shared" si="55"/>
        <v>3528</v>
      </c>
      <c r="AK12" s="8">
        <f t="shared" si="55"/>
        <v>3528</v>
      </c>
      <c r="AL12" s="8">
        <f t="shared" si="55"/>
        <v>3528</v>
      </c>
      <c r="AM12" s="8">
        <f t="shared" si="55"/>
        <v>3528</v>
      </c>
      <c r="AN12" s="8">
        <f t="shared" si="55"/>
        <v>3528</v>
      </c>
      <c r="AO12" s="8">
        <f t="shared" si="55"/>
        <v>3528</v>
      </c>
      <c r="AP12" s="8">
        <f t="shared" si="55"/>
        <v>3528</v>
      </c>
      <c r="AQ12" s="8">
        <f t="shared" si="55"/>
        <v>3528</v>
      </c>
      <c r="AR12" s="8">
        <f t="shared" si="55"/>
        <v>3528</v>
      </c>
      <c r="AS12" s="8">
        <f t="shared" si="55"/>
        <v>3528</v>
      </c>
      <c r="AT12" s="8">
        <f t="shared" si="55"/>
        <v>3528</v>
      </c>
      <c r="AU12" s="8">
        <f t="shared" si="55"/>
        <v>3528</v>
      </c>
      <c r="AV12" s="8">
        <f t="shared" si="55"/>
        <v>3528</v>
      </c>
      <c r="AW12" s="8">
        <f t="shared" si="55"/>
        <v>3528</v>
      </c>
      <c r="AX12" s="8">
        <f t="shared" si="55"/>
        <v>3528</v>
      </c>
      <c r="AY12" s="8">
        <f t="shared" si="55"/>
        <v>3528</v>
      </c>
      <c r="AZ12" s="8">
        <f t="shared" si="55"/>
        <v>3528</v>
      </c>
      <c r="BA12" s="8">
        <f t="shared" si="55"/>
        <v>3528</v>
      </c>
      <c r="BB12" s="8">
        <f t="shared" si="55"/>
        <v>3528</v>
      </c>
      <c r="BC12" s="8">
        <f t="shared" si="55"/>
        <v>3528</v>
      </c>
      <c r="BD12" s="8">
        <f t="shared" si="55"/>
        <v>3528</v>
      </c>
      <c r="BE12" s="8">
        <f t="shared" si="55"/>
        <v>3528</v>
      </c>
      <c r="BF12" s="8">
        <f t="shared" si="55"/>
        <v>3528</v>
      </c>
      <c r="BG12" s="8">
        <f t="shared" si="55"/>
        <v>3528</v>
      </c>
      <c r="BH12" s="8">
        <f t="shared" si="55"/>
        <v>3528</v>
      </c>
      <c r="BI12" s="8">
        <f t="shared" si="55"/>
        <v>3528</v>
      </c>
      <c r="BJ12" s="8">
        <f t="shared" si="55"/>
        <v>3528</v>
      </c>
      <c r="BK12" s="8">
        <f t="shared" si="55"/>
        <v>3528</v>
      </c>
      <c r="BL12" s="8">
        <f t="shared" si="55"/>
        <v>3528</v>
      </c>
      <c r="BM12" s="8">
        <f t="shared" si="55"/>
        <v>3528</v>
      </c>
      <c r="BN12" s="8">
        <f t="shared" si="55"/>
        <v>3528</v>
      </c>
      <c r="BO12" s="8">
        <f t="shared" si="55"/>
        <v>3528</v>
      </c>
      <c r="BP12" s="8">
        <f t="shared" ref="BP12:EA12" si="56">$B$4*8*21</f>
        <v>3528</v>
      </c>
      <c r="BQ12" s="8">
        <f t="shared" si="56"/>
        <v>3528</v>
      </c>
      <c r="BR12" s="8">
        <f t="shared" si="56"/>
        <v>3528</v>
      </c>
      <c r="BS12" s="8">
        <f t="shared" si="56"/>
        <v>3528</v>
      </c>
      <c r="BT12" s="8">
        <f t="shared" si="56"/>
        <v>3528</v>
      </c>
      <c r="BU12" s="8">
        <f t="shared" si="56"/>
        <v>3528</v>
      </c>
      <c r="BV12" s="8">
        <f t="shared" si="56"/>
        <v>3528</v>
      </c>
      <c r="BW12" s="8">
        <f t="shared" si="56"/>
        <v>3528</v>
      </c>
      <c r="BX12" s="8">
        <f t="shared" si="56"/>
        <v>3528</v>
      </c>
      <c r="BY12" s="8">
        <f t="shared" si="56"/>
        <v>3528</v>
      </c>
      <c r="BZ12" s="8">
        <f t="shared" si="56"/>
        <v>3528</v>
      </c>
      <c r="CA12" s="8">
        <f t="shared" si="56"/>
        <v>3528</v>
      </c>
      <c r="CB12" s="8">
        <f t="shared" si="56"/>
        <v>3528</v>
      </c>
      <c r="CC12" s="8">
        <f t="shared" si="56"/>
        <v>3528</v>
      </c>
      <c r="CD12" s="8">
        <f t="shared" si="56"/>
        <v>3528</v>
      </c>
      <c r="CE12" s="8">
        <f t="shared" si="56"/>
        <v>3528</v>
      </c>
      <c r="CF12" s="8">
        <f t="shared" si="56"/>
        <v>3528</v>
      </c>
      <c r="CG12" s="8">
        <f t="shared" si="56"/>
        <v>3528</v>
      </c>
      <c r="CH12" s="8">
        <f t="shared" si="56"/>
        <v>3528</v>
      </c>
      <c r="CI12" s="8">
        <f t="shared" si="56"/>
        <v>3528</v>
      </c>
      <c r="CJ12" s="8">
        <f t="shared" si="56"/>
        <v>3528</v>
      </c>
      <c r="CK12" s="8">
        <f t="shared" si="56"/>
        <v>3528</v>
      </c>
      <c r="CL12" s="8">
        <f t="shared" si="56"/>
        <v>3528</v>
      </c>
      <c r="CM12" s="8">
        <f t="shared" si="56"/>
        <v>3528</v>
      </c>
      <c r="CN12" s="8">
        <f t="shared" si="56"/>
        <v>3528</v>
      </c>
      <c r="CO12" s="8">
        <f t="shared" si="56"/>
        <v>3528</v>
      </c>
      <c r="CP12" s="8">
        <f t="shared" si="56"/>
        <v>3528</v>
      </c>
      <c r="CQ12" s="8">
        <f t="shared" si="56"/>
        <v>3528</v>
      </c>
      <c r="CR12" s="8">
        <f t="shared" si="56"/>
        <v>3528</v>
      </c>
      <c r="CS12" s="8">
        <f t="shared" si="56"/>
        <v>3528</v>
      </c>
      <c r="CT12" s="8">
        <f t="shared" si="56"/>
        <v>3528</v>
      </c>
      <c r="CU12" s="8">
        <f t="shared" si="56"/>
        <v>3528</v>
      </c>
      <c r="CV12" s="8">
        <f t="shared" si="56"/>
        <v>3528</v>
      </c>
      <c r="CW12" s="8">
        <f t="shared" si="56"/>
        <v>3528</v>
      </c>
      <c r="CX12" s="8">
        <f t="shared" si="56"/>
        <v>3528</v>
      </c>
      <c r="CY12" s="8">
        <f t="shared" si="56"/>
        <v>3528</v>
      </c>
      <c r="CZ12" s="8">
        <f t="shared" si="56"/>
        <v>3528</v>
      </c>
      <c r="DA12" s="8">
        <f t="shared" si="56"/>
        <v>3528</v>
      </c>
      <c r="DB12" s="8">
        <f t="shared" si="56"/>
        <v>3528</v>
      </c>
      <c r="DC12" s="8">
        <f t="shared" si="56"/>
        <v>3528</v>
      </c>
      <c r="DD12" s="8">
        <f t="shared" si="56"/>
        <v>3528</v>
      </c>
      <c r="DE12" s="8">
        <f t="shared" si="56"/>
        <v>3528</v>
      </c>
      <c r="DF12" s="8">
        <f t="shared" si="56"/>
        <v>3528</v>
      </c>
      <c r="DG12" s="8">
        <f t="shared" si="56"/>
        <v>3528</v>
      </c>
      <c r="DH12" s="8">
        <f t="shared" si="56"/>
        <v>3528</v>
      </c>
      <c r="DI12" s="8">
        <f t="shared" si="56"/>
        <v>3528</v>
      </c>
      <c r="DJ12" s="8">
        <f t="shared" si="56"/>
        <v>3528</v>
      </c>
      <c r="DK12" s="8">
        <f t="shared" si="56"/>
        <v>3528</v>
      </c>
      <c r="DL12" s="8">
        <f t="shared" si="56"/>
        <v>3528</v>
      </c>
      <c r="DM12" s="8">
        <f t="shared" si="56"/>
        <v>3528</v>
      </c>
      <c r="DN12" s="8">
        <f t="shared" si="56"/>
        <v>3528</v>
      </c>
      <c r="DO12" s="8">
        <f t="shared" si="56"/>
        <v>3528</v>
      </c>
      <c r="DP12" s="8">
        <f t="shared" si="56"/>
        <v>3528</v>
      </c>
      <c r="DQ12" s="8">
        <f t="shared" si="56"/>
        <v>3528</v>
      </c>
      <c r="DR12" s="8">
        <f t="shared" si="56"/>
        <v>3528</v>
      </c>
      <c r="DS12" s="8">
        <f t="shared" si="56"/>
        <v>3528</v>
      </c>
      <c r="DT12" s="8">
        <f t="shared" si="56"/>
        <v>3528</v>
      </c>
      <c r="DU12" s="8">
        <f t="shared" si="56"/>
        <v>3528</v>
      </c>
      <c r="DV12" s="8">
        <f t="shared" si="56"/>
        <v>3528</v>
      </c>
      <c r="DW12" s="8">
        <f t="shared" si="56"/>
        <v>3528</v>
      </c>
      <c r="DX12" s="8">
        <f t="shared" si="56"/>
        <v>3528</v>
      </c>
      <c r="DY12" s="8">
        <f t="shared" si="56"/>
        <v>3528</v>
      </c>
      <c r="DZ12" s="8">
        <f t="shared" si="56"/>
        <v>3528</v>
      </c>
      <c r="EA12" s="8">
        <f t="shared" si="56"/>
        <v>3528</v>
      </c>
      <c r="EB12" s="8">
        <f t="shared" ref="EB12:GN12" si="57">$B$4*8*21</f>
        <v>3528</v>
      </c>
      <c r="EC12" s="8">
        <f t="shared" si="57"/>
        <v>3528</v>
      </c>
      <c r="ED12" s="8">
        <f t="shared" si="57"/>
        <v>3528</v>
      </c>
      <c r="EE12" s="8">
        <f t="shared" si="57"/>
        <v>3528</v>
      </c>
      <c r="EF12" s="8">
        <f t="shared" si="57"/>
        <v>3528</v>
      </c>
      <c r="EG12" s="8">
        <f t="shared" si="57"/>
        <v>3528</v>
      </c>
      <c r="EH12" s="8">
        <f t="shared" si="57"/>
        <v>3528</v>
      </c>
      <c r="EI12" s="8">
        <f t="shared" si="57"/>
        <v>3528</v>
      </c>
      <c r="EJ12" s="8">
        <f t="shared" si="57"/>
        <v>3528</v>
      </c>
      <c r="EK12" s="8">
        <f t="shared" si="57"/>
        <v>3528</v>
      </c>
      <c r="EL12" s="8">
        <f t="shared" si="57"/>
        <v>3528</v>
      </c>
      <c r="EM12" s="8">
        <f t="shared" si="57"/>
        <v>3528</v>
      </c>
      <c r="EN12" s="8">
        <f t="shared" si="57"/>
        <v>3528</v>
      </c>
      <c r="EO12" s="8">
        <f t="shared" si="57"/>
        <v>3528</v>
      </c>
      <c r="EP12" s="8">
        <f t="shared" si="57"/>
        <v>3528</v>
      </c>
      <c r="EQ12" s="8">
        <f t="shared" si="57"/>
        <v>3528</v>
      </c>
      <c r="ER12" s="8">
        <f t="shared" si="57"/>
        <v>3528</v>
      </c>
      <c r="ES12" s="8">
        <f t="shared" si="57"/>
        <v>3528</v>
      </c>
      <c r="ET12" s="8">
        <f t="shared" si="57"/>
        <v>3528</v>
      </c>
      <c r="EU12" s="8">
        <f t="shared" si="57"/>
        <v>3528</v>
      </c>
      <c r="EV12" s="8">
        <f t="shared" si="57"/>
        <v>3528</v>
      </c>
      <c r="EW12" s="8">
        <f t="shared" si="57"/>
        <v>3528</v>
      </c>
      <c r="EX12" s="8">
        <f t="shared" si="57"/>
        <v>3528</v>
      </c>
      <c r="EY12" s="8">
        <f t="shared" si="57"/>
        <v>3528</v>
      </c>
      <c r="EZ12" s="8">
        <f t="shared" si="57"/>
        <v>3528</v>
      </c>
      <c r="FA12" s="8">
        <f t="shared" si="57"/>
        <v>3528</v>
      </c>
      <c r="FB12" s="8">
        <f t="shared" si="57"/>
        <v>3528</v>
      </c>
      <c r="FC12" s="8">
        <f t="shared" si="57"/>
        <v>3528</v>
      </c>
      <c r="FD12" s="8">
        <f t="shared" si="57"/>
        <v>3528</v>
      </c>
      <c r="FE12" s="8">
        <f t="shared" si="57"/>
        <v>3528</v>
      </c>
      <c r="FF12" s="8">
        <f t="shared" si="57"/>
        <v>3528</v>
      </c>
      <c r="FG12" s="8">
        <f t="shared" si="57"/>
        <v>3528</v>
      </c>
      <c r="FH12" s="8">
        <f t="shared" si="57"/>
        <v>3528</v>
      </c>
      <c r="FI12" s="8">
        <f t="shared" si="57"/>
        <v>3528</v>
      </c>
      <c r="FJ12" s="8">
        <f t="shared" si="57"/>
        <v>3528</v>
      </c>
      <c r="FK12" s="8">
        <f t="shared" si="57"/>
        <v>3528</v>
      </c>
      <c r="FL12" s="8">
        <f t="shared" si="57"/>
        <v>3528</v>
      </c>
      <c r="FM12" s="8">
        <f t="shared" si="57"/>
        <v>3528</v>
      </c>
      <c r="FN12" s="8">
        <f t="shared" si="57"/>
        <v>3528</v>
      </c>
      <c r="FO12" s="8">
        <f t="shared" si="57"/>
        <v>3528</v>
      </c>
      <c r="FP12" s="8">
        <f t="shared" si="57"/>
        <v>3528</v>
      </c>
      <c r="FQ12" s="8">
        <f t="shared" si="57"/>
        <v>3528</v>
      </c>
      <c r="FR12" s="8">
        <f t="shared" si="57"/>
        <v>3528</v>
      </c>
      <c r="FS12" s="8">
        <f t="shared" si="57"/>
        <v>3528</v>
      </c>
      <c r="FT12" s="8">
        <f t="shared" si="57"/>
        <v>3528</v>
      </c>
      <c r="FU12" s="8">
        <f t="shared" si="57"/>
        <v>3528</v>
      </c>
      <c r="FV12" s="8">
        <f t="shared" si="57"/>
        <v>3528</v>
      </c>
      <c r="FW12" s="8">
        <f t="shared" si="57"/>
        <v>3528</v>
      </c>
      <c r="FX12" s="8">
        <f t="shared" si="57"/>
        <v>3528</v>
      </c>
      <c r="FY12" s="8">
        <f t="shared" si="57"/>
        <v>3528</v>
      </c>
      <c r="FZ12" s="8">
        <f t="shared" si="57"/>
        <v>3528</v>
      </c>
      <c r="GA12" s="8">
        <f t="shared" si="57"/>
        <v>3528</v>
      </c>
      <c r="GB12" s="8">
        <f t="shared" si="57"/>
        <v>3528</v>
      </c>
      <c r="GC12" s="8">
        <f t="shared" si="57"/>
        <v>3528</v>
      </c>
      <c r="GD12" s="8">
        <f t="shared" si="57"/>
        <v>3528</v>
      </c>
      <c r="GE12" s="8">
        <f t="shared" si="57"/>
        <v>3528</v>
      </c>
      <c r="GF12" s="8">
        <f t="shared" si="57"/>
        <v>3528</v>
      </c>
      <c r="GG12" s="8">
        <f t="shared" si="57"/>
        <v>3528</v>
      </c>
      <c r="GH12" s="8">
        <f t="shared" si="57"/>
        <v>3528</v>
      </c>
      <c r="GI12" s="8">
        <f t="shared" si="57"/>
        <v>3528</v>
      </c>
      <c r="GJ12" s="8">
        <f t="shared" si="57"/>
        <v>3528</v>
      </c>
      <c r="GK12" s="8">
        <f t="shared" si="57"/>
        <v>3528</v>
      </c>
      <c r="GL12" s="8">
        <f t="shared" si="57"/>
        <v>3528</v>
      </c>
      <c r="GM12" s="8">
        <f t="shared" si="57"/>
        <v>3528</v>
      </c>
      <c r="GN12" s="8">
        <f t="shared" si="57"/>
        <v>3528</v>
      </c>
      <c r="GO12" s="8">
        <f t="shared" ref="GO12:GR12" si="58">$B$4*8*21</f>
        <v>3528</v>
      </c>
      <c r="GP12" s="8">
        <f t="shared" si="58"/>
        <v>3528</v>
      </c>
      <c r="GQ12" s="8">
        <f t="shared" si="58"/>
        <v>3528</v>
      </c>
      <c r="GR12" s="8">
        <f t="shared" si="58"/>
        <v>3528</v>
      </c>
    </row>
    <row r="13" spans="1:200" ht="19.899999999999999" thickBot="1">
      <c r="A13" s="225" t="s">
        <v>254</v>
      </c>
      <c r="B13" s="225"/>
      <c r="C13" s="70"/>
      <c r="D13" s="9">
        <f t="shared" ref="D13" si="59">D3-D12</f>
        <v>-3528</v>
      </c>
      <c r="E13" s="9">
        <f t="shared" ref="E13:BP13" si="60">E3-E12</f>
        <v>-2987</v>
      </c>
      <c r="F13" s="9">
        <f t="shared" si="60"/>
        <v>-3512</v>
      </c>
      <c r="G13" s="9">
        <f t="shared" si="60"/>
        <v>-3512</v>
      </c>
      <c r="H13" s="9">
        <f t="shared" si="60"/>
        <v>-2891</v>
      </c>
      <c r="I13" s="9">
        <f t="shared" si="60"/>
        <v>-2774</v>
      </c>
      <c r="J13" s="9">
        <f t="shared" si="60"/>
        <v>-3528</v>
      </c>
      <c r="K13" s="9">
        <f t="shared" si="60"/>
        <v>-3507</v>
      </c>
      <c r="L13" s="9">
        <f t="shared" si="60"/>
        <v>-3528</v>
      </c>
      <c r="M13" s="9">
        <f t="shared" si="60"/>
        <v>-3528</v>
      </c>
      <c r="N13" s="9">
        <f t="shared" si="60"/>
        <v>-2634</v>
      </c>
      <c r="O13" s="9">
        <f t="shared" si="60"/>
        <v>-2856</v>
      </c>
      <c r="P13" s="9">
        <f t="shared" si="60"/>
        <v>-3528</v>
      </c>
      <c r="Q13" s="9">
        <f t="shared" si="60"/>
        <v>-2861</v>
      </c>
      <c r="R13" s="9">
        <f t="shared" si="60"/>
        <v>-1410</v>
      </c>
      <c r="S13" s="9">
        <f t="shared" si="60"/>
        <v>-2619</v>
      </c>
      <c r="T13" s="9">
        <f t="shared" si="60"/>
        <v>-525</v>
      </c>
      <c r="U13" s="9">
        <f t="shared" si="60"/>
        <v>-3508</v>
      </c>
      <c r="V13" s="9">
        <f t="shared" si="60"/>
        <v>-3228</v>
      </c>
      <c r="W13" s="9">
        <f t="shared" si="60"/>
        <v>-3489</v>
      </c>
      <c r="X13" s="9">
        <f t="shared" si="60"/>
        <v>-3526</v>
      </c>
      <c r="Y13" s="9">
        <f t="shared" si="60"/>
        <v>-3148</v>
      </c>
      <c r="Z13" s="9">
        <f t="shared" si="60"/>
        <v>-2714</v>
      </c>
      <c r="AA13" s="9">
        <f t="shared" si="60"/>
        <v>-3125</v>
      </c>
      <c r="AB13" s="9">
        <f t="shared" si="60"/>
        <v>-3031</v>
      </c>
      <c r="AC13" s="9">
        <f t="shared" si="60"/>
        <v>-3528</v>
      </c>
      <c r="AD13" s="9">
        <f t="shared" si="60"/>
        <v>-2372</v>
      </c>
      <c r="AE13" s="9">
        <f t="shared" si="60"/>
        <v>-3405</v>
      </c>
      <c r="AF13" s="9">
        <f t="shared" si="60"/>
        <v>-3503</v>
      </c>
      <c r="AG13" s="9">
        <f t="shared" si="60"/>
        <v>-2735</v>
      </c>
      <c r="AH13" s="9">
        <f t="shared" si="60"/>
        <v>-3276</v>
      </c>
      <c r="AI13" s="9">
        <f t="shared" si="60"/>
        <v>-3289</v>
      </c>
      <c r="AJ13" s="9">
        <f t="shared" si="60"/>
        <v>-3528</v>
      </c>
      <c r="AK13" s="9">
        <f t="shared" si="60"/>
        <v>-3382</v>
      </c>
      <c r="AL13" s="9">
        <f t="shared" si="60"/>
        <v>-3528</v>
      </c>
      <c r="AM13" s="9">
        <f t="shared" si="60"/>
        <v>-3528</v>
      </c>
      <c r="AN13" s="9">
        <f t="shared" si="60"/>
        <v>-3348</v>
      </c>
      <c r="AO13" s="9">
        <f t="shared" si="60"/>
        <v>-3495</v>
      </c>
      <c r="AP13" s="9">
        <f t="shared" si="60"/>
        <v>-3235</v>
      </c>
      <c r="AQ13" s="9">
        <f t="shared" si="60"/>
        <v>-3422</v>
      </c>
      <c r="AR13" s="9">
        <f t="shared" si="60"/>
        <v>-3118</v>
      </c>
      <c r="AS13" s="9">
        <f t="shared" si="60"/>
        <v>-3528</v>
      </c>
      <c r="AT13" s="9">
        <f t="shared" si="60"/>
        <v>-2961</v>
      </c>
      <c r="AU13" s="9">
        <f t="shared" si="60"/>
        <v>-3357</v>
      </c>
      <c r="AV13" s="9">
        <f t="shared" si="60"/>
        <v>-3456</v>
      </c>
      <c r="AW13" s="9">
        <f t="shared" si="60"/>
        <v>-2702</v>
      </c>
      <c r="AX13" s="9">
        <f t="shared" si="60"/>
        <v>-2367</v>
      </c>
      <c r="AY13" s="9">
        <f t="shared" si="60"/>
        <v>-3470</v>
      </c>
      <c r="AZ13" s="9">
        <f t="shared" si="60"/>
        <v>-3276</v>
      </c>
      <c r="BA13" s="9">
        <f t="shared" si="60"/>
        <v>-2154</v>
      </c>
      <c r="BB13" s="9">
        <f t="shared" si="60"/>
        <v>-2625</v>
      </c>
      <c r="BC13" s="9">
        <f t="shared" si="60"/>
        <v>-3214</v>
      </c>
      <c r="BD13" s="9">
        <f t="shared" si="60"/>
        <v>-1792</v>
      </c>
      <c r="BE13" s="9">
        <f t="shared" si="60"/>
        <v>-2942</v>
      </c>
      <c r="BF13" s="9">
        <f t="shared" si="60"/>
        <v>-3528</v>
      </c>
      <c r="BG13" s="9">
        <f t="shared" si="60"/>
        <v>-2812</v>
      </c>
      <c r="BH13" s="9">
        <f t="shared" si="60"/>
        <v>-3425</v>
      </c>
      <c r="BI13" s="9">
        <f t="shared" si="60"/>
        <v>-2744</v>
      </c>
      <c r="BJ13" s="9">
        <f t="shared" si="60"/>
        <v>-3163</v>
      </c>
      <c r="BK13" s="9">
        <f t="shared" si="60"/>
        <v>-3524</v>
      </c>
      <c r="BL13" s="9">
        <f t="shared" si="60"/>
        <v>-2720</v>
      </c>
      <c r="BM13" s="9">
        <f t="shared" si="60"/>
        <v>-3518</v>
      </c>
      <c r="BN13" s="9">
        <f t="shared" si="60"/>
        <v>-3036</v>
      </c>
      <c r="BO13" s="9">
        <f t="shared" si="60"/>
        <v>-3010</v>
      </c>
      <c r="BP13" s="9">
        <f t="shared" si="60"/>
        <v>-3194</v>
      </c>
      <c r="BQ13" s="9">
        <f t="shared" ref="BQ13:DG13" si="61">BQ3-BQ12</f>
        <v>-3006</v>
      </c>
      <c r="BR13" s="9">
        <f t="shared" si="61"/>
        <v>-3528</v>
      </c>
      <c r="BS13" s="9">
        <f t="shared" si="61"/>
        <v>-3188</v>
      </c>
      <c r="BT13" s="9">
        <f t="shared" si="61"/>
        <v>-3528</v>
      </c>
      <c r="BU13" s="9">
        <f t="shared" si="61"/>
        <v>-2751</v>
      </c>
      <c r="BV13" s="9">
        <f t="shared" si="61"/>
        <v>-3170</v>
      </c>
      <c r="BW13" s="9">
        <f t="shared" si="61"/>
        <v>-2631</v>
      </c>
      <c r="BX13" s="9">
        <f t="shared" si="61"/>
        <v>-3528</v>
      </c>
      <c r="BY13" s="9">
        <f t="shared" si="61"/>
        <v>-3524</v>
      </c>
      <c r="BZ13" s="9">
        <f t="shared" si="61"/>
        <v>-2941</v>
      </c>
      <c r="CA13" s="9">
        <f t="shared" si="61"/>
        <v>-2535</v>
      </c>
      <c r="CB13" s="9">
        <f t="shared" si="61"/>
        <v>-2533</v>
      </c>
      <c r="CC13" s="9">
        <f t="shared" si="61"/>
        <v>-3047</v>
      </c>
      <c r="CD13" s="9">
        <f t="shared" si="61"/>
        <v>-120</v>
      </c>
      <c r="CE13" s="9">
        <f t="shared" si="61"/>
        <v>-3512</v>
      </c>
      <c r="CF13" s="9">
        <f t="shared" si="61"/>
        <v>-3358</v>
      </c>
      <c r="CG13" s="9">
        <f t="shared" si="61"/>
        <v>-3523</v>
      </c>
      <c r="CH13" s="9">
        <f t="shared" si="61"/>
        <v>-2563</v>
      </c>
      <c r="CI13" s="9">
        <f t="shared" si="61"/>
        <v>-3528</v>
      </c>
      <c r="CJ13" s="9">
        <f t="shared" si="61"/>
        <v>-233</v>
      </c>
      <c r="CK13" s="9">
        <f t="shared" si="61"/>
        <v>-3498</v>
      </c>
      <c r="CL13" s="9">
        <f t="shared" si="61"/>
        <v>-3527</v>
      </c>
      <c r="CM13" s="9">
        <f t="shared" si="61"/>
        <v>-3528</v>
      </c>
      <c r="CN13" s="9">
        <f t="shared" si="61"/>
        <v>-2688</v>
      </c>
      <c r="CO13" s="9">
        <f t="shared" si="61"/>
        <v>-3502</v>
      </c>
      <c r="CP13" s="9">
        <f t="shared" si="61"/>
        <v>-2935</v>
      </c>
      <c r="CQ13" s="9">
        <f t="shared" si="61"/>
        <v>-3528</v>
      </c>
      <c r="CR13" s="9">
        <f t="shared" si="61"/>
        <v>-3528</v>
      </c>
      <c r="CS13" s="9">
        <f t="shared" si="61"/>
        <v>-3421</v>
      </c>
      <c r="CT13" s="9">
        <f t="shared" si="61"/>
        <v>-2904</v>
      </c>
      <c r="CU13" s="9">
        <f t="shared" si="61"/>
        <v>-3508</v>
      </c>
      <c r="CV13" s="9">
        <f t="shared" si="61"/>
        <v>-3414</v>
      </c>
      <c r="CW13" s="9">
        <f t="shared" si="61"/>
        <v>-3518</v>
      </c>
      <c r="CX13" s="9">
        <f t="shared" si="61"/>
        <v>-3528</v>
      </c>
      <c r="CY13" s="9">
        <f t="shared" si="61"/>
        <v>-3419</v>
      </c>
      <c r="CZ13" s="9">
        <f t="shared" si="61"/>
        <v>-2961</v>
      </c>
      <c r="DA13" s="9">
        <f t="shared" si="61"/>
        <v>-2782</v>
      </c>
      <c r="DB13" s="9">
        <f t="shared" si="61"/>
        <v>-3528</v>
      </c>
      <c r="DC13" s="9">
        <f t="shared" si="61"/>
        <v>-3523</v>
      </c>
      <c r="DD13" s="9">
        <f t="shared" si="61"/>
        <v>-3032</v>
      </c>
      <c r="DE13" s="9">
        <f t="shared" si="61"/>
        <v>-3446</v>
      </c>
      <c r="DF13" s="9">
        <f t="shared" si="61"/>
        <v>-3528</v>
      </c>
      <c r="DG13" s="9">
        <f t="shared" si="61"/>
        <v>-2987</v>
      </c>
      <c r="DH13" s="9">
        <f t="shared" ref="DH13:EM13" si="62">DH3-DH12</f>
        <v>-3282</v>
      </c>
      <c r="DI13" s="9">
        <f t="shared" si="62"/>
        <v>-1709</v>
      </c>
      <c r="DJ13" s="9">
        <f t="shared" si="62"/>
        <v>-3514</v>
      </c>
      <c r="DK13" s="9">
        <f t="shared" si="62"/>
        <v>-179</v>
      </c>
      <c r="DL13" s="9">
        <f t="shared" si="62"/>
        <v>-3275</v>
      </c>
      <c r="DM13" s="9">
        <f t="shared" si="62"/>
        <v>-3223</v>
      </c>
      <c r="DN13" s="9">
        <f t="shared" si="62"/>
        <v>-2048</v>
      </c>
      <c r="DO13" s="9">
        <f t="shared" si="62"/>
        <v>-3394</v>
      </c>
      <c r="DP13" s="9">
        <f t="shared" si="62"/>
        <v>-3203</v>
      </c>
      <c r="DQ13" s="9">
        <f t="shared" si="62"/>
        <v>-2836</v>
      </c>
      <c r="DR13" s="9">
        <f t="shared" si="62"/>
        <v>-2259</v>
      </c>
      <c r="DS13" s="9">
        <f t="shared" si="62"/>
        <v>-2550</v>
      </c>
      <c r="DT13" s="9">
        <f t="shared" si="62"/>
        <v>-2460</v>
      </c>
      <c r="DU13" s="9">
        <f t="shared" si="62"/>
        <v>-3143</v>
      </c>
      <c r="DV13" s="9">
        <f t="shared" si="62"/>
        <v>-3516</v>
      </c>
      <c r="DW13" s="9">
        <f t="shared" si="62"/>
        <v>-3514</v>
      </c>
      <c r="DX13" s="9">
        <f t="shared" si="62"/>
        <v>-2925</v>
      </c>
      <c r="DY13" s="9">
        <f t="shared" si="62"/>
        <v>-2729</v>
      </c>
      <c r="DZ13" s="9">
        <f t="shared" si="62"/>
        <v>-2345</v>
      </c>
      <c r="EA13" s="9">
        <f t="shared" si="62"/>
        <v>-3522</v>
      </c>
      <c r="EB13" s="9">
        <f t="shared" si="62"/>
        <v>-2717</v>
      </c>
      <c r="EC13" s="9">
        <f t="shared" si="62"/>
        <v>-3303</v>
      </c>
      <c r="ED13" s="9">
        <f t="shared" si="62"/>
        <v>-2013</v>
      </c>
      <c r="EE13" s="9">
        <f t="shared" si="62"/>
        <v>-3296</v>
      </c>
      <c r="EF13" s="9">
        <f t="shared" si="62"/>
        <v>-2439</v>
      </c>
      <c r="EG13" s="9">
        <f t="shared" si="62"/>
        <v>-3450</v>
      </c>
      <c r="EH13" s="9">
        <f t="shared" si="62"/>
        <v>-3371</v>
      </c>
      <c r="EI13" s="9">
        <f t="shared" si="62"/>
        <v>-2509</v>
      </c>
      <c r="EJ13" s="9">
        <f t="shared" si="62"/>
        <v>-2883</v>
      </c>
      <c r="EK13" s="9">
        <f t="shared" si="62"/>
        <v>-2800</v>
      </c>
      <c r="EL13" s="9">
        <f t="shared" si="62"/>
        <v>-2761</v>
      </c>
      <c r="EM13" s="9">
        <f t="shared" si="62"/>
        <v>-2834</v>
      </c>
      <c r="EN13" s="9">
        <f t="shared" ref="EN13:EQ13" si="63">EN3-EN12</f>
        <v>-3183</v>
      </c>
      <c r="EO13" s="9">
        <f t="shared" si="63"/>
        <v>-2799</v>
      </c>
      <c r="EP13" s="9">
        <f t="shared" si="63"/>
        <v>-3156</v>
      </c>
      <c r="EQ13" s="9">
        <f t="shared" si="63"/>
        <v>-3292</v>
      </c>
      <c r="ER13" s="9">
        <f t="shared" ref="ER13:FC13" si="64">ER3-ER12</f>
        <v>-3139</v>
      </c>
      <c r="ES13" s="9">
        <f t="shared" si="64"/>
        <v>-3292</v>
      </c>
      <c r="ET13" s="9">
        <f t="shared" si="64"/>
        <v>-3109</v>
      </c>
      <c r="EU13" s="9">
        <f t="shared" si="64"/>
        <v>-2166</v>
      </c>
      <c r="EV13" s="9">
        <f t="shared" si="64"/>
        <v>-2164</v>
      </c>
      <c r="EW13" s="9">
        <f t="shared" si="64"/>
        <v>-3131</v>
      </c>
      <c r="EX13" s="9">
        <f t="shared" si="64"/>
        <v>-2998</v>
      </c>
      <c r="EY13" s="9">
        <f t="shared" si="64"/>
        <v>-3020</v>
      </c>
      <c r="EZ13" s="9">
        <f t="shared" si="64"/>
        <v>-3274</v>
      </c>
      <c r="FA13" s="9">
        <f t="shared" si="64"/>
        <v>-3528</v>
      </c>
      <c r="FB13" s="9">
        <f t="shared" si="64"/>
        <v>-3158</v>
      </c>
      <c r="FC13" s="9">
        <f t="shared" si="64"/>
        <v>-3528</v>
      </c>
      <c r="FD13" s="9">
        <f t="shared" ref="FD13:GL13" si="65">FD3-FD12</f>
        <v>-3430</v>
      </c>
      <c r="FE13" s="9">
        <f t="shared" si="65"/>
        <v>-3528</v>
      </c>
      <c r="FF13" s="9">
        <f t="shared" si="65"/>
        <v>-3356</v>
      </c>
      <c r="FG13" s="9">
        <f t="shared" si="65"/>
        <v>-3515</v>
      </c>
      <c r="FH13" s="9">
        <f t="shared" si="65"/>
        <v>632</v>
      </c>
      <c r="FI13" s="9">
        <f t="shared" si="65"/>
        <v>-3070</v>
      </c>
      <c r="FJ13" s="9">
        <f t="shared" si="65"/>
        <v>-3502</v>
      </c>
      <c r="FK13" s="9">
        <f t="shared" si="65"/>
        <v>-2859</v>
      </c>
      <c r="FL13" s="9">
        <f t="shared" si="65"/>
        <v>-3519</v>
      </c>
      <c r="FM13" s="9">
        <f t="shared" si="65"/>
        <v>-3372</v>
      </c>
      <c r="FN13" s="9">
        <f t="shared" si="65"/>
        <v>-3088</v>
      </c>
      <c r="FO13" s="9">
        <f t="shared" si="65"/>
        <v>-2682</v>
      </c>
      <c r="FP13" s="9">
        <f t="shared" si="65"/>
        <v>-2646</v>
      </c>
      <c r="FQ13" s="9">
        <f t="shared" si="65"/>
        <v>-1892</v>
      </c>
      <c r="FR13" s="9">
        <f t="shared" si="65"/>
        <v>-3528</v>
      </c>
      <c r="FS13" s="9">
        <f t="shared" si="65"/>
        <v>-2281</v>
      </c>
      <c r="FT13" s="9">
        <f t="shared" si="65"/>
        <v>-2743</v>
      </c>
      <c r="FU13" s="9">
        <f t="shared" si="65"/>
        <v>-3528</v>
      </c>
      <c r="FV13" s="9">
        <f t="shared" si="65"/>
        <v>-3457</v>
      </c>
      <c r="FW13" s="9">
        <f t="shared" si="65"/>
        <v>-3523</v>
      </c>
      <c r="FX13" s="9">
        <f t="shared" si="65"/>
        <v>-3499</v>
      </c>
      <c r="FY13" s="9">
        <f t="shared" si="65"/>
        <v>-3528</v>
      </c>
      <c r="FZ13" s="9">
        <f t="shared" si="65"/>
        <v>-2724</v>
      </c>
      <c r="GA13" s="9">
        <f t="shared" si="65"/>
        <v>-3496</v>
      </c>
      <c r="GB13" s="9">
        <f t="shared" si="65"/>
        <v>-3523</v>
      </c>
      <c r="GC13" s="9">
        <f t="shared" si="65"/>
        <v>-3528</v>
      </c>
      <c r="GD13" s="9">
        <f t="shared" si="65"/>
        <v>-2952</v>
      </c>
      <c r="GE13" s="9">
        <f t="shared" si="65"/>
        <v>-2301</v>
      </c>
      <c r="GF13" s="9">
        <f t="shared" si="65"/>
        <v>-2881</v>
      </c>
      <c r="GG13" s="9">
        <f t="shared" si="65"/>
        <v>-2681</v>
      </c>
      <c r="GH13" s="9">
        <f t="shared" si="65"/>
        <v>-3283</v>
      </c>
      <c r="GI13" s="9">
        <f t="shared" si="65"/>
        <v>-3443</v>
      </c>
      <c r="GJ13" s="9">
        <f t="shared" si="65"/>
        <v>-2138</v>
      </c>
      <c r="GK13" s="9">
        <f t="shared" si="65"/>
        <v>-2447</v>
      </c>
      <c r="GL13" s="9">
        <f t="shared" si="65"/>
        <v>-2805</v>
      </c>
      <c r="GM13" s="9">
        <f t="shared" ref="GM13:GR13" si="66">GM3-GM12</f>
        <v>-1312</v>
      </c>
      <c r="GN13" s="9">
        <f t="shared" si="66"/>
        <v>-3443</v>
      </c>
      <c r="GO13" s="9">
        <f t="shared" si="66"/>
        <v>-2565</v>
      </c>
      <c r="GP13" s="9">
        <f t="shared" si="66"/>
        <v>-3528</v>
      </c>
      <c r="GQ13" s="9">
        <f t="shared" si="66"/>
        <v>-3528</v>
      </c>
      <c r="GR13" s="9">
        <f t="shared" si="66"/>
        <v>-2939</v>
      </c>
    </row>
    <row r="14" spans="1:200" ht="16.149999999999999" thickBot="1">
      <c r="A14" s="227" t="s">
        <v>255</v>
      </c>
      <c r="B14" s="228"/>
      <c r="C14" s="229"/>
      <c r="D14" s="77">
        <f t="shared" ref="D14:BO14" si="67">$B$4-$D$15</f>
        <v>12</v>
      </c>
      <c r="E14" s="77">
        <f t="shared" si="67"/>
        <v>12</v>
      </c>
      <c r="F14" s="77">
        <f t="shared" si="67"/>
        <v>12</v>
      </c>
      <c r="G14" s="77">
        <f t="shared" si="67"/>
        <v>12</v>
      </c>
      <c r="H14" s="77">
        <f t="shared" si="67"/>
        <v>12</v>
      </c>
      <c r="I14" s="77">
        <f t="shared" si="67"/>
        <v>12</v>
      </c>
      <c r="J14" s="77">
        <f t="shared" si="67"/>
        <v>12</v>
      </c>
      <c r="K14" s="77">
        <f t="shared" si="67"/>
        <v>12</v>
      </c>
      <c r="L14" s="77">
        <f t="shared" si="67"/>
        <v>12</v>
      </c>
      <c r="M14" s="77">
        <f t="shared" si="67"/>
        <v>12</v>
      </c>
      <c r="N14" s="77">
        <f t="shared" si="67"/>
        <v>12</v>
      </c>
      <c r="O14" s="77">
        <f t="shared" si="67"/>
        <v>12</v>
      </c>
      <c r="P14" s="77">
        <f t="shared" si="67"/>
        <v>12</v>
      </c>
      <c r="Q14" s="77">
        <f t="shared" si="67"/>
        <v>12</v>
      </c>
      <c r="R14" s="77">
        <f t="shared" si="67"/>
        <v>12</v>
      </c>
      <c r="S14" s="77">
        <f t="shared" si="67"/>
        <v>12</v>
      </c>
      <c r="T14" s="77">
        <f t="shared" si="67"/>
        <v>12</v>
      </c>
      <c r="U14" s="77">
        <f t="shared" si="67"/>
        <v>12</v>
      </c>
      <c r="V14" s="77">
        <f t="shared" si="67"/>
        <v>12</v>
      </c>
      <c r="W14" s="77">
        <f t="shared" si="67"/>
        <v>12</v>
      </c>
      <c r="X14" s="77">
        <f t="shared" si="67"/>
        <v>12</v>
      </c>
      <c r="Y14" s="77">
        <f t="shared" si="67"/>
        <v>12</v>
      </c>
      <c r="Z14" s="77">
        <f t="shared" si="67"/>
        <v>12</v>
      </c>
      <c r="AA14" s="77">
        <f t="shared" si="67"/>
        <v>12</v>
      </c>
      <c r="AB14" s="77">
        <f t="shared" si="67"/>
        <v>12</v>
      </c>
      <c r="AC14" s="77">
        <f t="shared" si="67"/>
        <v>12</v>
      </c>
      <c r="AD14" s="77">
        <f t="shared" si="67"/>
        <v>12</v>
      </c>
      <c r="AE14" s="77">
        <f t="shared" si="67"/>
        <v>12</v>
      </c>
      <c r="AF14" s="77">
        <f t="shared" si="67"/>
        <v>12</v>
      </c>
      <c r="AG14" s="77">
        <f t="shared" si="67"/>
        <v>12</v>
      </c>
      <c r="AH14" s="77">
        <f t="shared" si="67"/>
        <v>12</v>
      </c>
      <c r="AI14" s="77">
        <f t="shared" si="67"/>
        <v>12</v>
      </c>
      <c r="AJ14" s="77">
        <f t="shared" si="67"/>
        <v>12</v>
      </c>
      <c r="AK14" s="77">
        <f t="shared" si="67"/>
        <v>12</v>
      </c>
      <c r="AL14" s="77">
        <f t="shared" si="67"/>
        <v>12</v>
      </c>
      <c r="AM14" s="77">
        <f t="shared" si="67"/>
        <v>12</v>
      </c>
      <c r="AN14" s="77">
        <f t="shared" si="67"/>
        <v>12</v>
      </c>
      <c r="AO14" s="77">
        <f t="shared" si="67"/>
        <v>12</v>
      </c>
      <c r="AP14" s="77">
        <f t="shared" si="67"/>
        <v>12</v>
      </c>
      <c r="AQ14" s="77">
        <f t="shared" si="67"/>
        <v>12</v>
      </c>
      <c r="AR14" s="77">
        <f t="shared" si="67"/>
        <v>12</v>
      </c>
      <c r="AS14" s="77">
        <f t="shared" si="67"/>
        <v>12</v>
      </c>
      <c r="AT14" s="77">
        <f t="shared" si="67"/>
        <v>12</v>
      </c>
      <c r="AU14" s="77">
        <f t="shared" si="67"/>
        <v>12</v>
      </c>
      <c r="AV14" s="77">
        <f t="shared" si="67"/>
        <v>12</v>
      </c>
      <c r="AW14" s="77">
        <f t="shared" si="67"/>
        <v>12</v>
      </c>
      <c r="AX14" s="77">
        <f t="shared" si="67"/>
        <v>12</v>
      </c>
      <c r="AY14" s="77">
        <f t="shared" si="67"/>
        <v>12</v>
      </c>
      <c r="AZ14" s="77">
        <f t="shared" si="67"/>
        <v>12</v>
      </c>
      <c r="BA14" s="77">
        <f t="shared" si="67"/>
        <v>12</v>
      </c>
      <c r="BB14" s="77">
        <f t="shared" si="67"/>
        <v>12</v>
      </c>
      <c r="BC14" s="77">
        <f t="shared" si="67"/>
        <v>12</v>
      </c>
      <c r="BD14" s="77">
        <f t="shared" si="67"/>
        <v>12</v>
      </c>
      <c r="BE14" s="77">
        <f t="shared" si="67"/>
        <v>12</v>
      </c>
      <c r="BF14" s="77">
        <f t="shared" si="67"/>
        <v>12</v>
      </c>
      <c r="BG14" s="77">
        <f t="shared" si="67"/>
        <v>12</v>
      </c>
      <c r="BH14" s="77">
        <f t="shared" si="67"/>
        <v>12</v>
      </c>
      <c r="BI14" s="77">
        <f t="shared" si="67"/>
        <v>12</v>
      </c>
      <c r="BJ14" s="77">
        <f t="shared" si="67"/>
        <v>12</v>
      </c>
      <c r="BK14" s="77">
        <f t="shared" si="67"/>
        <v>12</v>
      </c>
      <c r="BL14" s="77">
        <f t="shared" si="67"/>
        <v>12</v>
      </c>
      <c r="BM14" s="77">
        <f t="shared" si="67"/>
        <v>12</v>
      </c>
      <c r="BN14" s="77">
        <f t="shared" si="67"/>
        <v>12</v>
      </c>
      <c r="BO14" s="77">
        <f t="shared" si="67"/>
        <v>12</v>
      </c>
      <c r="BP14" s="77">
        <f t="shared" ref="BP14:EA14" si="68">$B$4-$D$15</f>
        <v>12</v>
      </c>
      <c r="BQ14" s="77">
        <f t="shared" si="68"/>
        <v>12</v>
      </c>
      <c r="BR14" s="77">
        <f t="shared" si="68"/>
        <v>12</v>
      </c>
      <c r="BS14" s="77">
        <f t="shared" si="68"/>
        <v>12</v>
      </c>
      <c r="BT14" s="77">
        <f t="shared" si="68"/>
        <v>12</v>
      </c>
      <c r="BU14" s="77">
        <f t="shared" si="68"/>
        <v>12</v>
      </c>
      <c r="BV14" s="77">
        <f t="shared" si="68"/>
        <v>12</v>
      </c>
      <c r="BW14" s="77">
        <f t="shared" si="68"/>
        <v>12</v>
      </c>
      <c r="BX14" s="77">
        <f t="shared" si="68"/>
        <v>12</v>
      </c>
      <c r="BY14" s="77">
        <f t="shared" si="68"/>
        <v>12</v>
      </c>
      <c r="BZ14" s="77">
        <f t="shared" si="68"/>
        <v>12</v>
      </c>
      <c r="CA14" s="77">
        <f t="shared" si="68"/>
        <v>12</v>
      </c>
      <c r="CB14" s="77">
        <f t="shared" si="68"/>
        <v>12</v>
      </c>
      <c r="CC14" s="77">
        <f t="shared" si="68"/>
        <v>12</v>
      </c>
      <c r="CD14" s="77">
        <f t="shared" si="68"/>
        <v>12</v>
      </c>
      <c r="CE14" s="77">
        <f t="shared" si="68"/>
        <v>12</v>
      </c>
      <c r="CF14" s="77">
        <f t="shared" si="68"/>
        <v>12</v>
      </c>
      <c r="CG14" s="77">
        <f t="shared" si="68"/>
        <v>12</v>
      </c>
      <c r="CH14" s="77">
        <f t="shared" si="68"/>
        <v>12</v>
      </c>
      <c r="CI14" s="77">
        <f t="shared" si="68"/>
        <v>12</v>
      </c>
      <c r="CJ14" s="77">
        <f t="shared" si="68"/>
        <v>12</v>
      </c>
      <c r="CK14" s="77">
        <f t="shared" si="68"/>
        <v>12</v>
      </c>
      <c r="CL14" s="77">
        <f t="shared" si="68"/>
        <v>12</v>
      </c>
      <c r="CM14" s="77">
        <f t="shared" si="68"/>
        <v>12</v>
      </c>
      <c r="CN14" s="77">
        <f t="shared" si="68"/>
        <v>12</v>
      </c>
      <c r="CO14" s="77">
        <f t="shared" si="68"/>
        <v>12</v>
      </c>
      <c r="CP14" s="77">
        <f t="shared" si="68"/>
        <v>12</v>
      </c>
      <c r="CQ14" s="77">
        <f t="shared" si="68"/>
        <v>12</v>
      </c>
      <c r="CR14" s="77">
        <f t="shared" si="68"/>
        <v>12</v>
      </c>
      <c r="CS14" s="77">
        <f t="shared" si="68"/>
        <v>12</v>
      </c>
      <c r="CT14" s="77">
        <f t="shared" si="68"/>
        <v>12</v>
      </c>
      <c r="CU14" s="77">
        <f t="shared" si="68"/>
        <v>12</v>
      </c>
      <c r="CV14" s="77">
        <f t="shared" si="68"/>
        <v>12</v>
      </c>
      <c r="CW14" s="77">
        <f t="shared" si="68"/>
        <v>12</v>
      </c>
      <c r="CX14" s="77">
        <f t="shared" si="68"/>
        <v>12</v>
      </c>
      <c r="CY14" s="77">
        <f t="shared" si="68"/>
        <v>12</v>
      </c>
      <c r="CZ14" s="77">
        <f t="shared" si="68"/>
        <v>12</v>
      </c>
      <c r="DA14" s="77">
        <f t="shared" si="68"/>
        <v>12</v>
      </c>
      <c r="DB14" s="77">
        <f t="shared" si="68"/>
        <v>12</v>
      </c>
      <c r="DC14" s="77">
        <f t="shared" si="68"/>
        <v>12</v>
      </c>
      <c r="DD14" s="77">
        <f t="shared" si="68"/>
        <v>12</v>
      </c>
      <c r="DE14" s="77">
        <f t="shared" si="68"/>
        <v>12</v>
      </c>
      <c r="DF14" s="77">
        <f t="shared" si="68"/>
        <v>12</v>
      </c>
      <c r="DG14" s="77">
        <f t="shared" si="68"/>
        <v>12</v>
      </c>
      <c r="DH14" s="77">
        <f t="shared" si="68"/>
        <v>12</v>
      </c>
      <c r="DI14" s="77">
        <f t="shared" si="68"/>
        <v>12</v>
      </c>
      <c r="DJ14" s="77">
        <f t="shared" si="68"/>
        <v>12</v>
      </c>
      <c r="DK14" s="77">
        <f t="shared" si="68"/>
        <v>12</v>
      </c>
      <c r="DL14" s="77">
        <f t="shared" si="68"/>
        <v>12</v>
      </c>
      <c r="DM14" s="77">
        <f t="shared" si="68"/>
        <v>12</v>
      </c>
      <c r="DN14" s="77">
        <f t="shared" si="68"/>
        <v>12</v>
      </c>
      <c r="DO14" s="77">
        <f t="shared" si="68"/>
        <v>12</v>
      </c>
      <c r="DP14" s="77">
        <f t="shared" si="68"/>
        <v>12</v>
      </c>
      <c r="DQ14" s="77">
        <f t="shared" si="68"/>
        <v>12</v>
      </c>
      <c r="DR14" s="77">
        <f t="shared" si="68"/>
        <v>12</v>
      </c>
      <c r="DS14" s="77">
        <f t="shared" si="68"/>
        <v>12</v>
      </c>
      <c r="DT14" s="77">
        <f t="shared" si="68"/>
        <v>12</v>
      </c>
      <c r="DU14" s="77">
        <f t="shared" si="68"/>
        <v>12</v>
      </c>
      <c r="DV14" s="77">
        <f t="shared" si="68"/>
        <v>12</v>
      </c>
      <c r="DW14" s="77">
        <f t="shared" si="68"/>
        <v>12</v>
      </c>
      <c r="DX14" s="77">
        <f t="shared" si="68"/>
        <v>12</v>
      </c>
      <c r="DY14" s="77">
        <f t="shared" si="68"/>
        <v>12</v>
      </c>
      <c r="DZ14" s="77">
        <f t="shared" si="68"/>
        <v>12</v>
      </c>
      <c r="EA14" s="77">
        <f t="shared" si="68"/>
        <v>12</v>
      </c>
      <c r="EB14" s="77">
        <f t="shared" ref="EB14:GN14" si="69">$B$4-$D$15</f>
        <v>12</v>
      </c>
      <c r="EC14" s="77">
        <f t="shared" si="69"/>
        <v>12</v>
      </c>
      <c r="ED14" s="77">
        <f t="shared" si="69"/>
        <v>12</v>
      </c>
      <c r="EE14" s="77">
        <f t="shared" si="69"/>
        <v>12</v>
      </c>
      <c r="EF14" s="77">
        <f t="shared" si="69"/>
        <v>12</v>
      </c>
      <c r="EG14" s="77">
        <f t="shared" si="69"/>
        <v>12</v>
      </c>
      <c r="EH14" s="77">
        <f t="shared" si="69"/>
        <v>12</v>
      </c>
      <c r="EI14" s="77">
        <f t="shared" si="69"/>
        <v>12</v>
      </c>
      <c r="EJ14" s="77">
        <f t="shared" si="69"/>
        <v>12</v>
      </c>
      <c r="EK14" s="77">
        <f t="shared" si="69"/>
        <v>12</v>
      </c>
      <c r="EL14" s="77">
        <f t="shared" si="69"/>
        <v>12</v>
      </c>
      <c r="EM14" s="77">
        <f t="shared" si="69"/>
        <v>12</v>
      </c>
      <c r="EN14" s="77">
        <f t="shared" si="69"/>
        <v>12</v>
      </c>
      <c r="EO14" s="77">
        <f t="shared" si="69"/>
        <v>12</v>
      </c>
      <c r="EP14" s="77">
        <f t="shared" si="69"/>
        <v>12</v>
      </c>
      <c r="EQ14" s="77">
        <f t="shared" si="69"/>
        <v>12</v>
      </c>
      <c r="ER14" s="77">
        <f t="shared" si="69"/>
        <v>12</v>
      </c>
      <c r="ES14" s="77">
        <f t="shared" si="69"/>
        <v>12</v>
      </c>
      <c r="ET14" s="77">
        <f t="shared" si="69"/>
        <v>12</v>
      </c>
      <c r="EU14" s="77">
        <f t="shared" si="69"/>
        <v>12</v>
      </c>
      <c r="EV14" s="77">
        <f t="shared" si="69"/>
        <v>12</v>
      </c>
      <c r="EW14" s="77">
        <f t="shared" si="69"/>
        <v>12</v>
      </c>
      <c r="EX14" s="77">
        <f t="shared" si="69"/>
        <v>12</v>
      </c>
      <c r="EY14" s="77">
        <f t="shared" si="69"/>
        <v>12</v>
      </c>
      <c r="EZ14" s="77">
        <f t="shared" si="69"/>
        <v>12</v>
      </c>
      <c r="FA14" s="77">
        <f t="shared" si="69"/>
        <v>12</v>
      </c>
      <c r="FB14" s="77">
        <f t="shared" si="69"/>
        <v>12</v>
      </c>
      <c r="FC14" s="77">
        <f t="shared" si="69"/>
        <v>12</v>
      </c>
      <c r="FD14" s="77">
        <f t="shared" si="69"/>
        <v>12</v>
      </c>
      <c r="FE14" s="77">
        <f t="shared" si="69"/>
        <v>12</v>
      </c>
      <c r="FF14" s="77">
        <f t="shared" si="69"/>
        <v>12</v>
      </c>
      <c r="FG14" s="77">
        <f t="shared" si="69"/>
        <v>12</v>
      </c>
      <c r="FH14" s="77">
        <f t="shared" si="69"/>
        <v>12</v>
      </c>
      <c r="FI14" s="77">
        <f t="shared" si="69"/>
        <v>12</v>
      </c>
      <c r="FJ14" s="77">
        <f t="shared" si="69"/>
        <v>12</v>
      </c>
      <c r="FK14" s="77">
        <f t="shared" si="69"/>
        <v>12</v>
      </c>
      <c r="FL14" s="77">
        <f t="shared" si="69"/>
        <v>12</v>
      </c>
      <c r="FM14" s="77">
        <f t="shared" si="69"/>
        <v>12</v>
      </c>
      <c r="FN14" s="77">
        <f t="shared" si="69"/>
        <v>12</v>
      </c>
      <c r="FO14" s="77">
        <f t="shared" si="69"/>
        <v>12</v>
      </c>
      <c r="FP14" s="77">
        <f t="shared" si="69"/>
        <v>12</v>
      </c>
      <c r="FQ14" s="77">
        <f t="shared" si="69"/>
        <v>12</v>
      </c>
      <c r="FR14" s="77">
        <f t="shared" si="69"/>
        <v>12</v>
      </c>
      <c r="FS14" s="77">
        <f t="shared" si="69"/>
        <v>12</v>
      </c>
      <c r="FT14" s="77">
        <f t="shared" si="69"/>
        <v>12</v>
      </c>
      <c r="FU14" s="77">
        <f t="shared" si="69"/>
        <v>12</v>
      </c>
      <c r="FV14" s="77">
        <f t="shared" si="69"/>
        <v>12</v>
      </c>
      <c r="FW14" s="77">
        <f t="shared" si="69"/>
        <v>12</v>
      </c>
      <c r="FX14" s="77">
        <f t="shared" si="69"/>
        <v>12</v>
      </c>
      <c r="FY14" s="77">
        <f t="shared" si="69"/>
        <v>12</v>
      </c>
      <c r="FZ14" s="77">
        <f t="shared" si="69"/>
        <v>12</v>
      </c>
      <c r="GA14" s="77">
        <f t="shared" si="69"/>
        <v>12</v>
      </c>
      <c r="GB14" s="77">
        <f t="shared" si="69"/>
        <v>12</v>
      </c>
      <c r="GC14" s="77">
        <f t="shared" si="69"/>
        <v>12</v>
      </c>
      <c r="GD14" s="77">
        <f t="shared" si="69"/>
        <v>12</v>
      </c>
      <c r="GE14" s="77">
        <f t="shared" si="69"/>
        <v>12</v>
      </c>
      <c r="GF14" s="77">
        <f t="shared" si="69"/>
        <v>12</v>
      </c>
      <c r="GG14" s="77">
        <f t="shared" si="69"/>
        <v>12</v>
      </c>
      <c r="GH14" s="77">
        <f t="shared" si="69"/>
        <v>12</v>
      </c>
      <c r="GI14" s="77">
        <f t="shared" si="69"/>
        <v>12</v>
      </c>
      <c r="GJ14" s="77">
        <f t="shared" si="69"/>
        <v>12</v>
      </c>
      <c r="GK14" s="77">
        <f t="shared" si="69"/>
        <v>12</v>
      </c>
      <c r="GL14" s="77">
        <f t="shared" si="69"/>
        <v>12</v>
      </c>
      <c r="GM14" s="77">
        <f t="shared" si="69"/>
        <v>12</v>
      </c>
      <c r="GN14" s="77">
        <f t="shared" si="69"/>
        <v>12</v>
      </c>
      <c r="GO14" s="77">
        <f t="shared" ref="GO14:GR14" si="70">$B$4-$D$15</f>
        <v>12</v>
      </c>
      <c r="GP14" s="77">
        <f t="shared" si="70"/>
        <v>12</v>
      </c>
      <c r="GQ14" s="77">
        <f t="shared" si="70"/>
        <v>12</v>
      </c>
      <c r="GR14" s="77">
        <f t="shared" si="70"/>
        <v>12</v>
      </c>
    </row>
    <row r="15" spans="1:200" ht="15.6">
      <c r="A15" s="12" t="s">
        <v>256</v>
      </c>
      <c r="B15" s="13" t="s">
        <v>257</v>
      </c>
      <c r="C15" s="70"/>
      <c r="D15" s="67">
        <f>B4-12</f>
        <v>9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  <c r="BV15" s="67"/>
      <c r="BW15" s="67"/>
      <c r="BX15" s="67"/>
      <c r="BY15" s="67"/>
      <c r="BZ15" s="67"/>
      <c r="CA15" s="67"/>
      <c r="CB15" s="67"/>
      <c r="CC15" s="67"/>
      <c r="CD15" s="67"/>
      <c r="CE15" s="67"/>
      <c r="CF15" s="67"/>
      <c r="CG15" s="67"/>
      <c r="CH15" s="70"/>
      <c r="CI15" s="70"/>
      <c r="CJ15" s="70"/>
      <c r="CK15" s="70"/>
      <c r="CL15" s="70"/>
      <c r="CM15" s="70"/>
      <c r="CN15" s="70"/>
      <c r="CO15" s="70"/>
      <c r="CP15" s="70"/>
      <c r="CQ15" s="70"/>
      <c r="CR15" s="70"/>
      <c r="CS15" s="70"/>
      <c r="CT15" s="70"/>
      <c r="CU15" s="70"/>
      <c r="CV15" s="70"/>
      <c r="CW15" s="70"/>
      <c r="CX15" s="70"/>
      <c r="CY15" s="70"/>
      <c r="CZ15" s="70"/>
      <c r="DA15" s="70"/>
      <c r="DB15" s="70"/>
      <c r="DC15" s="70"/>
      <c r="DD15" s="70"/>
      <c r="DE15" s="70"/>
      <c r="DF15" s="70"/>
      <c r="DG15" s="70"/>
      <c r="DH15" s="70"/>
      <c r="DI15" s="70"/>
      <c r="DJ15" s="70"/>
      <c r="DK15" s="70"/>
      <c r="DL15" s="70"/>
      <c r="DM15" s="70"/>
      <c r="DN15" s="70"/>
      <c r="DO15" s="70"/>
      <c r="DP15" s="70"/>
      <c r="DQ15" s="70"/>
      <c r="DR15" s="70"/>
      <c r="DS15" s="70"/>
      <c r="DT15" s="70"/>
      <c r="DU15" s="70"/>
      <c r="DV15" s="70"/>
      <c r="DW15" s="70"/>
      <c r="DX15" s="70"/>
      <c r="DY15" s="70"/>
      <c r="DZ15" s="70"/>
      <c r="EA15" s="70"/>
      <c r="EB15" s="70"/>
      <c r="EC15" s="70"/>
      <c r="ED15" s="70"/>
      <c r="EE15" s="70"/>
      <c r="EF15" s="70"/>
      <c r="EG15" s="70"/>
      <c r="EH15" s="70"/>
      <c r="EI15" s="70"/>
      <c r="EJ15" s="70"/>
      <c r="EK15" s="70"/>
      <c r="EL15" s="70"/>
      <c r="EM15" s="70"/>
      <c r="EN15" s="70"/>
      <c r="EO15" s="70"/>
      <c r="EP15" s="70"/>
      <c r="EQ15" s="70"/>
      <c r="ER15" s="70"/>
      <c r="ES15" s="70"/>
      <c r="ET15" s="70"/>
      <c r="EU15" s="70"/>
      <c r="EV15" s="70"/>
      <c r="EW15" s="70"/>
      <c r="EX15" s="70"/>
      <c r="EY15" s="70"/>
      <c r="EZ15" s="70"/>
      <c r="FA15" s="70"/>
      <c r="FB15" s="70"/>
      <c r="FC15" s="70"/>
      <c r="FD15" s="70"/>
      <c r="FE15" s="70"/>
      <c r="FF15" s="70"/>
      <c r="FG15" s="70"/>
      <c r="FH15" s="70"/>
      <c r="FI15" s="70"/>
      <c r="FJ15" s="70"/>
      <c r="FK15" s="70"/>
      <c r="FL15" s="70"/>
      <c r="FM15" s="70"/>
      <c r="FN15" s="70"/>
      <c r="FO15" s="70"/>
      <c r="FP15" s="70"/>
      <c r="FQ15" s="70"/>
      <c r="FR15" s="70"/>
      <c r="FS15" s="70"/>
      <c r="FT15" s="70"/>
      <c r="FU15" s="70"/>
      <c r="FV15" s="70"/>
      <c r="FW15" s="70"/>
      <c r="FX15" s="70"/>
      <c r="FY15" s="70"/>
      <c r="FZ15" s="70"/>
      <c r="GA15" s="70"/>
      <c r="GB15" s="70"/>
      <c r="GC15" s="70"/>
      <c r="GD15" s="70"/>
      <c r="GE15" s="70"/>
      <c r="GF15" s="70"/>
      <c r="GG15" s="70"/>
      <c r="GH15" s="70"/>
      <c r="GI15" s="70"/>
      <c r="GJ15" s="70"/>
      <c r="GK15" s="70"/>
      <c r="GL15" s="70"/>
      <c r="GM15" s="70"/>
      <c r="GN15" s="70"/>
      <c r="GO15" s="70"/>
      <c r="GP15" s="70"/>
      <c r="GQ15" s="70"/>
      <c r="GR15" s="70"/>
    </row>
    <row r="16" spans="1:200" ht="15.6">
      <c r="A16" s="10" t="s">
        <v>246</v>
      </c>
      <c r="B16" s="14" t="s">
        <v>247</v>
      </c>
      <c r="C16" s="78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33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  <c r="DI16" s="70"/>
      <c r="DJ16" s="70"/>
      <c r="DK16" s="70"/>
      <c r="DL16" s="70"/>
      <c r="DM16" s="70"/>
      <c r="DN16" s="70"/>
      <c r="DO16" s="70"/>
      <c r="DP16" s="70"/>
      <c r="DQ16" s="70"/>
      <c r="DR16" s="70"/>
      <c r="DS16" s="70"/>
      <c r="DT16" s="70"/>
      <c r="DU16" s="70"/>
      <c r="DV16" s="70"/>
      <c r="DW16" s="70"/>
      <c r="DX16" s="70"/>
      <c r="DY16" s="70"/>
      <c r="DZ16" s="70"/>
      <c r="EA16" s="70"/>
      <c r="EB16" s="70"/>
      <c r="EC16" s="70"/>
      <c r="ED16" s="70"/>
      <c r="EE16" s="70"/>
      <c r="EF16" s="70"/>
      <c r="EG16" s="70"/>
      <c r="EH16" s="70"/>
      <c r="EI16" s="70"/>
      <c r="EJ16" s="70"/>
      <c r="EK16" s="70"/>
      <c r="EL16" s="70"/>
      <c r="EM16" s="70"/>
      <c r="EN16" s="70"/>
      <c r="EO16" s="70"/>
      <c r="EP16" s="70"/>
      <c r="EQ16" s="70"/>
      <c r="ER16" s="70"/>
      <c r="ES16" s="70"/>
      <c r="ET16" s="70"/>
      <c r="EU16" s="70"/>
      <c r="EV16" s="70"/>
      <c r="EW16" s="70"/>
      <c r="EX16" s="70"/>
      <c r="EY16" s="70"/>
      <c r="EZ16" s="70"/>
      <c r="FA16" s="70"/>
      <c r="FB16" s="70"/>
      <c r="FC16" s="70"/>
      <c r="FD16" s="70"/>
      <c r="FE16" s="70"/>
      <c r="FF16" s="70"/>
      <c r="FG16" s="70"/>
      <c r="FH16" s="70"/>
      <c r="FI16" s="70"/>
      <c r="FJ16" s="70"/>
      <c r="FK16" s="70"/>
      <c r="FL16" s="70"/>
      <c r="FM16" s="70"/>
      <c r="FN16" s="70"/>
      <c r="FO16" s="70"/>
      <c r="FP16" s="70"/>
      <c r="FQ16" s="70"/>
      <c r="FR16" s="70"/>
      <c r="FS16" s="70"/>
      <c r="FT16" s="70"/>
      <c r="FU16" s="70"/>
      <c r="FV16" s="70"/>
      <c r="FW16" s="70"/>
      <c r="FX16" s="70"/>
      <c r="FY16" s="70"/>
      <c r="FZ16" s="70"/>
      <c r="GA16" s="70"/>
      <c r="GB16" s="70"/>
      <c r="GC16" s="70"/>
      <c r="GD16" s="70"/>
      <c r="GE16" s="70"/>
      <c r="GF16" s="70"/>
      <c r="GG16" s="70"/>
      <c r="GH16" s="70"/>
      <c r="GI16" s="70"/>
      <c r="GJ16" s="70"/>
      <c r="GK16" s="70"/>
      <c r="GL16" s="70"/>
      <c r="GM16" s="70"/>
      <c r="GN16" s="70"/>
      <c r="GO16" s="70"/>
      <c r="GP16" s="70"/>
      <c r="GQ16" s="70"/>
      <c r="GR16" s="70"/>
    </row>
    <row r="17" spans="1:200" ht="15.6">
      <c r="A17" s="10" t="s">
        <v>249</v>
      </c>
      <c r="B17" s="15" t="s">
        <v>250</v>
      </c>
      <c r="C17" s="78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33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  <c r="DI17" s="70"/>
      <c r="DJ17" s="70"/>
      <c r="DK17" s="70"/>
      <c r="DL17" s="70"/>
      <c r="DM17" s="70"/>
      <c r="DN17" s="70"/>
      <c r="DO17" s="70"/>
      <c r="DP17" s="70"/>
      <c r="DQ17" s="70"/>
      <c r="DR17" s="70"/>
      <c r="DS17" s="70"/>
      <c r="DT17" s="70"/>
      <c r="DU17" s="70"/>
      <c r="DV17" s="70"/>
      <c r="DW17" s="70"/>
      <c r="DX17" s="70"/>
      <c r="DY17" s="70"/>
      <c r="DZ17" s="70"/>
      <c r="EA17" s="70"/>
      <c r="EB17" s="70"/>
      <c r="EC17" s="70"/>
      <c r="ED17" s="70"/>
      <c r="EE17" s="70"/>
      <c r="EF17" s="70"/>
      <c r="EG17" s="70"/>
      <c r="EH17" s="70"/>
      <c r="EI17" s="70"/>
      <c r="EJ17" s="70"/>
      <c r="EK17" s="70"/>
      <c r="EL17" s="70"/>
      <c r="EM17" s="70"/>
      <c r="EN17" s="70"/>
      <c r="EO17" s="70"/>
      <c r="EP17" s="70"/>
      <c r="EQ17" s="70"/>
      <c r="ER17" s="70"/>
      <c r="ES17" s="70"/>
      <c r="ET17" s="70"/>
      <c r="EU17" s="70"/>
      <c r="EV17" s="70"/>
      <c r="EW17" s="70"/>
      <c r="EX17" s="70"/>
      <c r="EY17" s="70"/>
      <c r="EZ17" s="70"/>
      <c r="FA17" s="70"/>
      <c r="FB17" s="70"/>
      <c r="FC17" s="70"/>
      <c r="FD17" s="70"/>
      <c r="FE17" s="70"/>
      <c r="FF17" s="70"/>
      <c r="FG17" s="70"/>
      <c r="FH17" s="70"/>
      <c r="FI17" s="70"/>
      <c r="FJ17" s="70"/>
      <c r="FK17" s="70"/>
      <c r="FL17" s="70"/>
      <c r="FM17" s="70"/>
      <c r="FN17" s="70"/>
      <c r="FO17" s="70"/>
      <c r="FP17" s="70"/>
      <c r="FQ17" s="70"/>
      <c r="FR17" s="70"/>
      <c r="FS17" s="70"/>
      <c r="FT17" s="70"/>
      <c r="FU17" s="70"/>
      <c r="FV17" s="70"/>
      <c r="FW17" s="70"/>
      <c r="FX17" s="70"/>
      <c r="FY17" s="70"/>
      <c r="FZ17" s="70"/>
      <c r="GA17" s="70"/>
      <c r="GB17" s="70"/>
      <c r="GC17" s="70"/>
      <c r="GD17" s="70"/>
      <c r="GE17" s="70"/>
      <c r="GF17" s="70"/>
      <c r="GG17" s="70"/>
      <c r="GH17" s="70"/>
      <c r="GI17" s="70"/>
      <c r="GJ17" s="70"/>
      <c r="GK17" s="70"/>
      <c r="GL17" s="70"/>
      <c r="GM17" s="70"/>
      <c r="GN17" s="70"/>
      <c r="GO17" s="70"/>
      <c r="GP17" s="70"/>
      <c r="GQ17" s="70"/>
      <c r="GR17" s="70"/>
    </row>
    <row r="18" spans="1:200" ht="15.6">
      <c r="A18" s="11" t="s">
        <v>252</v>
      </c>
      <c r="B18" s="16" t="s">
        <v>253</v>
      </c>
      <c r="C18" s="78"/>
      <c r="D18" s="70"/>
      <c r="E18" s="70"/>
      <c r="F18" s="70"/>
      <c r="G18" s="70"/>
      <c r="H18" s="64"/>
      <c r="I18" s="64"/>
      <c r="J18" s="64"/>
      <c r="K18" s="64"/>
      <c r="L18" s="79"/>
      <c r="M18" s="64"/>
      <c r="N18" s="70"/>
      <c r="O18" s="64"/>
      <c r="P18" s="70"/>
      <c r="Q18" s="70"/>
      <c r="R18" s="70"/>
      <c r="S18" s="70"/>
      <c r="T18" s="79"/>
      <c r="U18" s="79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9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  <c r="DM18" s="70"/>
      <c r="DN18" s="70"/>
      <c r="DO18" s="70"/>
      <c r="DP18" s="70"/>
      <c r="DQ18" s="70"/>
      <c r="DR18" s="70"/>
      <c r="DS18" s="70"/>
      <c r="DT18" s="70"/>
      <c r="DU18" s="70"/>
      <c r="DV18" s="70"/>
      <c r="DW18" s="70"/>
      <c r="DX18" s="70"/>
      <c r="DY18" s="70"/>
      <c r="DZ18" s="70"/>
      <c r="EA18" s="70"/>
      <c r="EB18" s="70"/>
      <c r="EC18" s="70"/>
      <c r="ED18" s="70"/>
      <c r="EE18" s="70"/>
      <c r="EF18" s="70"/>
      <c r="EG18" s="70"/>
      <c r="EH18" s="70"/>
      <c r="EI18" s="70"/>
      <c r="EJ18" s="70"/>
      <c r="EK18" s="70"/>
      <c r="EL18" s="70"/>
      <c r="EM18" s="70"/>
      <c r="EN18" s="70"/>
      <c r="EO18" s="70"/>
      <c r="EP18" s="70"/>
      <c r="EQ18" s="70"/>
      <c r="ER18" s="70"/>
      <c r="ES18" s="70"/>
      <c r="ET18" s="70"/>
      <c r="EU18" s="70"/>
      <c r="EV18" s="70"/>
      <c r="EW18" s="70"/>
      <c r="EX18" s="70"/>
      <c r="EY18" s="70"/>
      <c r="EZ18" s="70"/>
      <c r="FA18" s="70"/>
      <c r="FB18" s="70"/>
      <c r="FC18" s="70"/>
      <c r="FD18" s="70"/>
      <c r="FE18" s="70"/>
      <c r="FF18" s="70"/>
      <c r="FG18" s="70"/>
      <c r="FH18" s="70"/>
      <c r="FI18" s="70"/>
      <c r="FJ18" s="70"/>
      <c r="FK18" s="70"/>
      <c r="FL18" s="70"/>
      <c r="FM18" s="70"/>
      <c r="FN18" s="70"/>
      <c r="FO18" s="70"/>
      <c r="FP18" s="70"/>
      <c r="FQ18" s="70"/>
      <c r="FR18" s="70"/>
      <c r="FS18" s="70"/>
      <c r="FT18" s="70"/>
      <c r="FU18" s="70"/>
      <c r="FV18" s="70"/>
      <c r="FW18" s="70"/>
      <c r="FX18" s="70"/>
      <c r="FY18" s="70"/>
      <c r="FZ18" s="70"/>
      <c r="GA18" s="70"/>
      <c r="GB18" s="70"/>
      <c r="GC18" s="70"/>
      <c r="GD18" s="70"/>
      <c r="GE18" s="70"/>
      <c r="GF18" s="70"/>
      <c r="GG18" s="70"/>
      <c r="GH18" s="70"/>
      <c r="GI18" s="70"/>
      <c r="GJ18" s="70"/>
      <c r="GK18" s="70"/>
      <c r="GL18" s="70"/>
      <c r="GM18" s="70"/>
      <c r="GN18" s="70"/>
      <c r="GO18" s="70"/>
      <c r="GP18" s="70"/>
      <c r="GQ18" s="70"/>
      <c r="GR18" s="70"/>
    </row>
    <row r="19" spans="1:200" ht="18">
      <c r="A19" s="226" t="s">
        <v>258</v>
      </c>
      <c r="B19" s="226"/>
      <c r="C19" s="80">
        <f>SUM(D19:GR19)</f>
        <v>52690.200000000004</v>
      </c>
      <c r="D19" s="66">
        <f t="shared" ref="D19" si="71">IF(D7&gt;20.99,(D3*$B$18),IF(AND(D7&gt;15.99,D7&lt;21),(D3*$B$17),IF(AND(D7&gt;12.99,D7&lt;16),(D3*$B$16),IF(D7&lt;13,D3*$B$15))))</f>
        <v>0</v>
      </c>
      <c r="E19" s="66">
        <f t="shared" ref="E19:BP19" si="72">IF(E7&gt;20.99,(E3*$B$18),IF(AND(E7&gt;15.99,E7&lt;21),(E3*$B$17),IF(AND(E7&gt;12.99,E7&lt;16),(E3*$B$16),IF(E7&lt;13,E3*$B$15))))</f>
        <v>270.5</v>
      </c>
      <c r="F19" s="66">
        <f t="shared" si="72"/>
        <v>8</v>
      </c>
      <c r="G19" s="66">
        <f t="shared" si="72"/>
        <v>8</v>
      </c>
      <c r="H19" s="66">
        <f t="shared" si="72"/>
        <v>318.5</v>
      </c>
      <c r="I19" s="66">
        <f t="shared" si="72"/>
        <v>377</v>
      </c>
      <c r="J19" s="66">
        <f t="shared" si="72"/>
        <v>0</v>
      </c>
      <c r="K19" s="66">
        <f t="shared" si="72"/>
        <v>10.5</v>
      </c>
      <c r="L19" s="66">
        <f t="shared" si="72"/>
        <v>0</v>
      </c>
      <c r="M19" s="66">
        <f t="shared" si="72"/>
        <v>0</v>
      </c>
      <c r="N19" s="66">
        <f t="shared" si="72"/>
        <v>447</v>
      </c>
      <c r="O19" s="66">
        <f t="shared" si="72"/>
        <v>336</v>
      </c>
      <c r="P19" s="66">
        <f t="shared" si="72"/>
        <v>0</v>
      </c>
      <c r="Q19" s="66">
        <f t="shared" si="72"/>
        <v>333.5</v>
      </c>
      <c r="R19" s="66">
        <f t="shared" si="72"/>
        <v>1059</v>
      </c>
      <c r="S19" s="66">
        <f t="shared" si="72"/>
        <v>454.5</v>
      </c>
      <c r="T19" s="66">
        <f t="shared" si="72"/>
        <v>1801.8</v>
      </c>
      <c r="U19" s="66">
        <f t="shared" si="72"/>
        <v>10</v>
      </c>
      <c r="V19" s="66">
        <f t="shared" si="72"/>
        <v>150</v>
      </c>
      <c r="W19" s="66">
        <f t="shared" si="72"/>
        <v>19.5</v>
      </c>
      <c r="X19" s="66">
        <f t="shared" si="72"/>
        <v>1</v>
      </c>
      <c r="Y19" s="66">
        <f t="shared" si="72"/>
        <v>190</v>
      </c>
      <c r="Z19" s="66">
        <f t="shared" si="72"/>
        <v>407</v>
      </c>
      <c r="AA19" s="66">
        <f t="shared" si="72"/>
        <v>201.5</v>
      </c>
      <c r="AB19" s="66">
        <f t="shared" si="72"/>
        <v>248.5</v>
      </c>
      <c r="AC19" s="66">
        <f t="shared" si="72"/>
        <v>0</v>
      </c>
      <c r="AD19" s="66">
        <f t="shared" si="72"/>
        <v>578</v>
      </c>
      <c r="AE19" s="66">
        <f t="shared" si="72"/>
        <v>61.5</v>
      </c>
      <c r="AF19" s="66">
        <f t="shared" si="72"/>
        <v>12.5</v>
      </c>
      <c r="AG19" s="66">
        <f t="shared" si="72"/>
        <v>396.5</v>
      </c>
      <c r="AH19" s="66">
        <f t="shared" si="72"/>
        <v>126</v>
      </c>
      <c r="AI19" s="66">
        <f t="shared" si="72"/>
        <v>119.5</v>
      </c>
      <c r="AJ19" s="66">
        <f t="shared" si="72"/>
        <v>0</v>
      </c>
      <c r="AK19" s="66">
        <f t="shared" si="72"/>
        <v>73</v>
      </c>
      <c r="AL19" s="66">
        <f t="shared" si="72"/>
        <v>0</v>
      </c>
      <c r="AM19" s="66">
        <f t="shared" si="72"/>
        <v>0</v>
      </c>
      <c r="AN19" s="66">
        <f t="shared" si="72"/>
        <v>90</v>
      </c>
      <c r="AO19" s="66">
        <f t="shared" si="72"/>
        <v>16.5</v>
      </c>
      <c r="AP19" s="66">
        <f t="shared" si="72"/>
        <v>146.5</v>
      </c>
      <c r="AQ19" s="66">
        <f t="shared" si="72"/>
        <v>53</v>
      </c>
      <c r="AR19" s="66">
        <f t="shared" si="72"/>
        <v>205</v>
      </c>
      <c r="AS19" s="66">
        <f t="shared" si="72"/>
        <v>0</v>
      </c>
      <c r="AT19" s="66">
        <f t="shared" si="72"/>
        <v>283.5</v>
      </c>
      <c r="AU19" s="66">
        <f t="shared" si="72"/>
        <v>85.5</v>
      </c>
      <c r="AV19" s="66">
        <f t="shared" si="72"/>
        <v>36</v>
      </c>
      <c r="AW19" s="66">
        <f t="shared" si="72"/>
        <v>413</v>
      </c>
      <c r="AX19" s="66">
        <f t="shared" si="72"/>
        <v>580.5</v>
      </c>
      <c r="AY19" s="66">
        <f t="shared" si="72"/>
        <v>29</v>
      </c>
      <c r="AZ19" s="66">
        <f t="shared" si="72"/>
        <v>126</v>
      </c>
      <c r="BA19" s="66">
        <f t="shared" si="72"/>
        <v>687</v>
      </c>
      <c r="BB19" s="66">
        <f t="shared" si="72"/>
        <v>451.5</v>
      </c>
      <c r="BC19" s="66">
        <f t="shared" si="72"/>
        <v>157</v>
      </c>
      <c r="BD19" s="66">
        <f t="shared" si="72"/>
        <v>868</v>
      </c>
      <c r="BE19" s="66">
        <f t="shared" si="72"/>
        <v>293</v>
      </c>
      <c r="BF19" s="66">
        <f t="shared" si="72"/>
        <v>0</v>
      </c>
      <c r="BG19" s="66">
        <f t="shared" si="72"/>
        <v>358</v>
      </c>
      <c r="BH19" s="66">
        <f t="shared" si="72"/>
        <v>51.5</v>
      </c>
      <c r="BI19" s="66">
        <f t="shared" si="72"/>
        <v>392</v>
      </c>
      <c r="BJ19" s="66">
        <f t="shared" si="72"/>
        <v>182.5</v>
      </c>
      <c r="BK19" s="66">
        <f t="shared" si="72"/>
        <v>2</v>
      </c>
      <c r="BL19" s="66">
        <f t="shared" si="72"/>
        <v>404</v>
      </c>
      <c r="BM19" s="66">
        <f t="shared" si="72"/>
        <v>5</v>
      </c>
      <c r="BN19" s="66">
        <f t="shared" si="72"/>
        <v>246</v>
      </c>
      <c r="BO19" s="66">
        <f t="shared" si="72"/>
        <v>259</v>
      </c>
      <c r="BP19" s="66">
        <f t="shared" si="72"/>
        <v>167</v>
      </c>
      <c r="BQ19" s="66">
        <f t="shared" ref="BQ19:DG19" si="73">IF(BQ7&gt;20.99,(BQ3*$B$18),IF(AND(BQ7&gt;15.99,BQ7&lt;21),(BQ3*$B$17),IF(AND(BQ7&gt;12.99,BQ7&lt;16),(BQ3*$B$16),IF(BQ7&lt;13,BQ3*$B$15))))</f>
        <v>261</v>
      </c>
      <c r="BR19" s="66">
        <f t="shared" si="73"/>
        <v>0</v>
      </c>
      <c r="BS19" s="66">
        <f t="shared" si="73"/>
        <v>170</v>
      </c>
      <c r="BT19" s="66">
        <f t="shared" si="73"/>
        <v>0</v>
      </c>
      <c r="BU19" s="66">
        <f t="shared" si="73"/>
        <v>388.5</v>
      </c>
      <c r="BV19" s="66">
        <f t="shared" si="73"/>
        <v>179</v>
      </c>
      <c r="BW19" s="66">
        <f t="shared" si="73"/>
        <v>448.5</v>
      </c>
      <c r="BX19" s="66">
        <f t="shared" si="73"/>
        <v>0</v>
      </c>
      <c r="BY19" s="66">
        <f t="shared" si="73"/>
        <v>2</v>
      </c>
      <c r="BZ19" s="66">
        <f t="shared" si="73"/>
        <v>293.5</v>
      </c>
      <c r="CA19" s="66">
        <f t="shared" si="73"/>
        <v>496.5</v>
      </c>
      <c r="CB19" s="66">
        <f t="shared" si="73"/>
        <v>497.5</v>
      </c>
      <c r="CC19" s="66">
        <f t="shared" si="73"/>
        <v>240.5</v>
      </c>
      <c r="CD19" s="66">
        <f t="shared" si="73"/>
        <v>2215.2000000000003</v>
      </c>
      <c r="CE19" s="66">
        <f t="shared" si="73"/>
        <v>8</v>
      </c>
      <c r="CF19" s="66">
        <f t="shared" si="73"/>
        <v>85</v>
      </c>
      <c r="CG19" s="66">
        <f t="shared" si="73"/>
        <v>2.5</v>
      </c>
      <c r="CH19" s="66">
        <f t="shared" si="73"/>
        <v>482.5</v>
      </c>
      <c r="CI19" s="66">
        <f t="shared" si="73"/>
        <v>0</v>
      </c>
      <c r="CJ19" s="66">
        <f t="shared" si="73"/>
        <v>1977</v>
      </c>
      <c r="CK19" s="66">
        <f t="shared" si="73"/>
        <v>15</v>
      </c>
      <c r="CL19" s="66">
        <f t="shared" si="73"/>
        <v>0.5</v>
      </c>
      <c r="CM19" s="66">
        <f t="shared" si="73"/>
        <v>0</v>
      </c>
      <c r="CN19" s="66">
        <f t="shared" si="73"/>
        <v>420</v>
      </c>
      <c r="CO19" s="66">
        <f t="shared" si="73"/>
        <v>13</v>
      </c>
      <c r="CP19" s="66">
        <f t="shared" si="73"/>
        <v>296.5</v>
      </c>
      <c r="CQ19" s="66">
        <f t="shared" si="73"/>
        <v>0</v>
      </c>
      <c r="CR19" s="66">
        <f t="shared" si="73"/>
        <v>0</v>
      </c>
      <c r="CS19" s="66">
        <f t="shared" si="73"/>
        <v>53.5</v>
      </c>
      <c r="CT19" s="66">
        <f t="shared" si="73"/>
        <v>312</v>
      </c>
      <c r="CU19" s="66">
        <f t="shared" si="73"/>
        <v>10</v>
      </c>
      <c r="CV19" s="66">
        <f t="shared" si="73"/>
        <v>57</v>
      </c>
      <c r="CW19" s="66">
        <f t="shared" si="73"/>
        <v>5</v>
      </c>
      <c r="CX19" s="66">
        <f t="shared" si="73"/>
        <v>0</v>
      </c>
      <c r="CY19" s="66">
        <f t="shared" si="73"/>
        <v>54.5</v>
      </c>
      <c r="CZ19" s="66">
        <f t="shared" si="73"/>
        <v>283.5</v>
      </c>
      <c r="DA19" s="66">
        <f t="shared" si="73"/>
        <v>373</v>
      </c>
      <c r="DB19" s="66">
        <f t="shared" si="73"/>
        <v>0</v>
      </c>
      <c r="DC19" s="66">
        <f t="shared" si="73"/>
        <v>2.5</v>
      </c>
      <c r="DD19" s="66">
        <f t="shared" si="73"/>
        <v>248</v>
      </c>
      <c r="DE19" s="66">
        <f t="shared" si="73"/>
        <v>41</v>
      </c>
      <c r="DF19" s="66">
        <f t="shared" si="73"/>
        <v>0</v>
      </c>
      <c r="DG19" s="66">
        <f t="shared" si="73"/>
        <v>270.5</v>
      </c>
      <c r="DH19" s="66">
        <f t="shared" ref="DH19:FS19" si="74">IF(DH7&gt;20.99,(DH3*$B$18),IF(AND(DH7&gt;15.99,DH7&lt;21),(DH3*$B$17),IF(AND(DH7&gt;12.99,DH7&lt;16),(DH3*$B$16),IF(DH7&lt;13,DH3*$B$15))))</f>
        <v>123</v>
      </c>
      <c r="DI19" s="66">
        <f t="shared" si="74"/>
        <v>909.5</v>
      </c>
      <c r="DJ19" s="66">
        <f t="shared" si="74"/>
        <v>7</v>
      </c>
      <c r="DK19" s="66">
        <f t="shared" si="74"/>
        <v>2009.3999999999999</v>
      </c>
      <c r="DL19" s="66">
        <f t="shared" si="74"/>
        <v>126.5</v>
      </c>
      <c r="DM19" s="66">
        <f t="shared" si="74"/>
        <v>152.5</v>
      </c>
      <c r="DN19" s="66">
        <f t="shared" si="74"/>
        <v>740</v>
      </c>
      <c r="DO19" s="66">
        <f t="shared" si="74"/>
        <v>67</v>
      </c>
      <c r="DP19" s="66">
        <f t="shared" si="74"/>
        <v>162.5</v>
      </c>
      <c r="DQ19" s="66">
        <f t="shared" si="74"/>
        <v>346</v>
      </c>
      <c r="DR19" s="66">
        <f t="shared" si="74"/>
        <v>634.5</v>
      </c>
      <c r="DS19" s="66">
        <f t="shared" si="74"/>
        <v>489</v>
      </c>
      <c r="DT19" s="66">
        <f t="shared" si="74"/>
        <v>534</v>
      </c>
      <c r="DU19" s="66">
        <f t="shared" si="74"/>
        <v>192.5</v>
      </c>
      <c r="DV19" s="66">
        <f t="shared" si="74"/>
        <v>6</v>
      </c>
      <c r="DW19" s="66">
        <f t="shared" si="74"/>
        <v>7</v>
      </c>
      <c r="DX19" s="66">
        <f t="shared" si="74"/>
        <v>301.5</v>
      </c>
      <c r="DY19" s="66">
        <f t="shared" si="74"/>
        <v>399.5</v>
      </c>
      <c r="DZ19" s="66">
        <f t="shared" si="74"/>
        <v>591.5</v>
      </c>
      <c r="EA19" s="66">
        <f t="shared" si="74"/>
        <v>3</v>
      </c>
      <c r="EB19" s="66">
        <f t="shared" si="74"/>
        <v>405.5</v>
      </c>
      <c r="EC19" s="66">
        <f t="shared" si="74"/>
        <v>112.5</v>
      </c>
      <c r="ED19" s="66">
        <f t="shared" si="74"/>
        <v>757.5</v>
      </c>
      <c r="EE19" s="66">
        <f t="shared" si="74"/>
        <v>116</v>
      </c>
      <c r="EF19" s="66">
        <f t="shared" si="74"/>
        <v>544.5</v>
      </c>
      <c r="EG19" s="66">
        <f t="shared" si="74"/>
        <v>39</v>
      </c>
      <c r="EH19" s="66">
        <f t="shared" si="74"/>
        <v>78.5</v>
      </c>
      <c r="EI19" s="66">
        <f t="shared" si="74"/>
        <v>509.5</v>
      </c>
      <c r="EJ19" s="66">
        <f t="shared" si="74"/>
        <v>322.5</v>
      </c>
      <c r="EK19" s="66">
        <f t="shared" si="74"/>
        <v>364</v>
      </c>
      <c r="EL19" s="66">
        <f t="shared" si="74"/>
        <v>383.5</v>
      </c>
      <c r="EM19" s="66">
        <f t="shared" si="74"/>
        <v>347</v>
      </c>
      <c r="EN19" s="66">
        <f t="shared" si="74"/>
        <v>172.5</v>
      </c>
      <c r="EO19" s="66">
        <f t="shared" si="74"/>
        <v>364.5</v>
      </c>
      <c r="EP19" s="66">
        <f t="shared" si="74"/>
        <v>186</v>
      </c>
      <c r="EQ19" s="66">
        <f t="shared" si="74"/>
        <v>118</v>
      </c>
      <c r="ER19" s="66">
        <f t="shared" si="74"/>
        <v>194.5</v>
      </c>
      <c r="ES19" s="66">
        <f t="shared" si="74"/>
        <v>118</v>
      </c>
      <c r="ET19" s="66">
        <f t="shared" si="74"/>
        <v>209.5</v>
      </c>
      <c r="EU19" s="66">
        <f t="shared" si="74"/>
        <v>681</v>
      </c>
      <c r="EV19" s="66">
        <f t="shared" si="74"/>
        <v>682</v>
      </c>
      <c r="EW19" s="66">
        <f t="shared" si="74"/>
        <v>198.5</v>
      </c>
      <c r="EX19" s="66">
        <f t="shared" si="74"/>
        <v>265</v>
      </c>
      <c r="EY19" s="66">
        <f t="shared" si="74"/>
        <v>254</v>
      </c>
      <c r="EZ19" s="66">
        <f t="shared" si="74"/>
        <v>127</v>
      </c>
      <c r="FA19" s="66">
        <f t="shared" si="74"/>
        <v>0</v>
      </c>
      <c r="FB19" s="66">
        <f t="shared" si="74"/>
        <v>185</v>
      </c>
      <c r="FC19" s="66">
        <f t="shared" si="74"/>
        <v>0</v>
      </c>
      <c r="FD19" s="66">
        <f t="shared" si="74"/>
        <v>49</v>
      </c>
      <c r="FE19" s="66">
        <f t="shared" si="74"/>
        <v>0</v>
      </c>
      <c r="FF19" s="66">
        <f t="shared" si="74"/>
        <v>86</v>
      </c>
      <c r="FG19" s="66">
        <f t="shared" si="74"/>
        <v>6.5</v>
      </c>
      <c r="FH19" s="66">
        <f t="shared" si="74"/>
        <v>2704</v>
      </c>
      <c r="FI19" s="66">
        <f t="shared" si="74"/>
        <v>229</v>
      </c>
      <c r="FJ19" s="66">
        <f t="shared" si="74"/>
        <v>13</v>
      </c>
      <c r="FK19" s="66">
        <f t="shared" si="74"/>
        <v>334.5</v>
      </c>
      <c r="FL19" s="66">
        <f t="shared" si="74"/>
        <v>4.5</v>
      </c>
      <c r="FM19" s="66">
        <f t="shared" si="74"/>
        <v>78</v>
      </c>
      <c r="FN19" s="66">
        <f t="shared" si="74"/>
        <v>220</v>
      </c>
      <c r="FO19" s="66">
        <f t="shared" si="74"/>
        <v>423</v>
      </c>
      <c r="FP19" s="66">
        <f t="shared" si="74"/>
        <v>441</v>
      </c>
      <c r="FQ19" s="66">
        <f t="shared" si="74"/>
        <v>818</v>
      </c>
      <c r="FR19" s="66">
        <f t="shared" si="74"/>
        <v>0</v>
      </c>
      <c r="FS19" s="66">
        <f t="shared" si="74"/>
        <v>623.5</v>
      </c>
      <c r="FT19" s="66">
        <f t="shared" ref="FT19:GL19" si="75">IF(FT7&gt;20.99,(FT3*$B$18),IF(AND(FT7&gt;15.99,FT7&lt;21),(FT3*$B$17),IF(AND(FT7&gt;12.99,FT7&lt;16),(FT3*$B$16),IF(FT7&lt;13,FT3*$B$15))))</f>
        <v>392.5</v>
      </c>
      <c r="FU19" s="66">
        <f t="shared" si="75"/>
        <v>0</v>
      </c>
      <c r="FV19" s="66">
        <f t="shared" si="75"/>
        <v>35.5</v>
      </c>
      <c r="FW19" s="66">
        <f t="shared" si="75"/>
        <v>2.5</v>
      </c>
      <c r="FX19" s="66">
        <f t="shared" si="75"/>
        <v>14.5</v>
      </c>
      <c r="FY19" s="66">
        <f t="shared" si="75"/>
        <v>0</v>
      </c>
      <c r="FZ19" s="66">
        <f t="shared" si="75"/>
        <v>402</v>
      </c>
      <c r="GA19" s="66">
        <f t="shared" si="75"/>
        <v>16</v>
      </c>
      <c r="GB19" s="66">
        <f t="shared" si="75"/>
        <v>2.5</v>
      </c>
      <c r="GC19" s="66">
        <f t="shared" si="75"/>
        <v>0</v>
      </c>
      <c r="GD19" s="66">
        <f t="shared" si="75"/>
        <v>288</v>
      </c>
      <c r="GE19" s="66">
        <f t="shared" si="75"/>
        <v>613.5</v>
      </c>
      <c r="GF19" s="66">
        <f t="shared" si="75"/>
        <v>323.5</v>
      </c>
      <c r="GG19" s="66">
        <f t="shared" si="75"/>
        <v>423.5</v>
      </c>
      <c r="GH19" s="66">
        <f t="shared" si="75"/>
        <v>122.5</v>
      </c>
      <c r="GI19" s="66">
        <f t="shared" si="75"/>
        <v>42.5</v>
      </c>
      <c r="GJ19" s="66">
        <f t="shared" si="75"/>
        <v>695</v>
      </c>
      <c r="GK19" s="66">
        <f t="shared" si="75"/>
        <v>540.5</v>
      </c>
      <c r="GL19" s="66">
        <f t="shared" si="75"/>
        <v>361.5</v>
      </c>
      <c r="GM19" s="66">
        <f t="shared" ref="GM19:GR19" si="76">IF(GM7&gt;20.99,(GM3*$B$18),IF(AND(GM7&gt;15.99,GM7&lt;21),(GM3*$B$17),IF(AND(GM7&gt;12.99,GM7&lt;16),(GM3*$B$16),IF(GM7&lt;13,GM3*$B$15))))</f>
        <v>1218.8000000000002</v>
      </c>
      <c r="GN19" s="66">
        <f t="shared" si="76"/>
        <v>42.5</v>
      </c>
      <c r="GO19" s="66">
        <f t="shared" si="76"/>
        <v>481.5</v>
      </c>
      <c r="GP19" s="66">
        <f t="shared" si="76"/>
        <v>0</v>
      </c>
      <c r="GQ19" s="66">
        <f t="shared" si="76"/>
        <v>0</v>
      </c>
      <c r="GR19" s="66">
        <f t="shared" si="76"/>
        <v>294.5</v>
      </c>
    </row>
    <row r="20" spans="1:200" s="70" customFormat="1" ht="18">
      <c r="A20" s="68" t="s">
        <v>206</v>
      </c>
      <c r="B20" s="68" t="s">
        <v>207</v>
      </c>
      <c r="C20" s="69" t="s">
        <v>208</v>
      </c>
      <c r="D20" s="145" t="str">
        <f>D1</f>
        <v>Aanya</v>
      </c>
      <c r="E20" s="145" t="str">
        <f t="shared" ref="E20:BP20" si="77">E1</f>
        <v>Ahila Sundaresan</v>
      </c>
      <c r="F20" s="145" t="str">
        <f t="shared" si="77"/>
        <v>Alekhya Pokuri</v>
      </c>
      <c r="G20" s="145" t="str">
        <f t="shared" si="77"/>
        <v>Ambar Romero</v>
      </c>
      <c r="H20" s="145" t="str">
        <f t="shared" si="77"/>
        <v>Amel Yousfi</v>
      </c>
      <c r="I20" s="145" t="str">
        <f t="shared" si="77"/>
        <v>Amrita Singh</v>
      </c>
      <c r="J20" s="145" t="str">
        <f t="shared" si="77"/>
        <v>Andrea Lorenzano</v>
      </c>
      <c r="K20" s="145" t="str">
        <f t="shared" si="77"/>
        <v>Angayarkanni Kannan</v>
      </c>
      <c r="L20" s="145" t="str">
        <f t="shared" si="77"/>
        <v>Angel Edwards</v>
      </c>
      <c r="M20" s="145" t="str">
        <f t="shared" si="77"/>
        <v>Anitaben Patel</v>
      </c>
      <c r="N20" s="145" t="str">
        <f t="shared" si="77"/>
        <v>Anjali Devunuri</v>
      </c>
      <c r="O20" s="145" t="str">
        <f t="shared" si="77"/>
        <v>Anjana Vijayan</v>
      </c>
      <c r="P20" s="145" t="str">
        <f t="shared" si="77"/>
        <v>Ankana Biswas Dutta</v>
      </c>
      <c r="Q20" s="145" t="str">
        <f t="shared" si="77"/>
        <v>Anshu Dubey</v>
      </c>
      <c r="R20" s="145" t="str">
        <f t="shared" si="77"/>
        <v>Anusha Cheerla</v>
      </c>
      <c r="S20" s="145" t="str">
        <f t="shared" si="77"/>
        <v>Anusha Kulageri</v>
      </c>
      <c r="T20" s="145" t="str">
        <f t="shared" si="77"/>
        <v>Anusha Prasannakumar</v>
      </c>
      <c r="U20" s="145" t="str">
        <f t="shared" si="77"/>
        <v>Arcelia Finkelberg</v>
      </c>
      <c r="V20" s="145" t="str">
        <f t="shared" si="77"/>
        <v>Atchaya Rangasamy Venugopal</v>
      </c>
      <c r="W20" s="145" t="str">
        <f t="shared" si="77"/>
        <v>Azumi Van Scyoc</v>
      </c>
      <c r="X20" s="145" t="str">
        <f t="shared" si="77"/>
        <v>Babitha Koraganti</v>
      </c>
      <c r="Y20" s="145" t="str">
        <f t="shared" si="77"/>
        <v>Balasubramani Kandasamy</v>
      </c>
      <c r="Z20" s="145" t="str">
        <f t="shared" si="77"/>
        <v>Cecilia Hendricks</v>
      </c>
      <c r="AA20" s="145" t="str">
        <f t="shared" si="77"/>
        <v>Chandana Bathina</v>
      </c>
      <c r="AB20" s="145" t="str">
        <f t="shared" si="77"/>
        <v>Chandini Yellamilli</v>
      </c>
      <c r="AC20" s="145" t="str">
        <f t="shared" si="77"/>
        <v>Chinmaya Jyothi Pulikallu</v>
      </c>
      <c r="AD20" s="145" t="str">
        <f t="shared" si="77"/>
        <v>Damion Newell</v>
      </c>
      <c r="AE20" s="145" t="str">
        <f t="shared" si="77"/>
        <v>Deepika Chintaluri</v>
      </c>
      <c r="AF20" s="145" t="str">
        <f t="shared" si="77"/>
        <v>Devi Prakash</v>
      </c>
      <c r="AG20" s="145" t="str">
        <f t="shared" si="77"/>
        <v>Devicharitha Malapati</v>
      </c>
      <c r="AH20" s="145" t="str">
        <f t="shared" si="77"/>
        <v>Dhanalakshmi Nelluri</v>
      </c>
      <c r="AI20" s="145" t="str">
        <f t="shared" si="77"/>
        <v>Dhivya Shankar</v>
      </c>
      <c r="AJ20" s="145" t="str">
        <f t="shared" si="77"/>
        <v>Dhivyalakshmi Vigneshwaran</v>
      </c>
      <c r="AK20" s="145" t="str">
        <f t="shared" si="77"/>
        <v>Diksha Vijaykumar More</v>
      </c>
      <c r="AL20" s="145" t="str">
        <f t="shared" si="77"/>
        <v>Divya Babu</v>
      </c>
      <c r="AM20" s="145" t="str">
        <f t="shared" si="77"/>
        <v>Divya Manjeshwar kamath</v>
      </c>
      <c r="AN20" s="145" t="str">
        <f t="shared" si="77"/>
        <v>Divya Shree</v>
      </c>
      <c r="AO20" s="145" t="str">
        <f t="shared" si="77"/>
        <v>Erianna Lockhart</v>
      </c>
      <c r="AP20" s="145" t="str">
        <f t="shared" si="77"/>
        <v>Faith Ujjwala Singh</v>
      </c>
      <c r="AQ20" s="145" t="str">
        <f t="shared" si="77"/>
        <v>Fallyan Redd</v>
      </c>
      <c r="AR20" s="145" t="str">
        <f t="shared" si="77"/>
        <v>Farheen Hasham</v>
      </c>
      <c r="AS20" s="145" t="str">
        <f t="shared" si="77"/>
        <v>Farzana Shaik</v>
      </c>
      <c r="AT20" s="145" t="str">
        <f t="shared" si="77"/>
        <v>Fnu Supriya</v>
      </c>
      <c r="AU20" s="145" t="str">
        <f t="shared" si="77"/>
        <v>Foua Yang</v>
      </c>
      <c r="AV20" s="145" t="str">
        <f t="shared" si="77"/>
        <v>Franklin C Onyedili</v>
      </c>
      <c r="AW20" s="145" t="str">
        <f t="shared" si="77"/>
        <v>Gayatri Paramsivam</v>
      </c>
      <c r="AX20" s="145" t="str">
        <f t="shared" si="77"/>
        <v>Geetalakshmi Govinthara Annadhurai</v>
      </c>
      <c r="AY20" s="145" t="str">
        <f t="shared" si="77"/>
        <v>Gia Erica Coleman</v>
      </c>
      <c r="AZ20" s="145" t="str">
        <f t="shared" si="77"/>
        <v>Hadjer Ikram Yousfi</v>
      </c>
      <c r="BA20" s="145" t="str">
        <f t="shared" si="77"/>
        <v>Haley VanNamee</v>
      </c>
      <c r="BB20" s="145" t="str">
        <f t="shared" si="77"/>
        <v>Harathi Nuvuru</v>
      </c>
      <c r="BC20" s="145" t="str">
        <f t="shared" si="77"/>
        <v>Hetal Shah</v>
      </c>
      <c r="BD20" s="145" t="str">
        <f t="shared" si="77"/>
        <v>I-Asia Newkirk</v>
      </c>
      <c r="BE20" s="145" t="str">
        <f t="shared" si="77"/>
        <v>Infanta Clara Victor Anthony</v>
      </c>
      <c r="BF20" s="145" t="str">
        <f t="shared" si="77"/>
        <v>Jaya Singh</v>
      </c>
      <c r="BG20" s="145" t="str">
        <f t="shared" si="77"/>
        <v>Jayashree Swain</v>
      </c>
      <c r="BH20" s="145" t="str">
        <f t="shared" si="77"/>
        <v>Jhou Yang</v>
      </c>
      <c r="BI20" s="145" t="str">
        <f t="shared" si="77"/>
        <v>Jyothi Venkatasubramanya</v>
      </c>
      <c r="BJ20" s="145" t="str">
        <f t="shared" si="77"/>
        <v>Kabila Sivasankar</v>
      </c>
      <c r="BK20" s="145" t="str">
        <f t="shared" si="77"/>
        <v>Kavya Krishnappa</v>
      </c>
      <c r="BL20" s="145" t="str">
        <f t="shared" si="77"/>
        <v>Kawanna Brown</v>
      </c>
      <c r="BM20" s="145" t="str">
        <f t="shared" si="77"/>
        <v>Komala Renuka Prasad</v>
      </c>
      <c r="BN20" s="145" t="str">
        <f t="shared" si="77"/>
        <v>Krishnaveni</v>
      </c>
      <c r="BO20" s="145" t="str">
        <f t="shared" si="77"/>
        <v>Krithika Balasubramaniam</v>
      </c>
      <c r="BP20" s="145" t="str">
        <f t="shared" si="77"/>
        <v>Lakshmi Neelima Duddula</v>
      </c>
      <c r="BQ20" s="145" t="str">
        <f t="shared" ref="BQ20:EB20" si="78">BQ1</f>
        <v>LaSere Reid Smith</v>
      </c>
      <c r="BR20" s="145" t="str">
        <f t="shared" si="78"/>
        <v>LATHA BUSIREDDY</v>
      </c>
      <c r="BS20" s="145" t="str">
        <f t="shared" si="78"/>
        <v>Latrice Adams</v>
      </c>
      <c r="BT20" s="145" t="str">
        <f t="shared" si="78"/>
        <v>Lavanya Vigrahala</v>
      </c>
      <c r="BU20" s="145" t="str">
        <f t="shared" si="78"/>
        <v>Laxmi Sirisha Penumecha</v>
      </c>
      <c r="BV20" s="145" t="str">
        <f t="shared" si="78"/>
        <v>Lipsa Padhy</v>
      </c>
      <c r="BW20" s="145" t="str">
        <f t="shared" si="78"/>
        <v>Lokeswari Gummadi</v>
      </c>
      <c r="BX20" s="145" t="str">
        <f t="shared" si="78"/>
        <v>Madhana Sundari Vijayarajan</v>
      </c>
      <c r="BY20" s="145" t="str">
        <f t="shared" si="78"/>
        <v>Madhavi Balineni</v>
      </c>
      <c r="BZ20" s="145" t="str">
        <f t="shared" si="78"/>
        <v>Madhura Alva</v>
      </c>
      <c r="CA20" s="145" t="str">
        <f t="shared" si="78"/>
        <v>Madhuri Padala</v>
      </c>
      <c r="CB20" s="145" t="str">
        <f t="shared" si="78"/>
        <v>Maira Becham</v>
      </c>
      <c r="CC20" s="145" t="str">
        <f t="shared" si="78"/>
        <v>Manda Talwekar</v>
      </c>
      <c r="CD20" s="145" t="str">
        <f t="shared" si="78"/>
        <v>Manjunath JagadishPai</v>
      </c>
      <c r="CE20" s="145" t="str">
        <f t="shared" si="78"/>
        <v>Mariko Huskey</v>
      </c>
      <c r="CF20" s="145" t="str">
        <f t="shared" si="78"/>
        <v>Marilyn Brown</v>
      </c>
      <c r="CG20" s="145" t="str">
        <f t="shared" si="78"/>
        <v>Marina Ibrahim</v>
      </c>
      <c r="CH20" s="145" t="str">
        <f t="shared" si="78"/>
        <v>Mathangi Radhakrishnan</v>
      </c>
      <c r="CI20" s="145" t="str">
        <f t="shared" si="78"/>
        <v>Michelle Cox</v>
      </c>
      <c r="CJ20" s="145" t="str">
        <f t="shared" si="78"/>
        <v>Minakshi Deepak</v>
      </c>
      <c r="CK20" s="145" t="str">
        <f t="shared" si="78"/>
        <v>Mojisha Mohandas</v>
      </c>
      <c r="CL20" s="145" t="str">
        <f t="shared" si="78"/>
        <v>Monalisa Roy</v>
      </c>
      <c r="CM20" s="145" t="str">
        <f t="shared" si="78"/>
        <v>Mool Chand</v>
      </c>
      <c r="CN20" s="145" t="str">
        <f t="shared" si="78"/>
        <v>Naagarashikaa Vijayakumar</v>
      </c>
      <c r="CO20" s="145" t="str">
        <f t="shared" si="78"/>
        <v>Naganandhini Ganapathimaran</v>
      </c>
      <c r="CP20" s="145" t="str">
        <f t="shared" si="78"/>
        <v>Namita Mishra</v>
      </c>
      <c r="CQ20" s="145" t="str">
        <f t="shared" si="78"/>
        <v>Namrata Sharma</v>
      </c>
      <c r="CR20" s="145" t="str">
        <f t="shared" si="78"/>
        <v>Namratha Koratala</v>
      </c>
      <c r="CS20" s="145" t="str">
        <f t="shared" si="78"/>
        <v>Narmadhadevi Dharmapalan</v>
      </c>
      <c r="CT20" s="145" t="str">
        <f t="shared" si="78"/>
        <v>Neena Mathew Saravanakumar</v>
      </c>
      <c r="CU20" s="145" t="str">
        <f t="shared" si="78"/>
        <v>Neha Aaggarwal</v>
      </c>
      <c r="CV20" s="145" t="str">
        <f t="shared" si="78"/>
        <v>Nilopher Lopes</v>
      </c>
      <c r="CW20" s="145" t="str">
        <f t="shared" si="78"/>
        <v>Nitha Chathoth Kunhikrishnan</v>
      </c>
      <c r="CX20" s="145" t="str">
        <f t="shared" si="78"/>
        <v>Padmapriya krishnamoorthy</v>
      </c>
      <c r="CY20" s="145" t="str">
        <f t="shared" si="78"/>
        <v>Palak Porwal</v>
      </c>
      <c r="CZ20" s="145" t="str">
        <f t="shared" si="78"/>
        <v>Pavithra Balaji</v>
      </c>
      <c r="DA20" s="145" t="str">
        <f t="shared" si="78"/>
        <v>Pavithra Manas Panda</v>
      </c>
      <c r="DB20" s="145" t="str">
        <f t="shared" si="78"/>
        <v>Pavitra Rani Allam</v>
      </c>
      <c r="DC20" s="145" t="str">
        <f t="shared" si="78"/>
        <v>Pooja Solanki</v>
      </c>
      <c r="DD20" s="145" t="str">
        <f t="shared" si="78"/>
        <v>Poongothai Duraisamy</v>
      </c>
      <c r="DE20" s="145" t="str">
        <f t="shared" si="78"/>
        <v>Pragyan Paramita Mohanty</v>
      </c>
      <c r="DF20" s="145" t="str">
        <f t="shared" si="78"/>
        <v>Pranusha Dontineni</v>
      </c>
      <c r="DG20" s="145" t="str">
        <f t="shared" si="78"/>
        <v>Prasana Kotagiri</v>
      </c>
      <c r="DH20" s="145" t="str">
        <f t="shared" si="78"/>
        <v>Prathima Krishnamurthy Yadav</v>
      </c>
      <c r="DI20" s="145" t="str">
        <f t="shared" si="78"/>
        <v>Prathima Lakkireddy</v>
      </c>
      <c r="DJ20" s="145" t="str">
        <f t="shared" si="78"/>
        <v>PRAVALLIKA NUTHALAPATI</v>
      </c>
      <c r="DK20" s="145" t="str">
        <f t="shared" si="78"/>
        <v>Priti Suman</v>
      </c>
      <c r="DL20" s="145" t="str">
        <f t="shared" si="78"/>
        <v>Priyadarsini Baral</v>
      </c>
      <c r="DM20" s="145" t="str">
        <f t="shared" si="78"/>
        <v>Priyanka Chandrikapure</v>
      </c>
      <c r="DN20" s="145" t="str">
        <f t="shared" si="78"/>
        <v>Priyanka Dey Sarkar</v>
      </c>
      <c r="DO20" s="145" t="str">
        <f t="shared" si="78"/>
        <v>Priyanka Gadar</v>
      </c>
      <c r="DP20" s="145" t="str">
        <f t="shared" si="78"/>
        <v>Pushpaja Vullamgunta</v>
      </c>
      <c r="DQ20" s="145" t="str">
        <f t="shared" si="78"/>
        <v>Rajameenakshi Sankarasubramanian</v>
      </c>
      <c r="DR20" s="145" t="str">
        <f t="shared" si="78"/>
        <v>Rajeshwari Thammineni</v>
      </c>
      <c r="DS20" s="145" t="str">
        <f t="shared" si="78"/>
        <v>Ramsheena Nadathalakkel</v>
      </c>
      <c r="DT20" s="145" t="str">
        <f t="shared" si="78"/>
        <v>Ramya Muralidharan</v>
      </c>
      <c r="DU20" s="145" t="str">
        <f t="shared" si="78"/>
        <v>Ramya Sudarshan Palavalli</v>
      </c>
      <c r="DV20" s="145" t="str">
        <f t="shared" si="78"/>
        <v>Randi Wood</v>
      </c>
      <c r="DW20" s="145" t="str">
        <f t="shared" si="78"/>
        <v>Rashmi Gupta</v>
      </c>
      <c r="DX20" s="145" t="str">
        <f t="shared" si="78"/>
        <v>Rashmi Kottachery</v>
      </c>
      <c r="DY20" s="145" t="str">
        <f t="shared" si="78"/>
        <v>Rashmi Rangdale</v>
      </c>
      <c r="DZ20" s="145" t="str">
        <f t="shared" si="78"/>
        <v>Rathika Jude</v>
      </c>
      <c r="EA20" s="145" t="str">
        <f t="shared" si="78"/>
        <v>Ratnasree Gudla</v>
      </c>
      <c r="EB20" s="145" t="str">
        <f t="shared" si="78"/>
        <v>Reejaramani Subramani</v>
      </c>
      <c r="EC20" s="145" t="str">
        <f t="shared" ref="EC20:GL20" si="79">EC1</f>
        <v>Reema Rasheed</v>
      </c>
      <c r="ED20" s="145" t="str">
        <f t="shared" si="79"/>
        <v>Reshmi Pulickal Radhakrishnan</v>
      </c>
      <c r="EE20" s="145" t="str">
        <f t="shared" si="79"/>
        <v>Rima Loganathan</v>
      </c>
      <c r="EF20" s="145" t="str">
        <f t="shared" si="79"/>
        <v>Rishi Goswami</v>
      </c>
      <c r="EG20" s="145" t="str">
        <f t="shared" si="79"/>
        <v>Roja Punna</v>
      </c>
      <c r="EH20" s="145" t="str">
        <f t="shared" si="79"/>
        <v>Rupali Bangar</v>
      </c>
      <c r="EI20" s="145" t="str">
        <f t="shared" si="79"/>
        <v>Rutuja Rajput</v>
      </c>
      <c r="EJ20" s="145" t="str">
        <f t="shared" si="79"/>
        <v>Sabiha Khan</v>
      </c>
      <c r="EK20" s="145" t="str">
        <f t="shared" si="79"/>
        <v>Sai Santhya Ravikumar</v>
      </c>
      <c r="EL20" s="145" t="str">
        <f t="shared" si="79"/>
        <v>Sangeetha Jeyabalan</v>
      </c>
      <c r="EM20" s="145" t="str">
        <f t="shared" si="79"/>
        <v>Sanjana Mandal</v>
      </c>
      <c r="EN20" s="145" t="str">
        <f t="shared" si="79"/>
        <v>Sara Abdelsayed</v>
      </c>
      <c r="EO20" s="145" t="str">
        <f t="shared" si="79"/>
        <v>Saranya Sabarish</v>
      </c>
      <c r="EP20" s="145" t="str">
        <f t="shared" si="79"/>
        <v>Sasikala Murugesan</v>
      </c>
      <c r="EQ20" s="145" t="str">
        <f t="shared" si="79"/>
        <v>Sathya Ezhilan</v>
      </c>
      <c r="ER20" s="145" t="str">
        <f t="shared" si="79"/>
        <v>Sathya Naveenraj</v>
      </c>
      <c r="ES20" s="145" t="str">
        <f t="shared" si="79"/>
        <v>Selvakamatchi Rajamani</v>
      </c>
      <c r="ET20" s="145" t="str">
        <f t="shared" si="79"/>
        <v>Shagida Nishwan</v>
      </c>
      <c r="EU20" s="145" t="str">
        <f t="shared" si="79"/>
        <v>Sharanya Madhavan</v>
      </c>
      <c r="EV20" s="145" t="str">
        <f t="shared" si="79"/>
        <v>Sharmila Lakshmipathy</v>
      </c>
      <c r="EW20" s="145" t="str">
        <f t="shared" si="79"/>
        <v>Sharmila Raghavan</v>
      </c>
      <c r="EX20" s="145" t="str">
        <f t="shared" si="79"/>
        <v>Siddhardha Yalavarthy</v>
      </c>
      <c r="EY20" s="145" t="str">
        <f t="shared" si="79"/>
        <v>Sindhu Selvaraj</v>
      </c>
      <c r="EZ20" s="145" t="str">
        <f t="shared" si="79"/>
        <v>Sindhu Thanigesan</v>
      </c>
      <c r="FA20" s="145" t="str">
        <f t="shared" si="79"/>
        <v>Sireesha Gottimukkala</v>
      </c>
      <c r="FB20" s="145" t="str">
        <f t="shared" si="79"/>
        <v>Snehal Choudhari</v>
      </c>
      <c r="FC20" s="145" t="str">
        <f t="shared" si="79"/>
        <v>Snighdha Dave</v>
      </c>
      <c r="FD20" s="145" t="str">
        <f t="shared" si="79"/>
        <v>Somdutta Paul</v>
      </c>
      <c r="FE20" s="145" t="str">
        <f t="shared" si="79"/>
        <v>Sonali Gupta</v>
      </c>
      <c r="FF20" s="145" t="str">
        <f t="shared" si="79"/>
        <v>Sonia Mohanty</v>
      </c>
      <c r="FG20" s="145" t="str">
        <f t="shared" si="79"/>
        <v>Soumya kalyanaraman</v>
      </c>
      <c r="FH20" s="145" t="str">
        <f t="shared" si="79"/>
        <v>Sowjanya Ravella</v>
      </c>
      <c r="FI20" s="145" t="str">
        <f t="shared" si="79"/>
        <v>Sree Nalini Uduta</v>
      </c>
      <c r="FJ20" s="145" t="str">
        <f t="shared" si="79"/>
        <v>Sreedevi Salapu</v>
      </c>
      <c r="FK20" s="145" t="str">
        <f t="shared" si="79"/>
        <v>Srikanya R</v>
      </c>
      <c r="FL20" s="145" t="str">
        <f t="shared" si="79"/>
        <v>Srilekha Kotte</v>
      </c>
      <c r="FM20" s="145" t="str">
        <f t="shared" si="79"/>
        <v>Sripriyadarshini</v>
      </c>
      <c r="FN20" s="145" t="str">
        <f t="shared" si="79"/>
        <v>Srividhyalakshmi Murugadass</v>
      </c>
      <c r="FO20" s="145" t="str">
        <f t="shared" si="79"/>
        <v>Sruthi Arambachalil</v>
      </c>
      <c r="FP20" s="145" t="str">
        <f t="shared" si="79"/>
        <v>Subasri Swaminathan</v>
      </c>
      <c r="FQ20" s="145" t="str">
        <f t="shared" si="79"/>
        <v>Subhanandhini Kumarasamy</v>
      </c>
      <c r="FR20" s="145" t="str">
        <f t="shared" si="79"/>
        <v>Subhina Bhaskar</v>
      </c>
      <c r="FS20" s="145" t="str">
        <f t="shared" si="79"/>
        <v>subratha suresh kamat</v>
      </c>
      <c r="FT20" s="145" t="str">
        <f t="shared" si="79"/>
        <v>Suchitra Rajesh</v>
      </c>
      <c r="FU20" s="145" t="str">
        <f t="shared" si="79"/>
        <v>Sudesh Goel</v>
      </c>
      <c r="FV20" s="145" t="str">
        <f t="shared" si="79"/>
        <v>Sunitha nara</v>
      </c>
      <c r="FW20" s="145" t="str">
        <f t="shared" si="79"/>
        <v>Swathi Kodali</v>
      </c>
      <c r="FX20" s="145" t="str">
        <f t="shared" si="79"/>
        <v>SWATHI LAKSHMI GUNDURU</v>
      </c>
      <c r="FY20" s="145" t="str">
        <f t="shared" si="79"/>
        <v>Swati bartake</v>
      </c>
      <c r="FZ20" s="145" t="str">
        <f t="shared" si="79"/>
        <v>Swati Ghogare</v>
      </c>
      <c r="GA20" s="145" t="str">
        <f t="shared" si="79"/>
        <v>Sweety Ranka</v>
      </c>
      <c r="GB20" s="145" t="str">
        <f t="shared" si="79"/>
        <v>Tapasi Rath</v>
      </c>
      <c r="GC20" s="145" t="str">
        <f t="shared" si="79"/>
        <v>Tarshik Spurling</v>
      </c>
      <c r="GD20" s="145" t="str">
        <f t="shared" si="79"/>
        <v>Tej Patel</v>
      </c>
      <c r="GE20" s="145" t="str">
        <f t="shared" si="79"/>
        <v>Umamaheswari Shanmugam</v>
      </c>
      <c r="GF20" s="145" t="str">
        <f t="shared" si="79"/>
        <v>Usha Devi Singaravelu</v>
      </c>
      <c r="GG20" s="145" t="str">
        <f t="shared" si="79"/>
        <v>Vaishnavi Devi Bunja Dhinakaran</v>
      </c>
      <c r="GH20" s="145" t="str">
        <f t="shared" si="79"/>
        <v>Valarmathi Magudeswaran</v>
      </c>
      <c r="GI20" s="145" t="str">
        <f t="shared" si="79"/>
        <v>Valliammai Ramanathan</v>
      </c>
      <c r="GJ20" s="145" t="str">
        <f t="shared" si="79"/>
        <v>Vani Hanumantu</v>
      </c>
      <c r="GK20" s="145" t="str">
        <f t="shared" si="79"/>
        <v>Varsha Javali</v>
      </c>
      <c r="GL20" s="145" t="str">
        <f t="shared" si="79"/>
        <v>Vasuda Rawal</v>
      </c>
      <c r="GM20" s="145" t="str">
        <f t="shared" ref="GM20:GR20" si="80">GM1</f>
        <v>Vasudha Kodi</v>
      </c>
      <c r="GN20" s="145" t="str">
        <f t="shared" si="80"/>
        <v>Venkata Vemuri</v>
      </c>
      <c r="GO20" s="145" t="str">
        <f t="shared" si="80"/>
        <v>Vidya Thirunavukkarasu</v>
      </c>
      <c r="GP20" s="145" t="str">
        <f t="shared" si="80"/>
        <v>Vijayalakshmi Bhaskaran</v>
      </c>
      <c r="GQ20" s="145" t="str">
        <f t="shared" si="80"/>
        <v>Vyom Bhandari</v>
      </c>
      <c r="GR20" s="145" t="str">
        <f t="shared" si="80"/>
        <v>Yazhini Ravichandran</v>
      </c>
    </row>
    <row r="21" spans="1:200" ht="15.6">
      <c r="A21" s="81">
        <f>'Payroll MRO'!A3</f>
        <v>46023</v>
      </c>
      <c r="B21" s="82" t="str">
        <f>TEXT(A21,"DDD")</f>
        <v>Thu</v>
      </c>
      <c r="C21" s="75">
        <f t="shared" ref="C21:C51" si="81">SUM(D21:GR21)</f>
        <v>1553</v>
      </c>
      <c r="D21" s="83">
        <f>'Payroll Verisma'!D3+'Payroll MRO'!D3</f>
        <v>0</v>
      </c>
      <c r="E21" s="83">
        <f>'Payroll Verisma'!E3+'Payroll MRO'!E3</f>
        <v>0</v>
      </c>
      <c r="F21" s="83">
        <f>'Payroll Verisma'!F3+'Payroll MRO'!F3</f>
        <v>0</v>
      </c>
      <c r="G21" s="83">
        <f>'Payroll Verisma'!G3+'Payroll MRO'!G3</f>
        <v>0</v>
      </c>
      <c r="H21" s="83">
        <f>'Payroll Verisma'!H3+'Payroll MRO'!H3</f>
        <v>0</v>
      </c>
      <c r="I21" s="83">
        <f>'Payroll Verisma'!I3+'Payroll MRO'!I3</f>
        <v>0</v>
      </c>
      <c r="J21" s="83">
        <f>'Payroll Verisma'!J3+'Payroll MRO'!J3</f>
        <v>0</v>
      </c>
      <c r="K21" s="83">
        <f>'Payroll Verisma'!K3+'Payroll MRO'!K3</f>
        <v>0</v>
      </c>
      <c r="L21" s="83">
        <f>'Payroll Verisma'!L3+'Payroll MRO'!L3</f>
        <v>0</v>
      </c>
      <c r="M21" s="83">
        <f>'Payroll Verisma'!M3+'Payroll MRO'!M3</f>
        <v>0</v>
      </c>
      <c r="N21" s="83">
        <f>'Payroll Verisma'!N3+'Payroll MRO'!N3</f>
        <v>0</v>
      </c>
      <c r="O21" s="83">
        <f>'Payroll Verisma'!O3+'Payroll MRO'!O3</f>
        <v>0</v>
      </c>
      <c r="P21" s="83">
        <f>'Payroll Verisma'!P3+'Payroll MRO'!P3</f>
        <v>0</v>
      </c>
      <c r="Q21" s="83">
        <f>'Payroll Verisma'!Q3+'Payroll MRO'!Q3</f>
        <v>0</v>
      </c>
      <c r="R21" s="83">
        <f>'Payroll Verisma'!R3+'Payroll MRO'!R3</f>
        <v>0</v>
      </c>
      <c r="S21" s="83">
        <f>'Payroll Verisma'!S3+'Payroll MRO'!S3</f>
        <v>0</v>
      </c>
      <c r="T21" s="83">
        <f>'Payroll Verisma'!T3+'Payroll MRO'!T3</f>
        <v>56</v>
      </c>
      <c r="U21" s="83">
        <f>'Payroll Verisma'!U3+'Payroll MRO'!U3</f>
        <v>0</v>
      </c>
      <c r="V21" s="83">
        <f>'Payroll Verisma'!V3+'Payroll MRO'!V3</f>
        <v>0</v>
      </c>
      <c r="W21" s="83">
        <f>'Payroll Verisma'!W3+'Payroll MRO'!W3</f>
        <v>4</v>
      </c>
      <c r="X21" s="83">
        <f>'Payroll Verisma'!X3+'Payroll MRO'!X3</f>
        <v>0</v>
      </c>
      <c r="Y21" s="83">
        <f>'Payroll Verisma'!Y3+'Payroll MRO'!Y3</f>
        <v>32</v>
      </c>
      <c r="Z21" s="83">
        <f>'Payroll Verisma'!Z3+'Payroll MRO'!Z3</f>
        <v>62</v>
      </c>
      <c r="AA21" s="83">
        <f>'Payroll Verisma'!AA3+'Payroll MRO'!AA3</f>
        <v>0</v>
      </c>
      <c r="AB21" s="83">
        <f>'Payroll Verisma'!AB3+'Payroll MRO'!AB3</f>
        <v>10</v>
      </c>
      <c r="AC21" s="83">
        <f>'Payroll Verisma'!AC3+'Payroll MRO'!AC3</f>
        <v>0</v>
      </c>
      <c r="AD21" s="83">
        <f>'Payroll Verisma'!AD3+'Payroll MRO'!AD3</f>
        <v>0</v>
      </c>
      <c r="AE21" s="83">
        <f>'Payroll Verisma'!AE3+'Payroll MRO'!AE3</f>
        <v>0</v>
      </c>
      <c r="AF21" s="83">
        <f>'Payroll Verisma'!AF3+'Payroll MRO'!AF3</f>
        <v>0</v>
      </c>
      <c r="AG21" s="83">
        <f>'Payroll Verisma'!AG3+'Payroll MRO'!AG3</f>
        <v>51</v>
      </c>
      <c r="AH21" s="83">
        <f>'Payroll Verisma'!AH3+'Payroll MRO'!AH3</f>
        <v>0</v>
      </c>
      <c r="AI21" s="83">
        <f>'Payroll Verisma'!AI3+'Payroll MRO'!AI3</f>
        <v>0</v>
      </c>
      <c r="AJ21" s="83">
        <f>'Payroll Verisma'!AJ3+'Payroll MRO'!AJ3</f>
        <v>0</v>
      </c>
      <c r="AK21" s="83">
        <f>'Payroll Verisma'!AK3+'Payroll MRO'!AK3</f>
        <v>0</v>
      </c>
      <c r="AL21" s="83">
        <f>'Payroll Verisma'!AL3+'Payroll MRO'!AL3</f>
        <v>0</v>
      </c>
      <c r="AM21" s="83">
        <f>'Payroll Verisma'!AM3+'Payroll MRO'!AM3</f>
        <v>0</v>
      </c>
      <c r="AN21" s="83">
        <f>'Payroll Verisma'!AN3+'Payroll MRO'!AN3</f>
        <v>0</v>
      </c>
      <c r="AO21" s="83">
        <f>'Payroll Verisma'!AO3+'Payroll MRO'!AO3</f>
        <v>0</v>
      </c>
      <c r="AP21" s="83">
        <f>'Payroll Verisma'!AP3+'Payroll MRO'!AP3</f>
        <v>0</v>
      </c>
      <c r="AQ21" s="83">
        <f>'Payroll Verisma'!AQ3+'Payroll MRO'!AQ3</f>
        <v>0</v>
      </c>
      <c r="AR21" s="83">
        <f>'Payroll Verisma'!AR3+'Payroll MRO'!AR3</f>
        <v>0</v>
      </c>
      <c r="AS21" s="83">
        <f>'Payroll Verisma'!AS3+'Payroll MRO'!AS3</f>
        <v>0</v>
      </c>
      <c r="AT21" s="83">
        <f>'Payroll Verisma'!AT3+'Payroll MRO'!AT3</f>
        <v>0</v>
      </c>
      <c r="AU21" s="83">
        <f>'Payroll Verisma'!AU3+'Payroll MRO'!AU3</f>
        <v>0</v>
      </c>
      <c r="AV21" s="83">
        <f>'Payroll Verisma'!AV3+'Payroll MRO'!AV3</f>
        <v>0</v>
      </c>
      <c r="AW21" s="83">
        <f>'Payroll Verisma'!AW3+'Payroll MRO'!AW3</f>
        <v>0</v>
      </c>
      <c r="AX21" s="83">
        <f>'Payroll Verisma'!AX3+'Payroll MRO'!AX3</f>
        <v>0</v>
      </c>
      <c r="AY21" s="83">
        <f>'Payroll Verisma'!AY3+'Payroll MRO'!AY3</f>
        <v>0</v>
      </c>
      <c r="AZ21" s="83">
        <f>'Payroll Verisma'!AZ3+'Payroll MRO'!AZ3</f>
        <v>0</v>
      </c>
      <c r="BA21" s="83">
        <f>'Payroll Verisma'!BA3+'Payroll MRO'!BA3</f>
        <v>0</v>
      </c>
      <c r="BB21" s="83">
        <f>'Payroll Verisma'!BB3+'Payroll MRO'!BB3</f>
        <v>0</v>
      </c>
      <c r="BC21" s="83">
        <f>'Payroll Verisma'!BC3+'Payroll MRO'!BC3</f>
        <v>0</v>
      </c>
      <c r="BD21" s="83">
        <f>'Payroll Verisma'!BD3+'Payroll MRO'!BD3</f>
        <v>0</v>
      </c>
      <c r="BE21" s="83">
        <f>'Payroll Verisma'!BE3+'Payroll MRO'!BE3</f>
        <v>0</v>
      </c>
      <c r="BF21" s="83">
        <f>'Payroll Verisma'!BF3+'Payroll MRO'!BF3</f>
        <v>0</v>
      </c>
      <c r="BG21" s="83">
        <f>'Payroll Verisma'!BG3+'Payroll MRO'!BG3</f>
        <v>17</v>
      </c>
      <c r="BH21" s="83">
        <f>'Payroll Verisma'!BH3+'Payroll MRO'!BH3</f>
        <v>0</v>
      </c>
      <c r="BI21" s="83">
        <f>'Payroll Verisma'!BI3+'Payroll MRO'!BI3</f>
        <v>0</v>
      </c>
      <c r="BJ21" s="83">
        <f>'Payroll Verisma'!BJ3+'Payroll MRO'!BJ3</f>
        <v>0</v>
      </c>
      <c r="BK21" s="83">
        <f>'Payroll Verisma'!BK3+'Payroll MRO'!BK3</f>
        <v>0</v>
      </c>
      <c r="BL21" s="83">
        <f>'Payroll Verisma'!BL3+'Payroll MRO'!BL3</f>
        <v>0</v>
      </c>
      <c r="BM21" s="83">
        <f>'Payroll Verisma'!BM3+'Payroll MRO'!BM3</f>
        <v>0</v>
      </c>
      <c r="BN21" s="83">
        <f>'Payroll Verisma'!BN3+'Payroll MRO'!BN3</f>
        <v>10</v>
      </c>
      <c r="BO21" s="83">
        <f>'Payroll Verisma'!BO3+'Payroll MRO'!BO3</f>
        <v>0</v>
      </c>
      <c r="BP21" s="83">
        <f>'Payroll Verisma'!BP3+'Payroll MRO'!BP3</f>
        <v>0</v>
      </c>
      <c r="BQ21" s="83">
        <f>'Payroll Verisma'!BQ3+'Payroll MRO'!BQ3</f>
        <v>0</v>
      </c>
      <c r="BR21" s="83">
        <f>'Payroll Verisma'!BR3+'Payroll MRO'!BR3</f>
        <v>0</v>
      </c>
      <c r="BS21" s="83">
        <f>'Payroll Verisma'!BS3+'Payroll MRO'!BS3</f>
        <v>0</v>
      </c>
      <c r="BT21" s="83">
        <f>'Payroll Verisma'!BT3+'Payroll MRO'!BT3</f>
        <v>0</v>
      </c>
      <c r="BU21" s="83">
        <f>'Payroll Verisma'!BU3+'Payroll MRO'!BU3</f>
        <v>0</v>
      </c>
      <c r="BV21" s="83">
        <f>'Payroll Verisma'!BV3+'Payroll MRO'!BV3</f>
        <v>0</v>
      </c>
      <c r="BW21" s="83">
        <f>'Payroll Verisma'!BW3+'Payroll MRO'!BW3</f>
        <v>0</v>
      </c>
      <c r="BX21" s="83">
        <f>'Payroll Verisma'!BX3+'Payroll MRO'!BX3</f>
        <v>19</v>
      </c>
      <c r="BY21" s="83">
        <f>'Payroll Verisma'!BY3+'Payroll MRO'!BY3</f>
        <v>0</v>
      </c>
      <c r="BZ21" s="83">
        <f>'Payroll Verisma'!BZ3+'Payroll MRO'!BZ3</f>
        <v>0</v>
      </c>
      <c r="CA21" s="83">
        <f>'Payroll Verisma'!CA3+'Payroll MRO'!CA3</f>
        <v>0</v>
      </c>
      <c r="CB21" s="83">
        <f>'Payroll Verisma'!CB3+'Payroll MRO'!CB3</f>
        <v>0</v>
      </c>
      <c r="CC21" s="83">
        <f>'Payroll Verisma'!CC3+'Payroll MRO'!CC3</f>
        <v>0</v>
      </c>
      <c r="CD21" s="83">
        <f>'Payroll Verisma'!CD3+'Payroll MRO'!CD3</f>
        <v>27</v>
      </c>
      <c r="CE21" s="83">
        <f>'Payroll Verisma'!CE3+'Payroll MRO'!CE3</f>
        <v>0</v>
      </c>
      <c r="CF21" s="83">
        <f>'Payroll Verisma'!CF3+'Payroll MRO'!CF3</f>
        <v>0</v>
      </c>
      <c r="CG21" s="83">
        <f>'Payroll Verisma'!CG3+'Payroll MRO'!CG3</f>
        <v>0</v>
      </c>
      <c r="CH21" s="83">
        <f>'Payroll Verisma'!CH3+'Payroll MRO'!CH3</f>
        <v>8</v>
      </c>
      <c r="CI21" s="83">
        <f>'Payroll Verisma'!CI3+'Payroll MRO'!CI3</f>
        <v>0</v>
      </c>
      <c r="CJ21" s="83">
        <f>'Payroll Verisma'!CJ3+'Payroll MRO'!CJ3</f>
        <v>30</v>
      </c>
      <c r="CK21" s="83">
        <f>'Payroll Verisma'!CK3+'Payroll MRO'!CK3</f>
        <v>0</v>
      </c>
      <c r="CL21" s="83">
        <f>'Payroll Verisma'!CL3+'Payroll MRO'!CL3</f>
        <v>0</v>
      </c>
      <c r="CM21" s="83">
        <f>'Payroll Verisma'!CM3+'Payroll MRO'!CM3</f>
        <v>0</v>
      </c>
      <c r="CN21" s="83">
        <f>'Payroll Verisma'!CN3+'Payroll MRO'!CN3</f>
        <v>51</v>
      </c>
      <c r="CO21" s="83">
        <f>'Payroll Verisma'!CO3+'Payroll MRO'!CO3</f>
        <v>0</v>
      </c>
      <c r="CP21" s="83">
        <f>'Payroll Verisma'!CP3+'Payroll MRO'!CP3</f>
        <v>0</v>
      </c>
      <c r="CQ21" s="83">
        <f>'Payroll Verisma'!CQ3+'Payroll MRO'!CQ3</f>
        <v>0</v>
      </c>
      <c r="CR21" s="83">
        <f>'Payroll Verisma'!CR3+'Payroll MRO'!CR3</f>
        <v>10</v>
      </c>
      <c r="CS21" s="83">
        <f>'Payroll Verisma'!CS3+'Payroll MRO'!CS3</f>
        <v>0</v>
      </c>
      <c r="CT21" s="83">
        <f>'Payroll Verisma'!CT3+'Payroll MRO'!CT3</f>
        <v>0</v>
      </c>
      <c r="CU21" s="83">
        <f>'Payroll Verisma'!CU3+'Payroll MRO'!CU3</f>
        <v>89</v>
      </c>
      <c r="CV21" s="83">
        <f>'Payroll Verisma'!CV3+'Payroll MRO'!CV3</f>
        <v>0</v>
      </c>
      <c r="CW21" s="83">
        <f>'Payroll Verisma'!CW3+'Payroll MRO'!CW3</f>
        <v>0</v>
      </c>
      <c r="CX21" s="83">
        <f>'Payroll Verisma'!CX3+'Payroll MRO'!CX3</f>
        <v>0</v>
      </c>
      <c r="CY21" s="83">
        <f>'Payroll Verisma'!CY3+'Payroll MRO'!CY3</f>
        <v>0</v>
      </c>
      <c r="CZ21" s="83">
        <f>'Payroll Verisma'!CZ3+'Payroll MRO'!CZ3</f>
        <v>0</v>
      </c>
      <c r="DA21" s="83">
        <f>'Payroll Verisma'!DA3+'Payroll MRO'!DA3</f>
        <v>0</v>
      </c>
      <c r="DB21" s="83">
        <f>'Payroll Verisma'!DB3+'Payroll MRO'!DB3</f>
        <v>0</v>
      </c>
      <c r="DC21" s="83">
        <f>'Payroll Verisma'!DC3+'Payroll MRO'!DC3</f>
        <v>0</v>
      </c>
      <c r="DD21" s="83">
        <f>'Payroll Verisma'!DD3+'Payroll MRO'!DD3</f>
        <v>0</v>
      </c>
      <c r="DE21" s="83">
        <f>'Payroll Verisma'!DE3+'Payroll MRO'!DE3</f>
        <v>0</v>
      </c>
      <c r="DF21" s="83">
        <f>'Payroll Verisma'!DF3+'Payroll MRO'!DF3</f>
        <v>0</v>
      </c>
      <c r="DG21" s="83">
        <f>'Payroll Verisma'!DG3+'Payroll MRO'!DG3</f>
        <v>0</v>
      </c>
      <c r="DH21" s="83">
        <f>'Payroll Verisma'!DH3+'Payroll MRO'!DH3</f>
        <v>0</v>
      </c>
      <c r="DI21" s="83">
        <f>'Payroll Verisma'!DI3+'Payroll MRO'!DI3</f>
        <v>0</v>
      </c>
      <c r="DJ21" s="83">
        <f>'Payroll Verisma'!DJ3+'Payroll MRO'!DJ3</f>
        <v>0</v>
      </c>
      <c r="DK21" s="83">
        <f>'Payroll Verisma'!DK3+'Payroll MRO'!DK3</f>
        <v>152</v>
      </c>
      <c r="DL21" s="83">
        <f>'Payroll Verisma'!DL3+'Payroll MRO'!DL3</f>
        <v>0</v>
      </c>
      <c r="DM21" s="83">
        <f>'Payroll Verisma'!DM3+'Payroll MRO'!DM3</f>
        <v>0</v>
      </c>
      <c r="DN21" s="83">
        <f>'Payroll Verisma'!DN3+'Payroll MRO'!DN3</f>
        <v>0</v>
      </c>
      <c r="DO21" s="83">
        <f>'Payroll Verisma'!DO3+'Payroll MRO'!DO3</f>
        <v>0</v>
      </c>
      <c r="DP21" s="83">
        <f>'Payroll Verisma'!DP3+'Payroll MRO'!DP3</f>
        <v>48</v>
      </c>
      <c r="DQ21" s="83">
        <f>'Payroll Verisma'!DQ3+'Payroll MRO'!DQ3</f>
        <v>0</v>
      </c>
      <c r="DR21" s="83">
        <f>'Payroll Verisma'!DR3+'Payroll MRO'!DR3</f>
        <v>0</v>
      </c>
      <c r="DS21" s="83">
        <f>'Payroll Verisma'!DS3+'Payroll MRO'!DS3</f>
        <v>0</v>
      </c>
      <c r="DT21" s="83">
        <f>'Payroll Verisma'!DT3+'Payroll MRO'!DT3</f>
        <v>0</v>
      </c>
      <c r="DU21" s="83">
        <f>'Payroll Verisma'!DU3+'Payroll MRO'!DU3</f>
        <v>0</v>
      </c>
      <c r="DV21" s="83">
        <f>'Payroll Verisma'!DV3+'Payroll MRO'!DV3</f>
        <v>0</v>
      </c>
      <c r="DW21" s="83">
        <f>'Payroll Verisma'!DW3+'Payroll MRO'!DW3</f>
        <v>0</v>
      </c>
      <c r="DX21" s="83">
        <f>'Payroll Verisma'!DX3+'Payroll MRO'!DX3</f>
        <v>3</v>
      </c>
      <c r="DY21" s="83">
        <f>'Payroll Verisma'!DY3+'Payroll MRO'!DY3</f>
        <v>0</v>
      </c>
      <c r="DZ21" s="83">
        <f>'Payroll Verisma'!DZ3+'Payroll MRO'!DZ3</f>
        <v>0</v>
      </c>
      <c r="EA21" s="83">
        <f>'Payroll Verisma'!EA3+'Payroll MRO'!EA3</f>
        <v>0</v>
      </c>
      <c r="EB21" s="83">
        <f>'Payroll Verisma'!EB3+'Payroll MRO'!EB3</f>
        <v>0</v>
      </c>
      <c r="EC21" s="83">
        <f>'Payroll Verisma'!EC3+'Payroll MRO'!EC3</f>
        <v>22</v>
      </c>
      <c r="ED21" s="83">
        <f>'Payroll Verisma'!ED3+'Payroll MRO'!ED3</f>
        <v>17</v>
      </c>
      <c r="EE21" s="83">
        <f>'Payroll Verisma'!EE3+'Payroll MRO'!EE3</f>
        <v>12</v>
      </c>
      <c r="EF21" s="83">
        <f>'Payroll Verisma'!EF3+'Payroll MRO'!EF3</f>
        <v>0</v>
      </c>
      <c r="EG21" s="83">
        <f>'Payroll Verisma'!EG3+'Payroll MRO'!EG3</f>
        <v>0</v>
      </c>
      <c r="EH21" s="83">
        <f>'Payroll Verisma'!EH3+'Payroll MRO'!EH3</f>
        <v>0</v>
      </c>
      <c r="EI21" s="83">
        <f>'Payroll Verisma'!EI3+'Payroll MRO'!EI3</f>
        <v>109</v>
      </c>
      <c r="EJ21" s="83">
        <f>'Payroll Verisma'!EJ3+'Payroll MRO'!EJ3</f>
        <v>0</v>
      </c>
      <c r="EK21" s="83">
        <f>'Payroll Verisma'!EK3+'Payroll MRO'!EK3</f>
        <v>0</v>
      </c>
      <c r="EL21" s="83">
        <f>'Payroll Verisma'!EL3+'Payroll MRO'!EL3</f>
        <v>0</v>
      </c>
      <c r="EM21" s="83">
        <f>'Payroll Verisma'!EM3+'Payroll MRO'!EM3</f>
        <v>0</v>
      </c>
      <c r="EN21" s="83">
        <f>'Payroll Verisma'!EN3+'Payroll MRO'!EN3</f>
        <v>0</v>
      </c>
      <c r="EO21" s="83">
        <f>'Payroll Verisma'!EO3+'Payroll MRO'!EO3</f>
        <v>0</v>
      </c>
      <c r="EP21" s="83">
        <f>'Payroll Verisma'!EP3+'Payroll MRO'!EP3</f>
        <v>0</v>
      </c>
      <c r="EQ21" s="83">
        <f>'Payroll Verisma'!EQ3+'Payroll MRO'!EQ3</f>
        <v>0</v>
      </c>
      <c r="ER21" s="83">
        <f>'Payroll Verisma'!ER3+'Payroll MRO'!ER3</f>
        <v>0</v>
      </c>
      <c r="ES21" s="83">
        <f>'Payroll Verisma'!ES3+'Payroll MRO'!ES3</f>
        <v>0</v>
      </c>
      <c r="ET21" s="83">
        <f>'Payroll Verisma'!ET3+'Payroll MRO'!ET3</f>
        <v>0</v>
      </c>
      <c r="EU21" s="83">
        <f>'Payroll Verisma'!EU3+'Payroll MRO'!EU3</f>
        <v>0</v>
      </c>
      <c r="EV21" s="83">
        <f>'Payroll Verisma'!EV3+'Payroll MRO'!EV3</f>
        <v>0</v>
      </c>
      <c r="EW21" s="83">
        <f>'Payroll Verisma'!EW3+'Payroll MRO'!EW3</f>
        <v>0</v>
      </c>
      <c r="EX21" s="83">
        <f>'Payroll Verisma'!EX3+'Payroll MRO'!EX3</f>
        <v>0</v>
      </c>
      <c r="EY21" s="83">
        <f>'Payroll Verisma'!EY3+'Payroll MRO'!EY3</f>
        <v>0</v>
      </c>
      <c r="EZ21" s="83">
        <f>'Payroll Verisma'!EZ3+'Payroll MRO'!EZ3</f>
        <v>0</v>
      </c>
      <c r="FA21" s="83">
        <f>'Payroll Verisma'!FA3+'Payroll MRO'!FA3</f>
        <v>0</v>
      </c>
      <c r="FB21" s="83">
        <f>'Payroll Verisma'!FB3+'Payroll MRO'!FB3</f>
        <v>0</v>
      </c>
      <c r="FC21" s="83">
        <f>'Payroll Verisma'!FC3+'Payroll MRO'!FC3</f>
        <v>0</v>
      </c>
      <c r="FD21" s="83">
        <f>'Payroll Verisma'!FD3+'Payroll MRO'!FD3</f>
        <v>0</v>
      </c>
      <c r="FE21" s="83">
        <f>'Payroll Verisma'!FE3+'Payroll MRO'!FE3</f>
        <v>25</v>
      </c>
      <c r="FF21" s="83">
        <f>'Payroll Verisma'!FF3+'Payroll MRO'!FF3</f>
        <v>14</v>
      </c>
      <c r="FG21" s="83">
        <f>'Payroll Verisma'!FG3+'Payroll MRO'!FG3</f>
        <v>0</v>
      </c>
      <c r="FH21" s="83">
        <f>'Payroll Verisma'!FH3+'Payroll MRO'!FH3</f>
        <v>290</v>
      </c>
      <c r="FI21" s="83">
        <f>'Payroll Verisma'!FI3+'Payroll MRO'!FI3</f>
        <v>0</v>
      </c>
      <c r="FJ21" s="83">
        <f>'Payroll Verisma'!FJ3+'Payroll MRO'!FJ3</f>
        <v>0</v>
      </c>
      <c r="FK21" s="83">
        <f>'Payroll Verisma'!FK3+'Payroll MRO'!FK3</f>
        <v>3</v>
      </c>
      <c r="FL21" s="83">
        <f>'Payroll Verisma'!FL3+'Payroll MRO'!FL3</f>
        <v>0</v>
      </c>
      <c r="FM21" s="83">
        <f>'Payroll Verisma'!FM3+'Payroll MRO'!FM3</f>
        <v>0</v>
      </c>
      <c r="FN21" s="83">
        <f>'Payroll Verisma'!FN3+'Payroll MRO'!FN3</f>
        <v>0</v>
      </c>
      <c r="FO21" s="83">
        <f>'Payroll Verisma'!FO3+'Payroll MRO'!FO3</f>
        <v>0</v>
      </c>
      <c r="FP21" s="83">
        <f>'Payroll Verisma'!FP3+'Payroll MRO'!FP3</f>
        <v>0</v>
      </c>
      <c r="FQ21" s="83">
        <f>'Payroll Verisma'!FQ3+'Payroll MRO'!FQ3</f>
        <v>0</v>
      </c>
      <c r="FR21" s="83">
        <f>'Payroll Verisma'!FR3+'Payroll MRO'!FR3</f>
        <v>0</v>
      </c>
      <c r="FS21" s="83">
        <f>'Payroll Verisma'!FS3+'Payroll MRO'!FS3</f>
        <v>200</v>
      </c>
      <c r="FT21" s="83">
        <f>'Payroll Verisma'!FT3+'Payroll MRO'!FT3</f>
        <v>0</v>
      </c>
      <c r="FU21" s="83">
        <f>'Payroll Verisma'!FU3+'Payroll MRO'!FU3</f>
        <v>0</v>
      </c>
      <c r="FV21" s="83">
        <f>'Payroll Verisma'!FV3+'Payroll MRO'!FV3</f>
        <v>0</v>
      </c>
      <c r="FW21" s="83">
        <f>'Payroll Verisma'!FW3+'Payroll MRO'!FW3</f>
        <v>0</v>
      </c>
      <c r="FX21" s="83">
        <f>'Payroll Verisma'!FX3+'Payroll MRO'!FX3</f>
        <v>0</v>
      </c>
      <c r="FY21" s="83">
        <f>'Payroll Verisma'!FY3+'Payroll MRO'!FY3</f>
        <v>0</v>
      </c>
      <c r="FZ21" s="83">
        <f>'Payroll Verisma'!FZ3+'Payroll MRO'!FZ3</f>
        <v>0</v>
      </c>
      <c r="GA21" s="83">
        <f>'Payroll Verisma'!GA3+'Payroll MRO'!GA3</f>
        <v>0</v>
      </c>
      <c r="GB21" s="83">
        <f>'Payroll Verisma'!GB3+'Payroll MRO'!GB3</f>
        <v>0</v>
      </c>
      <c r="GC21" s="83">
        <f>'Payroll Verisma'!GC3+'Payroll MRO'!GC3</f>
        <v>0</v>
      </c>
      <c r="GD21" s="83">
        <f>'Payroll Verisma'!GD3+'Payroll MRO'!GD3</f>
        <v>122</v>
      </c>
      <c r="GE21" s="83">
        <f>'Payroll Verisma'!GE3+'Payroll MRO'!GE3</f>
        <v>28</v>
      </c>
      <c r="GF21" s="83">
        <f>'Payroll Verisma'!GF3+'Payroll MRO'!GF3</f>
        <v>0</v>
      </c>
      <c r="GG21" s="83">
        <f>'Payroll Verisma'!GG3+'Payroll MRO'!GG3</f>
        <v>4</v>
      </c>
      <c r="GH21" s="83">
        <f>'Payroll Verisma'!GH3+'Payroll MRO'!GH3</f>
        <v>0</v>
      </c>
      <c r="GI21" s="83">
        <f>'Payroll Verisma'!GI3+'Payroll MRO'!GI3</f>
        <v>0</v>
      </c>
      <c r="GJ21" s="83">
        <f>'Payroll Verisma'!GJ3+'Payroll MRO'!GJ3</f>
        <v>1</v>
      </c>
      <c r="GK21" s="83">
        <f>'Payroll Verisma'!GK3+'Payroll MRO'!GK3</f>
        <v>0</v>
      </c>
      <c r="GL21" s="83">
        <f>'Payroll Verisma'!GL3+'Payroll MRO'!GL3</f>
        <v>27</v>
      </c>
      <c r="GM21" s="83">
        <f>'Payroll Verisma'!GM3+'Payroll MRO'!GM3</f>
        <v>0</v>
      </c>
      <c r="GN21" s="83">
        <f>'Payroll Verisma'!GN3+'Payroll MRO'!GN3</f>
        <v>0</v>
      </c>
      <c r="GO21" s="83">
        <f>'Payroll Verisma'!GO3+'Payroll MRO'!GO3</f>
        <v>0</v>
      </c>
      <c r="GP21" s="83">
        <f>'Payroll Verisma'!GP3+'Payroll MRO'!GP3</f>
        <v>0</v>
      </c>
      <c r="GQ21" s="83">
        <f>'Payroll Verisma'!GQ3+'Payroll MRO'!GQ3</f>
        <v>0</v>
      </c>
      <c r="GR21" s="83">
        <f>'Payroll Verisma'!GR3+'Payroll MRO'!GR3</f>
        <v>0</v>
      </c>
    </row>
    <row r="22" spans="1:200" ht="15.6">
      <c r="A22" s="81">
        <f>A21+1</f>
        <v>46024</v>
      </c>
      <c r="B22" s="82" t="str">
        <f t="shared" ref="B22:B50" si="82">TEXT(A22,"DDD")</f>
        <v>Fri</v>
      </c>
      <c r="C22" s="75">
        <f t="shared" si="81"/>
        <v>4728</v>
      </c>
      <c r="D22" s="83">
        <f>'Payroll Verisma'!D4+'Payroll MRO'!D4</f>
        <v>0</v>
      </c>
      <c r="E22" s="83">
        <f>'Payroll Verisma'!E4+'Payroll MRO'!E4</f>
        <v>0</v>
      </c>
      <c r="F22" s="83">
        <f>'Payroll Verisma'!F4+'Payroll MRO'!F4</f>
        <v>0</v>
      </c>
      <c r="G22" s="83">
        <f>'Payroll Verisma'!G4+'Payroll MRO'!G4</f>
        <v>0</v>
      </c>
      <c r="H22" s="83">
        <f>'Payroll Verisma'!H4+'Payroll MRO'!H4</f>
        <v>33</v>
      </c>
      <c r="I22" s="83">
        <f>'Payroll Verisma'!I4+'Payroll MRO'!I4</f>
        <v>0</v>
      </c>
      <c r="J22" s="83">
        <f>'Payroll Verisma'!J4+'Payroll MRO'!J4</f>
        <v>0</v>
      </c>
      <c r="K22" s="83">
        <f>'Payroll Verisma'!K4+'Payroll MRO'!K4</f>
        <v>0</v>
      </c>
      <c r="L22" s="83">
        <f>'Payroll Verisma'!L4+'Payroll MRO'!L4</f>
        <v>0</v>
      </c>
      <c r="M22" s="83">
        <f>'Payroll Verisma'!M4+'Payroll MRO'!M4</f>
        <v>0</v>
      </c>
      <c r="N22" s="83">
        <f>'Payroll Verisma'!N4+'Payroll MRO'!N4</f>
        <v>32</v>
      </c>
      <c r="O22" s="83">
        <f>'Payroll Verisma'!O4+'Payroll MRO'!O4</f>
        <v>0</v>
      </c>
      <c r="P22" s="83">
        <f>'Payroll Verisma'!P4+'Payroll MRO'!P4</f>
        <v>26</v>
      </c>
      <c r="Q22" s="83">
        <f>'Payroll Verisma'!Q4+'Payroll MRO'!Q4</f>
        <v>0</v>
      </c>
      <c r="R22" s="83">
        <f>'Payroll Verisma'!R4+'Payroll MRO'!R4</f>
        <v>162</v>
      </c>
      <c r="S22" s="83">
        <f>'Payroll Verisma'!S4+'Payroll MRO'!S4</f>
        <v>57</v>
      </c>
      <c r="T22" s="83">
        <f>'Payroll Verisma'!T4+'Payroll MRO'!T4</f>
        <v>136</v>
      </c>
      <c r="U22" s="83">
        <f>'Payroll Verisma'!U4+'Payroll MRO'!U4</f>
        <v>0</v>
      </c>
      <c r="V22" s="83">
        <f>'Payroll Verisma'!V4+'Payroll MRO'!V4</f>
        <v>54</v>
      </c>
      <c r="W22" s="83">
        <f>'Payroll Verisma'!W4+'Payroll MRO'!W4</f>
        <v>25</v>
      </c>
      <c r="X22" s="83">
        <f>'Payroll Verisma'!X4+'Payroll MRO'!X4</f>
        <v>0</v>
      </c>
      <c r="Y22" s="83">
        <f>'Payroll Verisma'!Y4+'Payroll MRO'!Y4</f>
        <v>28</v>
      </c>
      <c r="Z22" s="83">
        <f>'Payroll Verisma'!Z4+'Payroll MRO'!Z4</f>
        <v>0</v>
      </c>
      <c r="AA22" s="83">
        <f>'Payroll Verisma'!AA4+'Payroll MRO'!AA4</f>
        <v>12</v>
      </c>
      <c r="AB22" s="83">
        <f>'Payroll Verisma'!AB4+'Payroll MRO'!AB4</f>
        <v>6</v>
      </c>
      <c r="AC22" s="83">
        <f>'Payroll Verisma'!AC4+'Payroll MRO'!AC4</f>
        <v>0</v>
      </c>
      <c r="AD22" s="83">
        <f>'Payroll Verisma'!AD4+'Payroll MRO'!AD4</f>
        <v>36</v>
      </c>
      <c r="AE22" s="83">
        <f>'Payroll Verisma'!AE4+'Payroll MRO'!AE4</f>
        <v>0</v>
      </c>
      <c r="AF22" s="83">
        <f>'Payroll Verisma'!AF4+'Payroll MRO'!AF4</f>
        <v>0</v>
      </c>
      <c r="AG22" s="83">
        <f>'Payroll Verisma'!AG4+'Payroll MRO'!AG4</f>
        <v>0</v>
      </c>
      <c r="AH22" s="83">
        <f>'Payroll Verisma'!AH4+'Payroll MRO'!AH4</f>
        <v>0</v>
      </c>
      <c r="AI22" s="83">
        <f>'Payroll Verisma'!AI4+'Payroll MRO'!AI4</f>
        <v>0</v>
      </c>
      <c r="AJ22" s="83">
        <f>'Payroll Verisma'!AJ4+'Payroll MRO'!AJ4</f>
        <v>0</v>
      </c>
      <c r="AK22" s="83">
        <f>'Payroll Verisma'!AK4+'Payroll MRO'!AK4</f>
        <v>0</v>
      </c>
      <c r="AL22" s="83">
        <f>'Payroll Verisma'!AL4+'Payroll MRO'!AL4</f>
        <v>0</v>
      </c>
      <c r="AM22" s="83">
        <f>'Payroll Verisma'!AM4+'Payroll MRO'!AM4</f>
        <v>0</v>
      </c>
      <c r="AN22" s="83">
        <f>'Payroll Verisma'!AN4+'Payroll MRO'!AN4</f>
        <v>0</v>
      </c>
      <c r="AO22" s="83">
        <f>'Payroll Verisma'!AO4+'Payroll MRO'!AO4</f>
        <v>0</v>
      </c>
      <c r="AP22" s="83">
        <f>'Payroll Verisma'!AP4+'Payroll MRO'!AP4</f>
        <v>14</v>
      </c>
      <c r="AQ22" s="83">
        <f>'Payroll Verisma'!AQ4+'Payroll MRO'!AQ4</f>
        <v>0</v>
      </c>
      <c r="AR22" s="83">
        <f>'Payroll Verisma'!AR4+'Payroll MRO'!AR4</f>
        <v>28</v>
      </c>
      <c r="AS22" s="83">
        <f>'Payroll Verisma'!AS4+'Payroll MRO'!AS4</f>
        <v>0</v>
      </c>
      <c r="AT22" s="83">
        <f>'Payroll Verisma'!AT4+'Payroll MRO'!AT4</f>
        <v>0</v>
      </c>
      <c r="AU22" s="83">
        <f>'Payroll Verisma'!AU4+'Payroll MRO'!AU4</f>
        <v>0</v>
      </c>
      <c r="AV22" s="83">
        <f>'Payroll Verisma'!AV4+'Payroll MRO'!AV4</f>
        <v>10</v>
      </c>
      <c r="AW22" s="83">
        <f>'Payroll Verisma'!AW4+'Payroll MRO'!AW4</f>
        <v>30</v>
      </c>
      <c r="AX22" s="83">
        <f>'Payroll Verisma'!AX4+'Payroll MRO'!AX4</f>
        <v>82</v>
      </c>
      <c r="AY22" s="83">
        <f>'Payroll Verisma'!AY4+'Payroll MRO'!AY4</f>
        <v>17</v>
      </c>
      <c r="AZ22" s="83">
        <f>'Payroll Verisma'!AZ4+'Payroll MRO'!AZ4</f>
        <v>0</v>
      </c>
      <c r="BA22" s="83">
        <f>'Payroll Verisma'!BA4+'Payroll MRO'!BA4</f>
        <v>87</v>
      </c>
      <c r="BB22" s="83">
        <f>'Payroll Verisma'!BB4+'Payroll MRO'!BB4</f>
        <v>0</v>
      </c>
      <c r="BC22" s="83">
        <f>'Payroll Verisma'!BC4+'Payroll MRO'!BC4</f>
        <v>0</v>
      </c>
      <c r="BD22" s="83">
        <f>'Payroll Verisma'!BD4+'Payroll MRO'!BD4</f>
        <v>250</v>
      </c>
      <c r="BE22" s="83">
        <f>'Payroll Verisma'!BE4+'Payroll MRO'!BE4</f>
        <v>40</v>
      </c>
      <c r="BF22" s="83">
        <f>'Payroll Verisma'!BF4+'Payroll MRO'!BF4</f>
        <v>0</v>
      </c>
      <c r="BG22" s="83">
        <f>'Payroll Verisma'!BG4+'Payroll MRO'!BG4</f>
        <v>29</v>
      </c>
      <c r="BH22" s="83">
        <f>'Payroll Verisma'!BH4+'Payroll MRO'!BH4</f>
        <v>0</v>
      </c>
      <c r="BI22" s="83">
        <f>'Payroll Verisma'!BI4+'Payroll MRO'!BI4</f>
        <v>72</v>
      </c>
      <c r="BJ22" s="83">
        <f>'Payroll Verisma'!BJ4+'Payroll MRO'!BJ4</f>
        <v>17</v>
      </c>
      <c r="BK22" s="83">
        <f>'Payroll Verisma'!BK4+'Payroll MRO'!BK4</f>
        <v>0</v>
      </c>
      <c r="BL22" s="83">
        <f>'Payroll Verisma'!BL4+'Payroll MRO'!BL4</f>
        <v>119</v>
      </c>
      <c r="BM22" s="83">
        <f>'Payroll Verisma'!BM4+'Payroll MRO'!BM4</f>
        <v>0</v>
      </c>
      <c r="BN22" s="83">
        <f>'Payroll Verisma'!BN4+'Payroll MRO'!BN4</f>
        <v>0</v>
      </c>
      <c r="BO22" s="83">
        <f>'Payroll Verisma'!BO4+'Payroll MRO'!BO4</f>
        <v>0</v>
      </c>
      <c r="BP22" s="83">
        <f>'Payroll Verisma'!BP4+'Payroll MRO'!BP4</f>
        <v>61</v>
      </c>
      <c r="BQ22" s="83">
        <f>'Payroll Verisma'!BQ4+'Payroll MRO'!BQ4</f>
        <v>0</v>
      </c>
      <c r="BR22" s="83">
        <f>'Payroll Verisma'!BR4+'Payroll MRO'!BR4</f>
        <v>0</v>
      </c>
      <c r="BS22" s="83">
        <f>'Payroll Verisma'!BS4+'Payroll MRO'!BS4</f>
        <v>38</v>
      </c>
      <c r="BT22" s="83">
        <f>'Payroll Verisma'!BT4+'Payroll MRO'!BT4</f>
        <v>0</v>
      </c>
      <c r="BU22" s="83">
        <f>'Payroll Verisma'!BU4+'Payroll MRO'!BU4</f>
        <v>20</v>
      </c>
      <c r="BV22" s="83">
        <f>'Payroll Verisma'!BV4+'Payroll MRO'!BV4</f>
        <v>35</v>
      </c>
      <c r="BW22" s="83">
        <f>'Payroll Verisma'!BW4+'Payroll MRO'!BW4</f>
        <v>40</v>
      </c>
      <c r="BX22" s="83">
        <f>'Payroll Verisma'!BX4+'Payroll MRO'!BX4</f>
        <v>66</v>
      </c>
      <c r="BY22" s="83">
        <f>'Payroll Verisma'!BY4+'Payroll MRO'!BY4</f>
        <v>0</v>
      </c>
      <c r="BZ22" s="83">
        <f>'Payroll Verisma'!BZ4+'Payroll MRO'!BZ4</f>
        <v>30</v>
      </c>
      <c r="CA22" s="83">
        <f>'Payroll Verisma'!CA4+'Payroll MRO'!CA4</f>
        <v>0</v>
      </c>
      <c r="CB22" s="83">
        <f>'Payroll Verisma'!CB4+'Payroll MRO'!CB4</f>
        <v>0</v>
      </c>
      <c r="CC22" s="83">
        <f>'Payroll Verisma'!CC4+'Payroll MRO'!CC4</f>
        <v>26</v>
      </c>
      <c r="CD22" s="83">
        <f>'Payroll Verisma'!CD4+'Payroll MRO'!CD4</f>
        <v>0</v>
      </c>
      <c r="CE22" s="83">
        <f>'Payroll Verisma'!CE4+'Payroll MRO'!CE4</f>
        <v>0</v>
      </c>
      <c r="CF22" s="83">
        <f>'Payroll Verisma'!CF4+'Payroll MRO'!CF4</f>
        <v>17</v>
      </c>
      <c r="CG22" s="83">
        <f>'Payroll Verisma'!CG4+'Payroll MRO'!CG4</f>
        <v>0</v>
      </c>
      <c r="CH22" s="83">
        <f>'Payroll Verisma'!CH4+'Payroll MRO'!CH4</f>
        <v>47</v>
      </c>
      <c r="CI22" s="83">
        <f>'Payroll Verisma'!CI4+'Payroll MRO'!CI4</f>
        <v>0</v>
      </c>
      <c r="CJ22" s="83">
        <f>'Payroll Verisma'!CJ4+'Payroll MRO'!CJ4</f>
        <v>105</v>
      </c>
      <c r="CK22" s="83">
        <f>'Payroll Verisma'!CK4+'Payroll MRO'!CK4</f>
        <v>0</v>
      </c>
      <c r="CL22" s="83">
        <f>'Payroll Verisma'!CL4+'Payroll MRO'!CL4</f>
        <v>0</v>
      </c>
      <c r="CM22" s="83">
        <f>'Payroll Verisma'!CM4+'Payroll MRO'!CM4</f>
        <v>0</v>
      </c>
      <c r="CN22" s="83">
        <f>'Payroll Verisma'!CN4+'Payroll MRO'!CN4</f>
        <v>57</v>
      </c>
      <c r="CO22" s="83">
        <f>'Payroll Verisma'!CO4+'Payroll MRO'!CO4</f>
        <v>0</v>
      </c>
      <c r="CP22" s="83">
        <f>'Payroll Verisma'!CP4+'Payroll MRO'!CP4</f>
        <v>0</v>
      </c>
      <c r="CQ22" s="83">
        <f>'Payroll Verisma'!CQ4+'Payroll MRO'!CQ4</f>
        <v>0</v>
      </c>
      <c r="CR22" s="83">
        <f>'Payroll Verisma'!CR4+'Payroll MRO'!CR4</f>
        <v>25</v>
      </c>
      <c r="CS22" s="83">
        <f>'Payroll Verisma'!CS4+'Payroll MRO'!CS4</f>
        <v>5</v>
      </c>
      <c r="CT22" s="83">
        <f>'Payroll Verisma'!CT4+'Payroll MRO'!CT4</f>
        <v>0</v>
      </c>
      <c r="CU22" s="83">
        <f>'Payroll Verisma'!CU4+'Payroll MRO'!CU4</f>
        <v>0</v>
      </c>
      <c r="CV22" s="83">
        <f>'Payroll Verisma'!CV4+'Payroll MRO'!CV4</f>
        <v>0</v>
      </c>
      <c r="CW22" s="83">
        <f>'Payroll Verisma'!CW4+'Payroll MRO'!CW4</f>
        <v>0</v>
      </c>
      <c r="CX22" s="83">
        <f>'Payroll Verisma'!CX4+'Payroll MRO'!CX4</f>
        <v>0</v>
      </c>
      <c r="CY22" s="83">
        <f>'Payroll Verisma'!CY4+'Payroll MRO'!CY4</f>
        <v>46</v>
      </c>
      <c r="CZ22" s="83">
        <f>'Payroll Verisma'!CZ4+'Payroll MRO'!CZ4</f>
        <v>33</v>
      </c>
      <c r="DA22" s="83">
        <f>'Payroll Verisma'!DA4+'Payroll MRO'!DA4</f>
        <v>43</v>
      </c>
      <c r="DB22" s="83">
        <f>'Payroll Verisma'!DB4+'Payroll MRO'!DB4</f>
        <v>0</v>
      </c>
      <c r="DC22" s="83">
        <f>'Payroll Verisma'!DC4+'Payroll MRO'!DC4</f>
        <v>0</v>
      </c>
      <c r="DD22" s="83">
        <f>'Payroll Verisma'!DD4+'Payroll MRO'!DD4</f>
        <v>0</v>
      </c>
      <c r="DE22" s="83">
        <f>'Payroll Verisma'!DE4+'Payroll MRO'!DE4</f>
        <v>30</v>
      </c>
      <c r="DF22" s="83">
        <f>'Payroll Verisma'!DF4+'Payroll MRO'!DF4</f>
        <v>0</v>
      </c>
      <c r="DG22" s="83">
        <f>'Payroll Verisma'!DG4+'Payroll MRO'!DG4</f>
        <v>70</v>
      </c>
      <c r="DH22" s="83">
        <f>'Payroll Verisma'!DH4+'Payroll MRO'!DH4</f>
        <v>12</v>
      </c>
      <c r="DI22" s="83">
        <f>'Payroll Verisma'!DI4+'Payroll MRO'!DI4</f>
        <v>72</v>
      </c>
      <c r="DJ22" s="83">
        <f>'Payroll Verisma'!DJ4+'Payroll MRO'!DJ4</f>
        <v>0</v>
      </c>
      <c r="DK22" s="83">
        <f>'Payroll Verisma'!DK4+'Payroll MRO'!DK4</f>
        <v>147</v>
      </c>
      <c r="DL22" s="83">
        <f>'Payroll Verisma'!DL4+'Payroll MRO'!DL4</f>
        <v>20</v>
      </c>
      <c r="DM22" s="83">
        <f>'Payroll Verisma'!DM4+'Payroll MRO'!DM4</f>
        <v>0</v>
      </c>
      <c r="DN22" s="83">
        <f>'Payroll Verisma'!DN4+'Payroll MRO'!DN4</f>
        <v>28</v>
      </c>
      <c r="DO22" s="83">
        <f>'Payroll Verisma'!DO4+'Payroll MRO'!DO4</f>
        <v>0</v>
      </c>
      <c r="DP22" s="83">
        <f>'Payroll Verisma'!DP4+'Payroll MRO'!DP4</f>
        <v>80</v>
      </c>
      <c r="DQ22" s="83">
        <f>'Payroll Verisma'!DQ4+'Payroll MRO'!DQ4</f>
        <v>0</v>
      </c>
      <c r="DR22" s="83">
        <f>'Payroll Verisma'!DR4+'Payroll MRO'!DR4</f>
        <v>0</v>
      </c>
      <c r="DS22" s="83">
        <f>'Payroll Verisma'!DS4+'Payroll MRO'!DS4</f>
        <v>46</v>
      </c>
      <c r="DT22" s="83">
        <f>'Payroll Verisma'!DT4+'Payroll MRO'!DT4</f>
        <v>63</v>
      </c>
      <c r="DU22" s="83">
        <f>'Payroll Verisma'!DU4+'Payroll MRO'!DU4</f>
        <v>24</v>
      </c>
      <c r="DV22" s="83">
        <f>'Payroll Verisma'!DV4+'Payroll MRO'!DV4</f>
        <v>0</v>
      </c>
      <c r="DW22" s="83">
        <f>'Payroll Verisma'!DW4+'Payroll MRO'!DW4</f>
        <v>0</v>
      </c>
      <c r="DX22" s="83">
        <f>'Payroll Verisma'!DX4+'Payroll MRO'!DX4</f>
        <v>28</v>
      </c>
      <c r="DY22" s="83">
        <f>'Payroll Verisma'!DY4+'Payroll MRO'!DY4</f>
        <v>0</v>
      </c>
      <c r="DZ22" s="83">
        <f>'Payroll Verisma'!DZ4+'Payroll MRO'!DZ4</f>
        <v>70</v>
      </c>
      <c r="EA22" s="83">
        <f>'Payroll Verisma'!EA4+'Payroll MRO'!EA4</f>
        <v>0</v>
      </c>
      <c r="EB22" s="83">
        <f>'Payroll Verisma'!EB4+'Payroll MRO'!EB4</f>
        <v>20</v>
      </c>
      <c r="EC22" s="83">
        <f>'Payroll Verisma'!EC4+'Payroll MRO'!EC4</f>
        <v>12</v>
      </c>
      <c r="ED22" s="83">
        <f>'Payroll Verisma'!ED4+'Payroll MRO'!ED4</f>
        <v>94</v>
      </c>
      <c r="EE22" s="83">
        <f>'Payroll Verisma'!EE4+'Payroll MRO'!EE4</f>
        <v>15</v>
      </c>
      <c r="EF22" s="83">
        <f>'Payroll Verisma'!EF4+'Payroll MRO'!EF4</f>
        <v>0</v>
      </c>
      <c r="EG22" s="83">
        <f>'Payroll Verisma'!EG4+'Payroll MRO'!EG4</f>
        <v>0</v>
      </c>
      <c r="EH22" s="83">
        <f>'Payroll Verisma'!EH4+'Payroll MRO'!EH4</f>
        <v>0</v>
      </c>
      <c r="EI22" s="83">
        <f>'Payroll Verisma'!EI4+'Payroll MRO'!EI4</f>
        <v>0</v>
      </c>
      <c r="EJ22" s="83">
        <f>'Payroll Verisma'!EJ4+'Payroll MRO'!EJ4</f>
        <v>53</v>
      </c>
      <c r="EK22" s="83">
        <f>'Payroll Verisma'!EK4+'Payroll MRO'!EK4</f>
        <v>0</v>
      </c>
      <c r="EL22" s="83">
        <f>'Payroll Verisma'!EL4+'Payroll MRO'!EL4</f>
        <v>0</v>
      </c>
      <c r="EM22" s="83">
        <f>'Payroll Verisma'!EM4+'Payroll MRO'!EM4</f>
        <v>57</v>
      </c>
      <c r="EN22" s="83">
        <f>'Payroll Verisma'!EN4+'Payroll MRO'!EN4</f>
        <v>0</v>
      </c>
      <c r="EO22" s="83">
        <f>'Payroll Verisma'!EO4+'Payroll MRO'!EO4</f>
        <v>55</v>
      </c>
      <c r="EP22" s="83">
        <f>'Payroll Verisma'!EP4+'Payroll MRO'!EP4</f>
        <v>0</v>
      </c>
      <c r="EQ22" s="83">
        <f>'Payroll Verisma'!EQ4+'Payroll MRO'!EQ4</f>
        <v>25</v>
      </c>
      <c r="ER22" s="83">
        <f>'Payroll Verisma'!ER4+'Payroll MRO'!ER4</f>
        <v>0</v>
      </c>
      <c r="ES22" s="83">
        <f>'Payroll Verisma'!ES4+'Payroll MRO'!ES4</f>
        <v>0</v>
      </c>
      <c r="ET22" s="83">
        <f>'Payroll Verisma'!ET4+'Payroll MRO'!ET4</f>
        <v>65</v>
      </c>
      <c r="EU22" s="83">
        <f>'Payroll Verisma'!EU4+'Payroll MRO'!EU4</f>
        <v>0</v>
      </c>
      <c r="EV22" s="83">
        <f>'Payroll Verisma'!EV4+'Payroll MRO'!EV4</f>
        <v>47</v>
      </c>
      <c r="EW22" s="83">
        <f>'Payroll Verisma'!EW4+'Payroll MRO'!EW4</f>
        <v>0</v>
      </c>
      <c r="EX22" s="83">
        <f>'Payroll Verisma'!EX4+'Payroll MRO'!EX4</f>
        <v>38</v>
      </c>
      <c r="EY22" s="83">
        <f>'Payroll Verisma'!EY4+'Payroll MRO'!EY4</f>
        <v>0</v>
      </c>
      <c r="EZ22" s="83">
        <f>'Payroll Verisma'!EZ4+'Payroll MRO'!EZ4</f>
        <v>24</v>
      </c>
      <c r="FA22" s="83">
        <f>'Payroll Verisma'!FA4+'Payroll MRO'!FA4</f>
        <v>0</v>
      </c>
      <c r="FB22" s="83">
        <f>'Payroll Verisma'!FB4+'Payroll MRO'!FB4</f>
        <v>0</v>
      </c>
      <c r="FC22" s="83">
        <f>'Payroll Verisma'!FC4+'Payroll MRO'!FC4</f>
        <v>0</v>
      </c>
      <c r="FD22" s="83">
        <f>'Payroll Verisma'!FD4+'Payroll MRO'!FD4</f>
        <v>0</v>
      </c>
      <c r="FE22" s="83">
        <f>'Payroll Verisma'!FE4+'Payroll MRO'!FE4</f>
        <v>26</v>
      </c>
      <c r="FF22" s="83">
        <f>'Payroll Verisma'!FF4+'Payroll MRO'!FF4</f>
        <v>41</v>
      </c>
      <c r="FG22" s="83">
        <f>'Payroll Verisma'!FG4+'Payroll MRO'!FG4</f>
        <v>0</v>
      </c>
      <c r="FH22" s="83">
        <f>'Payroll Verisma'!FH4+'Payroll MRO'!FH4</f>
        <v>352</v>
      </c>
      <c r="FI22" s="83">
        <f>'Payroll Verisma'!FI4+'Payroll MRO'!FI4</f>
        <v>0</v>
      </c>
      <c r="FJ22" s="83">
        <f>'Payroll Verisma'!FJ4+'Payroll MRO'!FJ4</f>
        <v>0</v>
      </c>
      <c r="FK22" s="83">
        <f>'Payroll Verisma'!FK4+'Payroll MRO'!FK4</f>
        <v>20</v>
      </c>
      <c r="FL22" s="83">
        <f>'Payroll Verisma'!FL4+'Payroll MRO'!FL4</f>
        <v>0</v>
      </c>
      <c r="FM22" s="83">
        <f>'Payroll Verisma'!FM4+'Payroll MRO'!FM4</f>
        <v>0</v>
      </c>
      <c r="FN22" s="83">
        <f>'Payroll Verisma'!FN4+'Payroll MRO'!FN4</f>
        <v>31</v>
      </c>
      <c r="FO22" s="83">
        <f>'Payroll Verisma'!FO4+'Payroll MRO'!FO4</f>
        <v>16</v>
      </c>
      <c r="FP22" s="83">
        <f>'Payroll Verisma'!FP4+'Payroll MRO'!FP4</f>
        <v>61</v>
      </c>
      <c r="FQ22" s="83">
        <f>'Payroll Verisma'!FQ4+'Payroll MRO'!FQ4</f>
        <v>71</v>
      </c>
      <c r="FR22" s="83">
        <f>'Payroll Verisma'!FR4+'Payroll MRO'!FR4</f>
        <v>0</v>
      </c>
      <c r="FS22" s="83">
        <f>'Payroll Verisma'!FS4+'Payroll MRO'!FS4</f>
        <v>23</v>
      </c>
      <c r="FT22" s="83">
        <f>'Payroll Verisma'!FT4+'Payroll MRO'!FT4</f>
        <v>94</v>
      </c>
      <c r="FU22" s="83">
        <f>'Payroll Verisma'!FU4+'Payroll MRO'!FU4</f>
        <v>0</v>
      </c>
      <c r="FV22" s="83">
        <f>'Payroll Verisma'!FV4+'Payroll MRO'!FV4</f>
        <v>0</v>
      </c>
      <c r="FW22" s="83">
        <f>'Payroll Verisma'!FW4+'Payroll MRO'!FW4</f>
        <v>0</v>
      </c>
      <c r="FX22" s="83">
        <f>'Payroll Verisma'!FX4+'Payroll MRO'!FX4</f>
        <v>0</v>
      </c>
      <c r="FY22" s="83">
        <f>'Payroll Verisma'!FY4+'Payroll MRO'!FY4</f>
        <v>35</v>
      </c>
      <c r="FZ22" s="83">
        <f>'Payroll Verisma'!FZ4+'Payroll MRO'!FZ4</f>
        <v>78</v>
      </c>
      <c r="GA22" s="83">
        <f>'Payroll Verisma'!GA4+'Payroll MRO'!GA4</f>
        <v>0</v>
      </c>
      <c r="GB22" s="83">
        <f>'Payroll Verisma'!GB4+'Payroll MRO'!GB4</f>
        <v>0</v>
      </c>
      <c r="GC22" s="83">
        <f>'Payroll Verisma'!GC4+'Payroll MRO'!GC4</f>
        <v>0</v>
      </c>
      <c r="GD22" s="83">
        <f>'Payroll Verisma'!GD4+'Payroll MRO'!GD4</f>
        <v>0</v>
      </c>
      <c r="GE22" s="83">
        <f>'Payroll Verisma'!GE4+'Payroll MRO'!GE4</f>
        <v>66</v>
      </c>
      <c r="GF22" s="83">
        <f>'Payroll Verisma'!GF4+'Payroll MRO'!GF4</f>
        <v>0</v>
      </c>
      <c r="GG22" s="83">
        <f>'Payroll Verisma'!GG4+'Payroll MRO'!GG4</f>
        <v>111</v>
      </c>
      <c r="GH22" s="83">
        <f>'Payroll Verisma'!GH4+'Payroll MRO'!GH4</f>
        <v>13</v>
      </c>
      <c r="GI22" s="83">
        <f>'Payroll Verisma'!GI4+'Payroll MRO'!GI4</f>
        <v>0</v>
      </c>
      <c r="GJ22" s="83">
        <f>'Payroll Verisma'!GJ4+'Payroll MRO'!GJ4</f>
        <v>86</v>
      </c>
      <c r="GK22" s="83">
        <f>'Payroll Verisma'!GK4+'Payroll MRO'!GK4</f>
        <v>54</v>
      </c>
      <c r="GL22" s="83">
        <f>'Payroll Verisma'!GL4+'Payroll MRO'!GL4</f>
        <v>0</v>
      </c>
      <c r="GM22" s="83">
        <f>'Payroll Verisma'!GM4+'Payroll MRO'!GM4</f>
        <v>115</v>
      </c>
      <c r="GN22" s="83">
        <f>'Payroll Verisma'!GN4+'Payroll MRO'!GN4</f>
        <v>0</v>
      </c>
      <c r="GO22" s="83">
        <f>'Payroll Verisma'!GO4+'Payroll MRO'!GO4</f>
        <v>48</v>
      </c>
      <c r="GP22" s="83">
        <f>'Payroll Verisma'!GP4+'Payroll MRO'!GP4</f>
        <v>41</v>
      </c>
      <c r="GQ22" s="83">
        <f>'Payroll Verisma'!GQ4+'Payroll MRO'!GQ4</f>
        <v>0</v>
      </c>
      <c r="GR22" s="83">
        <f>'Payroll Verisma'!GR4+'Payroll MRO'!GR4</f>
        <v>55</v>
      </c>
    </row>
    <row r="23" spans="1:200" ht="15.6">
      <c r="A23" s="81">
        <f t="shared" ref="A23:A51" si="83">A22+1</f>
        <v>46025</v>
      </c>
      <c r="B23" s="82" t="str">
        <f t="shared" si="82"/>
        <v>Sat</v>
      </c>
      <c r="C23" s="75">
        <f t="shared" si="81"/>
        <v>1012</v>
      </c>
      <c r="D23" s="83">
        <f>'Payroll Verisma'!D5+'Payroll MRO'!D5</f>
        <v>0</v>
      </c>
      <c r="E23" s="83">
        <f>'Payroll Verisma'!E5+'Payroll MRO'!E5</f>
        <v>0</v>
      </c>
      <c r="F23" s="83">
        <f>'Payroll Verisma'!F5+'Payroll MRO'!F5</f>
        <v>0</v>
      </c>
      <c r="G23" s="83">
        <f>'Payroll Verisma'!G5+'Payroll MRO'!G5</f>
        <v>0</v>
      </c>
      <c r="H23" s="83">
        <f>'Payroll Verisma'!H5+'Payroll MRO'!H5</f>
        <v>11</v>
      </c>
      <c r="I23" s="83">
        <f>'Payroll Verisma'!I5+'Payroll MRO'!I5</f>
        <v>0</v>
      </c>
      <c r="J23" s="83">
        <f>'Payroll Verisma'!J5+'Payroll MRO'!J5</f>
        <v>0</v>
      </c>
      <c r="K23" s="83">
        <f>'Payroll Verisma'!K5+'Payroll MRO'!K5</f>
        <v>0</v>
      </c>
      <c r="L23" s="83">
        <f>'Payroll Verisma'!L5+'Payroll MRO'!L5</f>
        <v>0</v>
      </c>
      <c r="M23" s="83">
        <f>'Payroll Verisma'!M5+'Payroll MRO'!M5</f>
        <v>0</v>
      </c>
      <c r="N23" s="83">
        <f>'Payroll Verisma'!N5+'Payroll MRO'!N5</f>
        <v>0</v>
      </c>
      <c r="O23" s="83">
        <f>'Payroll Verisma'!O5+'Payroll MRO'!O5</f>
        <v>0</v>
      </c>
      <c r="P23" s="83">
        <f>'Payroll Verisma'!P5+'Payroll MRO'!P5</f>
        <v>0</v>
      </c>
      <c r="Q23" s="83">
        <f>'Payroll Verisma'!Q5+'Payroll MRO'!Q5</f>
        <v>0</v>
      </c>
      <c r="R23" s="83">
        <f>'Payroll Verisma'!R5+'Payroll MRO'!R5</f>
        <v>0</v>
      </c>
      <c r="S23" s="83">
        <f>'Payroll Verisma'!S5+'Payroll MRO'!S5</f>
        <v>0</v>
      </c>
      <c r="T23" s="83">
        <f>'Payroll Verisma'!T5+'Payroll MRO'!T5</f>
        <v>22</v>
      </c>
      <c r="U23" s="83">
        <f>'Payroll Verisma'!U5+'Payroll MRO'!U5</f>
        <v>0</v>
      </c>
      <c r="V23" s="83">
        <f>'Payroll Verisma'!V5+'Payroll MRO'!V5</f>
        <v>0</v>
      </c>
      <c r="W23" s="83">
        <f>'Payroll Verisma'!W5+'Payroll MRO'!W5</f>
        <v>0</v>
      </c>
      <c r="X23" s="83">
        <f>'Payroll Verisma'!X5+'Payroll MRO'!X5</f>
        <v>0</v>
      </c>
      <c r="Y23" s="83">
        <f>'Payroll Verisma'!Y5+'Payroll MRO'!Y5</f>
        <v>42</v>
      </c>
      <c r="Z23" s="83">
        <f>'Payroll Verisma'!Z5+'Payroll MRO'!Z5</f>
        <v>0</v>
      </c>
      <c r="AA23" s="83">
        <f>'Payroll Verisma'!AA5+'Payroll MRO'!AA5</f>
        <v>0</v>
      </c>
      <c r="AB23" s="83">
        <f>'Payroll Verisma'!AB5+'Payroll MRO'!AB5</f>
        <v>0</v>
      </c>
      <c r="AC23" s="83">
        <f>'Payroll Verisma'!AC5+'Payroll MRO'!AC5</f>
        <v>0</v>
      </c>
      <c r="AD23" s="83">
        <f>'Payroll Verisma'!AD5+'Payroll MRO'!AD5</f>
        <v>0</v>
      </c>
      <c r="AE23" s="83">
        <f>'Payroll Verisma'!AE5+'Payroll MRO'!AE5</f>
        <v>0</v>
      </c>
      <c r="AF23" s="83">
        <f>'Payroll Verisma'!AF5+'Payroll MRO'!AF5</f>
        <v>0</v>
      </c>
      <c r="AG23" s="83">
        <f>'Payroll Verisma'!AG5+'Payroll MRO'!AG5</f>
        <v>0</v>
      </c>
      <c r="AH23" s="83">
        <f>'Payroll Verisma'!AH5+'Payroll MRO'!AH5</f>
        <v>42</v>
      </c>
      <c r="AI23" s="83">
        <f>'Payroll Verisma'!AI5+'Payroll MRO'!AI5</f>
        <v>0</v>
      </c>
      <c r="AJ23" s="83">
        <f>'Payroll Verisma'!AJ5+'Payroll MRO'!AJ5</f>
        <v>0</v>
      </c>
      <c r="AK23" s="83">
        <f>'Payroll Verisma'!AK5+'Payroll MRO'!AK5</f>
        <v>0</v>
      </c>
      <c r="AL23" s="83">
        <f>'Payroll Verisma'!AL5+'Payroll MRO'!AL5</f>
        <v>0</v>
      </c>
      <c r="AM23" s="83">
        <f>'Payroll Verisma'!AM5+'Payroll MRO'!AM5</f>
        <v>0</v>
      </c>
      <c r="AN23" s="83">
        <f>'Payroll Verisma'!AN5+'Payroll MRO'!AN5</f>
        <v>0</v>
      </c>
      <c r="AO23" s="83">
        <f>'Payroll Verisma'!AO5+'Payroll MRO'!AO5</f>
        <v>0</v>
      </c>
      <c r="AP23" s="83">
        <f>'Payroll Verisma'!AP5+'Payroll MRO'!AP5</f>
        <v>0</v>
      </c>
      <c r="AQ23" s="83">
        <f>'Payroll Verisma'!AQ5+'Payroll MRO'!AQ5</f>
        <v>0</v>
      </c>
      <c r="AR23" s="83">
        <f>'Payroll Verisma'!AR5+'Payroll MRO'!AR5</f>
        <v>0</v>
      </c>
      <c r="AS23" s="83">
        <f>'Payroll Verisma'!AS5+'Payroll MRO'!AS5</f>
        <v>0</v>
      </c>
      <c r="AT23" s="83">
        <f>'Payroll Verisma'!AT5+'Payroll MRO'!AT5</f>
        <v>0</v>
      </c>
      <c r="AU23" s="83">
        <f>'Payroll Verisma'!AU5+'Payroll MRO'!AU5</f>
        <v>0</v>
      </c>
      <c r="AV23" s="83">
        <f>'Payroll Verisma'!AV5+'Payroll MRO'!AV5</f>
        <v>0</v>
      </c>
      <c r="AW23" s="83">
        <f>'Payroll Verisma'!AW5+'Payroll MRO'!AW5</f>
        <v>0</v>
      </c>
      <c r="AX23" s="83">
        <f>'Payroll Verisma'!AX5+'Payroll MRO'!AX5</f>
        <v>0</v>
      </c>
      <c r="AY23" s="83">
        <f>'Payroll Verisma'!AY5+'Payroll MRO'!AY5</f>
        <v>0</v>
      </c>
      <c r="AZ23" s="83">
        <f>'Payroll Verisma'!AZ5+'Payroll MRO'!AZ5</f>
        <v>0</v>
      </c>
      <c r="BA23" s="83">
        <f>'Payroll Verisma'!BA5+'Payroll MRO'!BA5</f>
        <v>0</v>
      </c>
      <c r="BB23" s="83">
        <f>'Payroll Verisma'!BB5+'Payroll MRO'!BB5</f>
        <v>0</v>
      </c>
      <c r="BC23" s="83">
        <f>'Payroll Verisma'!BC5+'Payroll MRO'!BC5</f>
        <v>0</v>
      </c>
      <c r="BD23" s="83">
        <f>'Payroll Verisma'!BD5+'Payroll MRO'!BD5</f>
        <v>0</v>
      </c>
      <c r="BE23" s="83">
        <f>'Payroll Verisma'!BE5+'Payroll MRO'!BE5</f>
        <v>0</v>
      </c>
      <c r="BF23" s="83">
        <f>'Payroll Verisma'!BF5+'Payroll MRO'!BF5</f>
        <v>0</v>
      </c>
      <c r="BG23" s="83">
        <f>'Payroll Verisma'!BG5+'Payroll MRO'!BG5</f>
        <v>0</v>
      </c>
      <c r="BH23" s="83">
        <f>'Payroll Verisma'!BH5+'Payroll MRO'!BH5</f>
        <v>0</v>
      </c>
      <c r="BI23" s="83">
        <f>'Payroll Verisma'!BI5+'Payroll MRO'!BI5</f>
        <v>0</v>
      </c>
      <c r="BJ23" s="83">
        <f>'Payroll Verisma'!BJ5+'Payroll MRO'!BJ5</f>
        <v>0</v>
      </c>
      <c r="BK23" s="83">
        <f>'Payroll Verisma'!BK5+'Payroll MRO'!BK5</f>
        <v>0</v>
      </c>
      <c r="BL23" s="83">
        <f>'Payroll Verisma'!BL5+'Payroll MRO'!BL5</f>
        <v>0</v>
      </c>
      <c r="BM23" s="83">
        <f>'Payroll Verisma'!BM5+'Payroll MRO'!BM5</f>
        <v>0</v>
      </c>
      <c r="BN23" s="83">
        <f>'Payroll Verisma'!BN5+'Payroll MRO'!BN5</f>
        <v>0</v>
      </c>
      <c r="BO23" s="83">
        <f>'Payroll Verisma'!BO5+'Payroll MRO'!BO5</f>
        <v>0</v>
      </c>
      <c r="BP23" s="83">
        <f>'Payroll Verisma'!BP5+'Payroll MRO'!BP5</f>
        <v>0</v>
      </c>
      <c r="BQ23" s="83">
        <f>'Payroll Verisma'!BQ5+'Payroll MRO'!BQ5</f>
        <v>0</v>
      </c>
      <c r="BR23" s="83">
        <f>'Payroll Verisma'!BR5+'Payroll MRO'!BR5</f>
        <v>0</v>
      </c>
      <c r="BS23" s="83">
        <f>'Payroll Verisma'!BS5+'Payroll MRO'!BS5</f>
        <v>0</v>
      </c>
      <c r="BT23" s="83">
        <f>'Payroll Verisma'!BT5+'Payroll MRO'!BT5</f>
        <v>0</v>
      </c>
      <c r="BU23" s="83">
        <f>'Payroll Verisma'!BU5+'Payroll MRO'!BU5</f>
        <v>0</v>
      </c>
      <c r="BV23" s="83">
        <f>'Payroll Verisma'!BV5+'Payroll MRO'!BV5</f>
        <v>0</v>
      </c>
      <c r="BW23" s="83">
        <f>'Payroll Verisma'!BW5+'Payroll MRO'!BW5</f>
        <v>0</v>
      </c>
      <c r="BX23" s="83">
        <f>'Payroll Verisma'!BX5+'Payroll MRO'!BX5</f>
        <v>0</v>
      </c>
      <c r="BY23" s="83">
        <f>'Payroll Verisma'!BY5+'Payroll MRO'!BY5</f>
        <v>0</v>
      </c>
      <c r="BZ23" s="83">
        <f>'Payroll Verisma'!BZ5+'Payroll MRO'!BZ5</f>
        <v>0</v>
      </c>
      <c r="CA23" s="83">
        <f>'Payroll Verisma'!CA5+'Payroll MRO'!CA5</f>
        <v>0</v>
      </c>
      <c r="CB23" s="83">
        <f>'Payroll Verisma'!CB5+'Payroll MRO'!CB5</f>
        <v>0</v>
      </c>
      <c r="CC23" s="83">
        <f>'Payroll Verisma'!CC5+'Payroll MRO'!CC5</f>
        <v>0</v>
      </c>
      <c r="CD23" s="83">
        <f>'Payroll Verisma'!CD5+'Payroll MRO'!CD5</f>
        <v>35</v>
      </c>
      <c r="CE23" s="83">
        <f>'Payroll Verisma'!CE5+'Payroll MRO'!CE5</f>
        <v>0</v>
      </c>
      <c r="CF23" s="83">
        <f>'Payroll Verisma'!CF5+'Payroll MRO'!CF5</f>
        <v>0</v>
      </c>
      <c r="CG23" s="83">
        <f>'Payroll Verisma'!CG5+'Payroll MRO'!CG5</f>
        <v>0</v>
      </c>
      <c r="CH23" s="83">
        <f>'Payroll Verisma'!CH5+'Payroll MRO'!CH5</f>
        <v>0</v>
      </c>
      <c r="CI23" s="83">
        <f>'Payroll Verisma'!CI5+'Payroll MRO'!CI5</f>
        <v>0</v>
      </c>
      <c r="CJ23" s="83">
        <f>'Payroll Verisma'!CJ5+'Payroll MRO'!CJ5</f>
        <v>0</v>
      </c>
      <c r="CK23" s="83">
        <f>'Payroll Verisma'!CK5+'Payroll MRO'!CK5</f>
        <v>0</v>
      </c>
      <c r="CL23" s="83">
        <f>'Payroll Verisma'!CL5+'Payroll MRO'!CL5</f>
        <v>24</v>
      </c>
      <c r="CM23" s="83">
        <f>'Payroll Verisma'!CM5+'Payroll MRO'!CM5</f>
        <v>0</v>
      </c>
      <c r="CN23" s="83">
        <f>'Payroll Verisma'!CN5+'Payroll MRO'!CN5</f>
        <v>0</v>
      </c>
      <c r="CO23" s="83">
        <f>'Payroll Verisma'!CO5+'Payroll MRO'!CO5</f>
        <v>0</v>
      </c>
      <c r="CP23" s="83">
        <f>'Payroll Verisma'!CP5+'Payroll MRO'!CP5</f>
        <v>0</v>
      </c>
      <c r="CQ23" s="83">
        <f>'Payroll Verisma'!CQ5+'Payroll MRO'!CQ5</f>
        <v>0</v>
      </c>
      <c r="CR23" s="83">
        <f>'Payroll Verisma'!CR5+'Payroll MRO'!CR5</f>
        <v>25</v>
      </c>
      <c r="CS23" s="83">
        <f>'Payroll Verisma'!CS5+'Payroll MRO'!CS5</f>
        <v>10</v>
      </c>
      <c r="CT23" s="83">
        <f>'Payroll Verisma'!CT5+'Payroll MRO'!CT5</f>
        <v>0</v>
      </c>
      <c r="CU23" s="83">
        <f>'Payroll Verisma'!CU5+'Payroll MRO'!CU5</f>
        <v>252</v>
      </c>
      <c r="CV23" s="83">
        <f>'Payroll Verisma'!CV5+'Payroll MRO'!CV5</f>
        <v>0</v>
      </c>
      <c r="CW23" s="83">
        <f>'Payroll Verisma'!CW5+'Payroll MRO'!CW5</f>
        <v>0</v>
      </c>
      <c r="CX23" s="83">
        <f>'Payroll Verisma'!CX5+'Payroll MRO'!CX5</f>
        <v>0</v>
      </c>
      <c r="CY23" s="83">
        <f>'Payroll Verisma'!CY5+'Payroll MRO'!CY5</f>
        <v>0</v>
      </c>
      <c r="CZ23" s="83">
        <f>'Payroll Verisma'!CZ5+'Payroll MRO'!CZ5</f>
        <v>0</v>
      </c>
      <c r="DA23" s="83">
        <f>'Payroll Verisma'!DA5+'Payroll MRO'!DA5</f>
        <v>0</v>
      </c>
      <c r="DB23" s="83">
        <f>'Payroll Verisma'!DB5+'Payroll MRO'!DB5</f>
        <v>0</v>
      </c>
      <c r="DC23" s="83">
        <f>'Payroll Verisma'!DC5+'Payroll MRO'!DC5</f>
        <v>0</v>
      </c>
      <c r="DD23" s="83">
        <f>'Payroll Verisma'!DD5+'Payroll MRO'!DD5</f>
        <v>0</v>
      </c>
      <c r="DE23" s="83">
        <f>'Payroll Verisma'!DE5+'Payroll MRO'!DE5</f>
        <v>0</v>
      </c>
      <c r="DF23" s="83">
        <f>'Payroll Verisma'!DF5+'Payroll MRO'!DF5</f>
        <v>0</v>
      </c>
      <c r="DG23" s="83">
        <f>'Payroll Verisma'!DG5+'Payroll MRO'!DG5</f>
        <v>0</v>
      </c>
      <c r="DH23" s="83">
        <f>'Payroll Verisma'!DH5+'Payroll MRO'!DH5</f>
        <v>0</v>
      </c>
      <c r="DI23" s="83">
        <f>'Payroll Verisma'!DI5+'Payroll MRO'!DI5</f>
        <v>0</v>
      </c>
      <c r="DJ23" s="83">
        <f>'Payroll Verisma'!DJ5+'Payroll MRO'!DJ5</f>
        <v>0</v>
      </c>
      <c r="DK23" s="83">
        <f>'Payroll Verisma'!DK5+'Payroll MRO'!DK5</f>
        <v>192</v>
      </c>
      <c r="DL23" s="83">
        <f>'Payroll Verisma'!DL5+'Payroll MRO'!DL5</f>
        <v>0</v>
      </c>
      <c r="DM23" s="83">
        <f>'Payroll Verisma'!DM5+'Payroll MRO'!DM5</f>
        <v>0</v>
      </c>
      <c r="DN23" s="83">
        <f>'Payroll Verisma'!DN5+'Payroll MRO'!DN5</f>
        <v>0</v>
      </c>
      <c r="DO23" s="83">
        <f>'Payroll Verisma'!DO5+'Payroll MRO'!DO5</f>
        <v>0</v>
      </c>
      <c r="DP23" s="83">
        <f>'Payroll Verisma'!DP5+'Payroll MRO'!DP5</f>
        <v>37</v>
      </c>
      <c r="DQ23" s="83">
        <f>'Payroll Verisma'!DQ5+'Payroll MRO'!DQ5</f>
        <v>0</v>
      </c>
      <c r="DR23" s="83">
        <f>'Payroll Verisma'!DR5+'Payroll MRO'!DR5</f>
        <v>0</v>
      </c>
      <c r="DS23" s="83">
        <f>'Payroll Verisma'!DS5+'Payroll MRO'!DS5</f>
        <v>36</v>
      </c>
      <c r="DT23" s="83">
        <f>'Payroll Verisma'!DT5+'Payroll MRO'!DT5</f>
        <v>0</v>
      </c>
      <c r="DU23" s="83">
        <f>'Payroll Verisma'!DU5+'Payroll MRO'!DU5</f>
        <v>0</v>
      </c>
      <c r="DV23" s="83">
        <f>'Payroll Verisma'!DV5+'Payroll MRO'!DV5</f>
        <v>0</v>
      </c>
      <c r="DW23" s="83">
        <f>'Payroll Verisma'!DW5+'Payroll MRO'!DW5</f>
        <v>0</v>
      </c>
      <c r="DX23" s="83">
        <f>'Payroll Verisma'!DX5+'Payroll MRO'!DX5</f>
        <v>0</v>
      </c>
      <c r="DY23" s="83">
        <f>'Payroll Verisma'!DY5+'Payroll MRO'!DY5</f>
        <v>0</v>
      </c>
      <c r="DZ23" s="83">
        <f>'Payroll Verisma'!DZ5+'Payroll MRO'!DZ5</f>
        <v>0</v>
      </c>
      <c r="EA23" s="83">
        <f>'Payroll Verisma'!EA5+'Payroll MRO'!EA5</f>
        <v>0</v>
      </c>
      <c r="EB23" s="83">
        <f>'Payroll Verisma'!EB5+'Payroll MRO'!EB5</f>
        <v>0</v>
      </c>
      <c r="EC23" s="83">
        <f>'Payroll Verisma'!EC5+'Payroll MRO'!EC5</f>
        <v>0</v>
      </c>
      <c r="ED23" s="83">
        <f>'Payroll Verisma'!ED5+'Payroll MRO'!ED5</f>
        <v>17</v>
      </c>
      <c r="EE23" s="83">
        <f>'Payroll Verisma'!EE5+'Payroll MRO'!EE5</f>
        <v>0</v>
      </c>
      <c r="EF23" s="83">
        <f>'Payroll Verisma'!EF5+'Payroll MRO'!EF5</f>
        <v>0</v>
      </c>
      <c r="EG23" s="83">
        <f>'Payroll Verisma'!EG5+'Payroll MRO'!EG5</f>
        <v>0</v>
      </c>
      <c r="EH23" s="83">
        <f>'Payroll Verisma'!EH5+'Payroll MRO'!EH5</f>
        <v>0</v>
      </c>
      <c r="EI23" s="83">
        <f>'Payroll Verisma'!EI5+'Payroll MRO'!EI5</f>
        <v>0</v>
      </c>
      <c r="EJ23" s="83">
        <f>'Payroll Verisma'!EJ5+'Payroll MRO'!EJ5</f>
        <v>0</v>
      </c>
      <c r="EK23" s="83">
        <f>'Payroll Verisma'!EK5+'Payroll MRO'!EK5</f>
        <v>0</v>
      </c>
      <c r="EL23" s="83">
        <f>'Payroll Verisma'!EL5+'Payroll MRO'!EL5</f>
        <v>0</v>
      </c>
      <c r="EM23" s="83">
        <f>'Payroll Verisma'!EM5+'Payroll MRO'!EM5</f>
        <v>0</v>
      </c>
      <c r="EN23" s="83">
        <f>'Payroll Verisma'!EN5+'Payroll MRO'!EN5</f>
        <v>0</v>
      </c>
      <c r="EO23" s="83">
        <f>'Payroll Verisma'!EO5+'Payroll MRO'!EO5</f>
        <v>0</v>
      </c>
      <c r="EP23" s="83">
        <f>'Payroll Verisma'!EP5+'Payroll MRO'!EP5</f>
        <v>0</v>
      </c>
      <c r="EQ23" s="83">
        <f>'Payroll Verisma'!EQ5+'Payroll MRO'!EQ5</f>
        <v>0</v>
      </c>
      <c r="ER23" s="83">
        <f>'Payroll Verisma'!ER5+'Payroll MRO'!ER5</f>
        <v>0</v>
      </c>
      <c r="ES23" s="83">
        <f>'Payroll Verisma'!ES5+'Payroll MRO'!ES5</f>
        <v>0</v>
      </c>
      <c r="ET23" s="83">
        <f>'Payroll Verisma'!ET5+'Payroll MRO'!ET5</f>
        <v>0</v>
      </c>
      <c r="EU23" s="83">
        <f>'Payroll Verisma'!EU5+'Payroll MRO'!EU5</f>
        <v>0</v>
      </c>
      <c r="EV23" s="83">
        <f>'Payroll Verisma'!EV5+'Payroll MRO'!EV5</f>
        <v>0</v>
      </c>
      <c r="EW23" s="83">
        <f>'Payroll Verisma'!EW5+'Payroll MRO'!EW5</f>
        <v>8</v>
      </c>
      <c r="EX23" s="83">
        <f>'Payroll Verisma'!EX5+'Payroll MRO'!EX5</f>
        <v>0</v>
      </c>
      <c r="EY23" s="83">
        <f>'Payroll Verisma'!EY5+'Payroll MRO'!EY5</f>
        <v>0</v>
      </c>
      <c r="EZ23" s="83">
        <f>'Payroll Verisma'!EZ5+'Payroll MRO'!EZ5</f>
        <v>0</v>
      </c>
      <c r="FA23" s="83">
        <f>'Payroll Verisma'!FA5+'Payroll MRO'!FA5</f>
        <v>0</v>
      </c>
      <c r="FB23" s="83">
        <f>'Payroll Verisma'!FB5+'Payroll MRO'!FB5</f>
        <v>0</v>
      </c>
      <c r="FC23" s="83">
        <f>'Payroll Verisma'!FC5+'Payroll MRO'!FC5</f>
        <v>0</v>
      </c>
      <c r="FD23" s="83">
        <f>'Payroll Verisma'!FD5+'Payroll MRO'!FD5</f>
        <v>0</v>
      </c>
      <c r="FE23" s="83">
        <f>'Payroll Verisma'!FE5+'Payroll MRO'!FE5</f>
        <v>31</v>
      </c>
      <c r="FF23" s="83">
        <f>'Payroll Verisma'!FF5+'Payroll MRO'!FF5</f>
        <v>22</v>
      </c>
      <c r="FG23" s="83">
        <f>'Payroll Verisma'!FG5+'Payroll MRO'!FG5</f>
        <v>0</v>
      </c>
      <c r="FH23" s="83">
        <f>'Payroll Verisma'!FH5+'Payroll MRO'!FH5</f>
        <v>72</v>
      </c>
      <c r="FI23" s="83">
        <f>'Payroll Verisma'!FI5+'Payroll MRO'!FI5</f>
        <v>0</v>
      </c>
      <c r="FJ23" s="83">
        <f>'Payroll Verisma'!FJ5+'Payroll MRO'!FJ5</f>
        <v>0</v>
      </c>
      <c r="FK23" s="83">
        <f>'Payroll Verisma'!FK5+'Payroll MRO'!FK5</f>
        <v>0</v>
      </c>
      <c r="FL23" s="83">
        <f>'Payroll Verisma'!FL5+'Payroll MRO'!FL5</f>
        <v>0</v>
      </c>
      <c r="FM23" s="83">
        <f>'Payroll Verisma'!FM5+'Payroll MRO'!FM5</f>
        <v>0</v>
      </c>
      <c r="FN23" s="83">
        <f>'Payroll Verisma'!FN5+'Payroll MRO'!FN5</f>
        <v>0</v>
      </c>
      <c r="FO23" s="83">
        <f>'Payroll Verisma'!FO5+'Payroll MRO'!FO5</f>
        <v>0</v>
      </c>
      <c r="FP23" s="83">
        <f>'Payroll Verisma'!FP5+'Payroll MRO'!FP5</f>
        <v>0</v>
      </c>
      <c r="FQ23" s="83">
        <f>'Payroll Verisma'!FQ5+'Payroll MRO'!FQ5</f>
        <v>0</v>
      </c>
      <c r="FR23" s="83">
        <f>'Payroll Verisma'!FR5+'Payroll MRO'!FR5</f>
        <v>0</v>
      </c>
      <c r="FS23" s="83">
        <f>'Payroll Verisma'!FS5+'Payroll MRO'!FS5</f>
        <v>0</v>
      </c>
      <c r="FT23" s="83">
        <f>'Payroll Verisma'!FT5+'Payroll MRO'!FT5</f>
        <v>0</v>
      </c>
      <c r="FU23" s="83">
        <f>'Payroll Verisma'!FU5+'Payroll MRO'!FU5</f>
        <v>0</v>
      </c>
      <c r="FV23" s="83">
        <f>'Payroll Verisma'!FV5+'Payroll MRO'!FV5</f>
        <v>0</v>
      </c>
      <c r="FW23" s="83">
        <f>'Payroll Verisma'!FW5+'Payroll MRO'!FW5</f>
        <v>0</v>
      </c>
      <c r="FX23" s="83">
        <f>'Payroll Verisma'!FX5+'Payroll MRO'!FX5</f>
        <v>0</v>
      </c>
      <c r="FY23" s="83">
        <f>'Payroll Verisma'!FY5+'Payroll MRO'!FY5</f>
        <v>0</v>
      </c>
      <c r="FZ23" s="83">
        <f>'Payroll Verisma'!FZ5+'Payroll MRO'!FZ5</f>
        <v>0</v>
      </c>
      <c r="GA23" s="83">
        <f>'Payroll Verisma'!GA5+'Payroll MRO'!GA5</f>
        <v>0</v>
      </c>
      <c r="GB23" s="83">
        <f>'Payroll Verisma'!GB5+'Payroll MRO'!GB5</f>
        <v>0</v>
      </c>
      <c r="GC23" s="83">
        <f>'Payroll Verisma'!GC5+'Payroll MRO'!GC5</f>
        <v>0</v>
      </c>
      <c r="GD23" s="83">
        <f>'Payroll Verisma'!GD5+'Payroll MRO'!GD5</f>
        <v>0</v>
      </c>
      <c r="GE23" s="83">
        <f>'Payroll Verisma'!GE5+'Payroll MRO'!GE5</f>
        <v>0</v>
      </c>
      <c r="GF23" s="83">
        <f>'Payroll Verisma'!GF5+'Payroll MRO'!GF5</f>
        <v>0</v>
      </c>
      <c r="GG23" s="83">
        <f>'Payroll Verisma'!GG5+'Payroll MRO'!GG5</f>
        <v>14</v>
      </c>
      <c r="GH23" s="83">
        <f>'Payroll Verisma'!GH5+'Payroll MRO'!GH5</f>
        <v>0</v>
      </c>
      <c r="GI23" s="83">
        <f>'Payroll Verisma'!GI5+'Payroll MRO'!GI5</f>
        <v>0</v>
      </c>
      <c r="GJ23" s="83">
        <f>'Payroll Verisma'!GJ5+'Payroll MRO'!GJ5</f>
        <v>59</v>
      </c>
      <c r="GK23" s="83">
        <f>'Payroll Verisma'!GK5+'Payroll MRO'!GK5</f>
        <v>0</v>
      </c>
      <c r="GL23" s="83">
        <f>'Payroll Verisma'!GL5+'Payroll MRO'!GL5</f>
        <v>0</v>
      </c>
      <c r="GM23" s="83">
        <f>'Payroll Verisma'!GM5+'Payroll MRO'!GM5</f>
        <v>61</v>
      </c>
      <c r="GN23" s="83">
        <f>'Payroll Verisma'!GN5+'Payroll MRO'!GN5</f>
        <v>0</v>
      </c>
      <c r="GO23" s="83">
        <f>'Payroll Verisma'!GO5+'Payroll MRO'!GO5</f>
        <v>0</v>
      </c>
      <c r="GP23" s="83">
        <f>'Payroll Verisma'!GP5+'Payroll MRO'!GP5</f>
        <v>0</v>
      </c>
      <c r="GQ23" s="83">
        <f>'Payroll Verisma'!GQ5+'Payroll MRO'!GQ5</f>
        <v>0</v>
      </c>
      <c r="GR23" s="83">
        <f>'Payroll Verisma'!GR5+'Payroll MRO'!GR5</f>
        <v>0</v>
      </c>
    </row>
    <row r="24" spans="1:200" ht="15.6">
      <c r="A24" s="81">
        <f t="shared" si="83"/>
        <v>46026</v>
      </c>
      <c r="B24" s="82" t="str">
        <f t="shared" si="82"/>
        <v>Sun</v>
      </c>
      <c r="C24" s="75">
        <f t="shared" si="81"/>
        <v>726</v>
      </c>
      <c r="D24" s="83">
        <f>'Payroll Verisma'!D6+'Payroll MRO'!D6</f>
        <v>0</v>
      </c>
      <c r="E24" s="83">
        <f>'Payroll Verisma'!E6+'Payroll MRO'!E6</f>
        <v>0</v>
      </c>
      <c r="F24" s="83">
        <f>'Payroll Verisma'!F6+'Payroll MRO'!F6</f>
        <v>0</v>
      </c>
      <c r="G24" s="83">
        <f>'Payroll Verisma'!G6+'Payroll MRO'!G6</f>
        <v>0</v>
      </c>
      <c r="H24" s="83">
        <f>'Payroll Verisma'!H6+'Payroll MRO'!H6</f>
        <v>10</v>
      </c>
      <c r="I24" s="83">
        <f>'Payroll Verisma'!I6+'Payroll MRO'!I6</f>
        <v>0</v>
      </c>
      <c r="J24" s="83">
        <f>'Payroll Verisma'!J6+'Payroll MRO'!J6</f>
        <v>0</v>
      </c>
      <c r="K24" s="83">
        <f>'Payroll Verisma'!K6+'Payroll MRO'!K6</f>
        <v>0</v>
      </c>
      <c r="L24" s="83">
        <f>'Payroll Verisma'!L6+'Payroll MRO'!L6</f>
        <v>0</v>
      </c>
      <c r="M24" s="83">
        <f>'Payroll Verisma'!M6+'Payroll MRO'!M6</f>
        <v>0</v>
      </c>
      <c r="N24" s="83">
        <f>'Payroll Verisma'!N6+'Payroll MRO'!N6</f>
        <v>0</v>
      </c>
      <c r="O24" s="83">
        <f>'Payroll Verisma'!O6+'Payroll MRO'!O6</f>
        <v>0</v>
      </c>
      <c r="P24" s="83">
        <f>'Payroll Verisma'!P6+'Payroll MRO'!P6</f>
        <v>17</v>
      </c>
      <c r="Q24" s="83">
        <f>'Payroll Verisma'!Q6+'Payroll MRO'!Q6</f>
        <v>0</v>
      </c>
      <c r="R24" s="83">
        <f>'Payroll Verisma'!R6+'Payroll MRO'!R6</f>
        <v>0</v>
      </c>
      <c r="S24" s="83">
        <f>'Payroll Verisma'!S6+'Payroll MRO'!S6</f>
        <v>0</v>
      </c>
      <c r="T24" s="83">
        <f>'Payroll Verisma'!T6+'Payroll MRO'!T6</f>
        <v>0</v>
      </c>
      <c r="U24" s="83">
        <f>'Payroll Verisma'!U6+'Payroll MRO'!U6</f>
        <v>0</v>
      </c>
      <c r="V24" s="83">
        <f>'Payroll Verisma'!V6+'Payroll MRO'!V6</f>
        <v>0</v>
      </c>
      <c r="W24" s="83">
        <f>'Payroll Verisma'!W6+'Payroll MRO'!W6</f>
        <v>0</v>
      </c>
      <c r="X24" s="83">
        <f>'Payroll Verisma'!X6+'Payroll MRO'!X6</f>
        <v>0</v>
      </c>
      <c r="Y24" s="83">
        <f>'Payroll Verisma'!Y6+'Payroll MRO'!Y6</f>
        <v>49</v>
      </c>
      <c r="Z24" s="83">
        <f>'Payroll Verisma'!Z6+'Payroll MRO'!Z6</f>
        <v>0</v>
      </c>
      <c r="AA24" s="83">
        <f>'Payroll Verisma'!AA6+'Payroll MRO'!AA6</f>
        <v>0</v>
      </c>
      <c r="AB24" s="83">
        <f>'Payroll Verisma'!AB6+'Payroll MRO'!AB6</f>
        <v>0</v>
      </c>
      <c r="AC24" s="83">
        <f>'Payroll Verisma'!AC6+'Payroll MRO'!AC6</f>
        <v>0</v>
      </c>
      <c r="AD24" s="83">
        <f>'Payroll Verisma'!AD6+'Payroll MRO'!AD6</f>
        <v>0</v>
      </c>
      <c r="AE24" s="83">
        <f>'Payroll Verisma'!AE6+'Payroll MRO'!AE6</f>
        <v>0</v>
      </c>
      <c r="AF24" s="83">
        <f>'Payroll Verisma'!AF6+'Payroll MRO'!AF6</f>
        <v>0</v>
      </c>
      <c r="AG24" s="83">
        <f>'Payroll Verisma'!AG6+'Payroll MRO'!AG6</f>
        <v>0</v>
      </c>
      <c r="AH24" s="83">
        <f>'Payroll Verisma'!AH6+'Payroll MRO'!AH6</f>
        <v>0</v>
      </c>
      <c r="AI24" s="83">
        <f>'Payroll Verisma'!AI6+'Payroll MRO'!AI6</f>
        <v>0</v>
      </c>
      <c r="AJ24" s="83">
        <f>'Payroll Verisma'!AJ6+'Payroll MRO'!AJ6</f>
        <v>0</v>
      </c>
      <c r="AK24" s="83">
        <f>'Payroll Verisma'!AK6+'Payroll MRO'!AK6</f>
        <v>0</v>
      </c>
      <c r="AL24" s="83">
        <f>'Payroll Verisma'!AL6+'Payroll MRO'!AL6</f>
        <v>0</v>
      </c>
      <c r="AM24" s="83">
        <f>'Payroll Verisma'!AM6+'Payroll MRO'!AM6</f>
        <v>0</v>
      </c>
      <c r="AN24" s="83">
        <f>'Payroll Verisma'!AN6+'Payroll MRO'!AN6</f>
        <v>0</v>
      </c>
      <c r="AO24" s="83">
        <f>'Payroll Verisma'!AO6+'Payroll MRO'!AO6</f>
        <v>0</v>
      </c>
      <c r="AP24" s="83">
        <f>'Payroll Verisma'!AP6+'Payroll MRO'!AP6</f>
        <v>0</v>
      </c>
      <c r="AQ24" s="83">
        <f>'Payroll Verisma'!AQ6+'Payroll MRO'!AQ6</f>
        <v>0</v>
      </c>
      <c r="AR24" s="83">
        <f>'Payroll Verisma'!AR6+'Payroll MRO'!AR6</f>
        <v>0</v>
      </c>
      <c r="AS24" s="83">
        <f>'Payroll Verisma'!AS6+'Payroll MRO'!AS6</f>
        <v>0</v>
      </c>
      <c r="AT24" s="83">
        <f>'Payroll Verisma'!AT6+'Payroll MRO'!AT6</f>
        <v>0</v>
      </c>
      <c r="AU24" s="83">
        <f>'Payroll Verisma'!AU6+'Payroll MRO'!AU6</f>
        <v>0</v>
      </c>
      <c r="AV24" s="83">
        <f>'Payroll Verisma'!AV6+'Payroll MRO'!AV6</f>
        <v>0</v>
      </c>
      <c r="AW24" s="83">
        <f>'Payroll Verisma'!AW6+'Payroll MRO'!AW6</f>
        <v>0</v>
      </c>
      <c r="AX24" s="83">
        <f>'Payroll Verisma'!AX6+'Payroll MRO'!AX6</f>
        <v>0</v>
      </c>
      <c r="AY24" s="83">
        <f>'Payroll Verisma'!AY6+'Payroll MRO'!AY6</f>
        <v>0</v>
      </c>
      <c r="AZ24" s="83">
        <f>'Payroll Verisma'!AZ6+'Payroll MRO'!AZ6</f>
        <v>0</v>
      </c>
      <c r="BA24" s="83">
        <f>'Payroll Verisma'!BA6+'Payroll MRO'!BA6</f>
        <v>0</v>
      </c>
      <c r="BB24" s="83">
        <f>'Payroll Verisma'!BB6+'Payroll MRO'!BB6</f>
        <v>0</v>
      </c>
      <c r="BC24" s="83">
        <f>'Payroll Verisma'!BC6+'Payroll MRO'!BC6</f>
        <v>0</v>
      </c>
      <c r="BD24" s="83">
        <f>'Payroll Verisma'!BD6+'Payroll MRO'!BD6</f>
        <v>0</v>
      </c>
      <c r="BE24" s="83">
        <f>'Payroll Verisma'!BE6+'Payroll MRO'!BE6</f>
        <v>0</v>
      </c>
      <c r="BF24" s="83">
        <f>'Payroll Verisma'!BF6+'Payroll MRO'!BF6</f>
        <v>0</v>
      </c>
      <c r="BG24" s="83">
        <f>'Payroll Verisma'!BG6+'Payroll MRO'!BG6</f>
        <v>0</v>
      </c>
      <c r="BH24" s="83">
        <f>'Payroll Verisma'!BH6+'Payroll MRO'!BH6</f>
        <v>0</v>
      </c>
      <c r="BI24" s="83">
        <f>'Payroll Verisma'!BI6+'Payroll MRO'!BI6</f>
        <v>0</v>
      </c>
      <c r="BJ24" s="83">
        <f>'Payroll Verisma'!BJ6+'Payroll MRO'!BJ6</f>
        <v>0</v>
      </c>
      <c r="BK24" s="83">
        <f>'Payroll Verisma'!BK6+'Payroll MRO'!BK6</f>
        <v>0</v>
      </c>
      <c r="BL24" s="83">
        <f>'Payroll Verisma'!BL6+'Payroll MRO'!BL6</f>
        <v>0</v>
      </c>
      <c r="BM24" s="83">
        <f>'Payroll Verisma'!BM6+'Payroll MRO'!BM6</f>
        <v>0</v>
      </c>
      <c r="BN24" s="83">
        <f>'Payroll Verisma'!BN6+'Payroll MRO'!BN6</f>
        <v>0</v>
      </c>
      <c r="BO24" s="83">
        <f>'Payroll Verisma'!BO6+'Payroll MRO'!BO6</f>
        <v>0</v>
      </c>
      <c r="BP24" s="83">
        <f>'Payroll Verisma'!BP6+'Payroll MRO'!BP6</f>
        <v>0</v>
      </c>
      <c r="BQ24" s="83">
        <f>'Payroll Verisma'!BQ6+'Payroll MRO'!BQ6</f>
        <v>0</v>
      </c>
      <c r="BR24" s="83">
        <f>'Payroll Verisma'!BR6+'Payroll MRO'!BR6</f>
        <v>0</v>
      </c>
      <c r="BS24" s="83">
        <f>'Payroll Verisma'!BS6+'Payroll MRO'!BS6</f>
        <v>0</v>
      </c>
      <c r="BT24" s="83">
        <f>'Payroll Verisma'!BT6+'Payroll MRO'!BT6</f>
        <v>0</v>
      </c>
      <c r="BU24" s="83">
        <f>'Payroll Verisma'!BU6+'Payroll MRO'!BU6</f>
        <v>0</v>
      </c>
      <c r="BV24" s="83">
        <f>'Payroll Verisma'!BV6+'Payroll MRO'!BV6</f>
        <v>0</v>
      </c>
      <c r="BW24" s="83">
        <f>'Payroll Verisma'!BW6+'Payroll MRO'!BW6</f>
        <v>0</v>
      </c>
      <c r="BX24" s="83">
        <f>'Payroll Verisma'!BX6+'Payroll MRO'!BX6</f>
        <v>0</v>
      </c>
      <c r="BY24" s="83">
        <f>'Payroll Verisma'!BY6+'Payroll MRO'!BY6</f>
        <v>0</v>
      </c>
      <c r="BZ24" s="83">
        <f>'Payroll Verisma'!BZ6+'Payroll MRO'!BZ6</f>
        <v>59</v>
      </c>
      <c r="CA24" s="83">
        <f>'Payroll Verisma'!CA6+'Payroll MRO'!CA6</f>
        <v>0</v>
      </c>
      <c r="CB24" s="83">
        <f>'Payroll Verisma'!CB6+'Payroll MRO'!CB6</f>
        <v>0</v>
      </c>
      <c r="CC24" s="83">
        <f>'Payroll Verisma'!CC6+'Payroll MRO'!CC6</f>
        <v>0</v>
      </c>
      <c r="CD24" s="83">
        <f>'Payroll Verisma'!CD6+'Payroll MRO'!CD6</f>
        <v>0</v>
      </c>
      <c r="CE24" s="83">
        <f>'Payroll Verisma'!CE6+'Payroll MRO'!CE6</f>
        <v>0</v>
      </c>
      <c r="CF24" s="83">
        <f>'Payroll Verisma'!CF6+'Payroll MRO'!CF6</f>
        <v>0</v>
      </c>
      <c r="CG24" s="83">
        <f>'Payroll Verisma'!CG6+'Payroll MRO'!CG6</f>
        <v>0</v>
      </c>
      <c r="CH24" s="83">
        <f>'Payroll Verisma'!CH6+'Payroll MRO'!CH6</f>
        <v>9</v>
      </c>
      <c r="CI24" s="83">
        <f>'Payroll Verisma'!CI6+'Payroll MRO'!CI6</f>
        <v>0</v>
      </c>
      <c r="CJ24" s="83">
        <f>'Payroll Verisma'!CJ6+'Payroll MRO'!CJ6</f>
        <v>0</v>
      </c>
      <c r="CK24" s="83">
        <f>'Payroll Verisma'!CK6+'Payroll MRO'!CK6</f>
        <v>0</v>
      </c>
      <c r="CL24" s="83">
        <f>'Payroll Verisma'!CL6+'Payroll MRO'!CL6</f>
        <v>0</v>
      </c>
      <c r="CM24" s="83">
        <f>'Payroll Verisma'!CM6+'Payroll MRO'!CM6</f>
        <v>0</v>
      </c>
      <c r="CN24" s="83">
        <f>'Payroll Verisma'!CN6+'Payroll MRO'!CN6</f>
        <v>0</v>
      </c>
      <c r="CO24" s="83">
        <f>'Payroll Verisma'!CO6+'Payroll MRO'!CO6</f>
        <v>0</v>
      </c>
      <c r="CP24" s="83">
        <f>'Payroll Verisma'!CP6+'Payroll MRO'!CP6</f>
        <v>0</v>
      </c>
      <c r="CQ24" s="83">
        <f>'Payroll Verisma'!CQ6+'Payroll MRO'!CQ6</f>
        <v>0</v>
      </c>
      <c r="CR24" s="83">
        <f>'Payroll Verisma'!CR6+'Payroll MRO'!CR6</f>
        <v>9</v>
      </c>
      <c r="CS24" s="83">
        <f>'Payroll Verisma'!CS6+'Payroll MRO'!CS6</f>
        <v>6</v>
      </c>
      <c r="CT24" s="83">
        <f>'Payroll Verisma'!CT6+'Payroll MRO'!CT6</f>
        <v>0</v>
      </c>
      <c r="CU24" s="83">
        <f>'Payroll Verisma'!CU6+'Payroll MRO'!CU6</f>
        <v>0</v>
      </c>
      <c r="CV24" s="83">
        <f>'Payroll Verisma'!CV6+'Payroll MRO'!CV6</f>
        <v>0</v>
      </c>
      <c r="CW24" s="83">
        <f>'Payroll Verisma'!CW6+'Payroll MRO'!CW6</f>
        <v>0</v>
      </c>
      <c r="CX24" s="83">
        <f>'Payroll Verisma'!CX6+'Payroll MRO'!CX6</f>
        <v>0</v>
      </c>
      <c r="CY24" s="83">
        <f>'Payroll Verisma'!CY6+'Payroll MRO'!CY6</f>
        <v>72</v>
      </c>
      <c r="CZ24" s="83">
        <f>'Payroll Verisma'!CZ6+'Payroll MRO'!CZ6</f>
        <v>0</v>
      </c>
      <c r="DA24" s="83">
        <f>'Payroll Verisma'!DA6+'Payroll MRO'!DA6</f>
        <v>0</v>
      </c>
      <c r="DB24" s="83">
        <f>'Payroll Verisma'!DB6+'Payroll MRO'!DB6</f>
        <v>0</v>
      </c>
      <c r="DC24" s="83">
        <f>'Payroll Verisma'!DC6+'Payroll MRO'!DC6</f>
        <v>0</v>
      </c>
      <c r="DD24" s="83">
        <f>'Payroll Verisma'!DD6+'Payroll MRO'!DD6</f>
        <v>0</v>
      </c>
      <c r="DE24" s="83">
        <f>'Payroll Verisma'!DE6+'Payroll MRO'!DE6</f>
        <v>70</v>
      </c>
      <c r="DF24" s="83">
        <f>'Payroll Verisma'!DF6+'Payroll MRO'!DF6</f>
        <v>0</v>
      </c>
      <c r="DG24" s="83">
        <f>'Payroll Verisma'!DG6+'Payroll MRO'!DG6</f>
        <v>1</v>
      </c>
      <c r="DH24" s="83">
        <f>'Payroll Verisma'!DH6+'Payroll MRO'!DH6</f>
        <v>0</v>
      </c>
      <c r="DI24" s="83">
        <f>'Payroll Verisma'!DI6+'Payroll MRO'!DI6</f>
        <v>0</v>
      </c>
      <c r="DJ24" s="83">
        <f>'Payroll Verisma'!DJ6+'Payroll MRO'!DJ6</f>
        <v>0</v>
      </c>
      <c r="DK24" s="83">
        <f>'Payroll Verisma'!DK6+'Payroll MRO'!DK6</f>
        <v>114</v>
      </c>
      <c r="DL24" s="83">
        <f>'Payroll Verisma'!DL6+'Payroll MRO'!DL6</f>
        <v>0</v>
      </c>
      <c r="DM24" s="83">
        <f>'Payroll Verisma'!DM6+'Payroll MRO'!DM6</f>
        <v>0</v>
      </c>
      <c r="DN24" s="83">
        <f>'Payroll Verisma'!DN6+'Payroll MRO'!DN6</f>
        <v>0</v>
      </c>
      <c r="DO24" s="83">
        <f>'Payroll Verisma'!DO6+'Payroll MRO'!DO6</f>
        <v>0</v>
      </c>
      <c r="DP24" s="83">
        <f>'Payroll Verisma'!DP6+'Payroll MRO'!DP6</f>
        <v>0</v>
      </c>
      <c r="DQ24" s="83">
        <f>'Payroll Verisma'!DQ6+'Payroll MRO'!DQ6</f>
        <v>0</v>
      </c>
      <c r="DR24" s="83">
        <f>'Payroll Verisma'!DR6+'Payroll MRO'!DR6</f>
        <v>0</v>
      </c>
      <c r="DS24" s="83">
        <f>'Payroll Verisma'!DS6+'Payroll MRO'!DS6</f>
        <v>0</v>
      </c>
      <c r="DT24" s="83">
        <f>'Payroll Verisma'!DT6+'Payroll MRO'!DT6</f>
        <v>0</v>
      </c>
      <c r="DU24" s="83">
        <f>'Payroll Verisma'!DU6+'Payroll MRO'!DU6</f>
        <v>0</v>
      </c>
      <c r="DV24" s="83">
        <f>'Payroll Verisma'!DV6+'Payroll MRO'!DV6</f>
        <v>0</v>
      </c>
      <c r="DW24" s="83">
        <f>'Payroll Verisma'!DW6+'Payroll MRO'!DW6</f>
        <v>0</v>
      </c>
      <c r="DX24" s="83">
        <f>'Payroll Verisma'!DX6+'Payroll MRO'!DX6</f>
        <v>0</v>
      </c>
      <c r="DY24" s="83">
        <f>'Payroll Verisma'!DY6+'Payroll MRO'!DY6</f>
        <v>0</v>
      </c>
      <c r="DZ24" s="83">
        <f>'Payroll Verisma'!DZ6+'Payroll MRO'!DZ6</f>
        <v>0</v>
      </c>
      <c r="EA24" s="83">
        <f>'Payroll Verisma'!EA6+'Payroll MRO'!EA6</f>
        <v>0</v>
      </c>
      <c r="EB24" s="83">
        <f>'Payroll Verisma'!EB6+'Payroll MRO'!EB6</f>
        <v>0</v>
      </c>
      <c r="EC24" s="83">
        <f>'Payroll Verisma'!EC6+'Payroll MRO'!EC6</f>
        <v>0</v>
      </c>
      <c r="ED24" s="83">
        <f>'Payroll Verisma'!ED6+'Payroll MRO'!ED6</f>
        <v>0</v>
      </c>
      <c r="EE24" s="83">
        <f>'Payroll Verisma'!EE6+'Payroll MRO'!EE6</f>
        <v>0</v>
      </c>
      <c r="EF24" s="83">
        <f>'Payroll Verisma'!EF6+'Payroll MRO'!EF6</f>
        <v>0</v>
      </c>
      <c r="EG24" s="83">
        <f>'Payroll Verisma'!EG6+'Payroll MRO'!EG6</f>
        <v>0</v>
      </c>
      <c r="EH24" s="83">
        <f>'Payroll Verisma'!EH6+'Payroll MRO'!EH6</f>
        <v>0</v>
      </c>
      <c r="EI24" s="83">
        <f>'Payroll Verisma'!EI6+'Payroll MRO'!EI6</f>
        <v>0</v>
      </c>
      <c r="EJ24" s="83">
        <f>'Payroll Verisma'!EJ6+'Payroll MRO'!EJ6</f>
        <v>0</v>
      </c>
      <c r="EK24" s="83">
        <f>'Payroll Verisma'!EK6+'Payroll MRO'!EK6</f>
        <v>0</v>
      </c>
      <c r="EL24" s="83">
        <f>'Payroll Verisma'!EL6+'Payroll MRO'!EL6</f>
        <v>0</v>
      </c>
      <c r="EM24" s="83">
        <f>'Payroll Verisma'!EM6+'Payroll MRO'!EM6</f>
        <v>0</v>
      </c>
      <c r="EN24" s="83">
        <f>'Payroll Verisma'!EN6+'Payroll MRO'!EN6</f>
        <v>0</v>
      </c>
      <c r="EO24" s="83">
        <f>'Payroll Verisma'!EO6+'Payroll MRO'!EO6</f>
        <v>0</v>
      </c>
      <c r="EP24" s="83">
        <f>'Payroll Verisma'!EP6+'Payroll MRO'!EP6</f>
        <v>0</v>
      </c>
      <c r="EQ24" s="83">
        <f>'Payroll Verisma'!EQ6+'Payroll MRO'!EQ6</f>
        <v>0</v>
      </c>
      <c r="ER24" s="83">
        <f>'Payroll Verisma'!ER6+'Payroll MRO'!ER6</f>
        <v>0</v>
      </c>
      <c r="ES24" s="83">
        <f>'Payroll Verisma'!ES6+'Payroll MRO'!ES6</f>
        <v>0</v>
      </c>
      <c r="ET24" s="83">
        <f>'Payroll Verisma'!ET6+'Payroll MRO'!ET6</f>
        <v>0</v>
      </c>
      <c r="EU24" s="83">
        <f>'Payroll Verisma'!EU6+'Payroll MRO'!EU6</f>
        <v>0</v>
      </c>
      <c r="EV24" s="83">
        <f>'Payroll Verisma'!EV6+'Payroll MRO'!EV6</f>
        <v>0</v>
      </c>
      <c r="EW24" s="83">
        <f>'Payroll Verisma'!EW6+'Payroll MRO'!EW6</f>
        <v>0</v>
      </c>
      <c r="EX24" s="83">
        <f>'Payroll Verisma'!EX6+'Payroll MRO'!EX6</f>
        <v>0</v>
      </c>
      <c r="EY24" s="83">
        <f>'Payroll Verisma'!EY6+'Payroll MRO'!EY6</f>
        <v>0</v>
      </c>
      <c r="EZ24" s="83">
        <f>'Payroll Verisma'!EZ6+'Payroll MRO'!EZ6</f>
        <v>0</v>
      </c>
      <c r="FA24" s="83">
        <f>'Payroll Verisma'!FA6+'Payroll MRO'!FA6</f>
        <v>0</v>
      </c>
      <c r="FB24" s="83">
        <f>'Payroll Verisma'!FB6+'Payroll MRO'!FB6</f>
        <v>0</v>
      </c>
      <c r="FC24" s="83">
        <f>'Payroll Verisma'!FC6+'Payroll MRO'!FC6</f>
        <v>0</v>
      </c>
      <c r="FD24" s="83">
        <f>'Payroll Verisma'!FD6+'Payroll MRO'!FD6</f>
        <v>0</v>
      </c>
      <c r="FE24" s="83">
        <f>'Payroll Verisma'!FE6+'Payroll MRO'!FE6</f>
        <v>0</v>
      </c>
      <c r="FF24" s="83">
        <f>'Payroll Verisma'!FF6+'Payroll MRO'!FF6</f>
        <v>20</v>
      </c>
      <c r="FG24" s="83">
        <f>'Payroll Verisma'!FG6+'Payroll MRO'!FG6</f>
        <v>0</v>
      </c>
      <c r="FH24" s="83">
        <f>'Payroll Verisma'!FH6+'Payroll MRO'!FH6</f>
        <v>17</v>
      </c>
      <c r="FI24" s="83">
        <f>'Payroll Verisma'!FI6+'Payroll MRO'!FI6</f>
        <v>0</v>
      </c>
      <c r="FJ24" s="83">
        <f>'Payroll Verisma'!FJ6+'Payroll MRO'!FJ6</f>
        <v>0</v>
      </c>
      <c r="FK24" s="83">
        <f>'Payroll Verisma'!FK6+'Payroll MRO'!FK6</f>
        <v>19</v>
      </c>
      <c r="FL24" s="83">
        <f>'Payroll Verisma'!FL6+'Payroll MRO'!FL6</f>
        <v>0</v>
      </c>
      <c r="FM24" s="83">
        <f>'Payroll Verisma'!FM6+'Payroll MRO'!FM6</f>
        <v>0</v>
      </c>
      <c r="FN24" s="83">
        <f>'Payroll Verisma'!FN6+'Payroll MRO'!FN6</f>
        <v>0</v>
      </c>
      <c r="FO24" s="83">
        <f>'Payroll Verisma'!FO6+'Payroll MRO'!FO6</f>
        <v>0</v>
      </c>
      <c r="FP24" s="83">
        <f>'Payroll Verisma'!FP6+'Payroll MRO'!FP6</f>
        <v>24</v>
      </c>
      <c r="FQ24" s="83">
        <f>'Payroll Verisma'!FQ6+'Payroll MRO'!FQ6</f>
        <v>0</v>
      </c>
      <c r="FR24" s="83">
        <f>'Payroll Verisma'!FR6+'Payroll MRO'!FR6</f>
        <v>0</v>
      </c>
      <c r="FS24" s="83">
        <f>'Payroll Verisma'!FS6+'Payroll MRO'!FS6</f>
        <v>0</v>
      </c>
      <c r="FT24" s="83">
        <f>'Payroll Verisma'!FT6+'Payroll MRO'!FT6</f>
        <v>0</v>
      </c>
      <c r="FU24" s="83">
        <f>'Payroll Verisma'!FU6+'Payroll MRO'!FU6</f>
        <v>0</v>
      </c>
      <c r="FV24" s="83">
        <f>'Payroll Verisma'!FV6+'Payroll MRO'!FV6</f>
        <v>0</v>
      </c>
      <c r="FW24" s="83">
        <f>'Payroll Verisma'!FW6+'Payroll MRO'!FW6</f>
        <v>0</v>
      </c>
      <c r="FX24" s="83">
        <f>'Payroll Verisma'!FX6+'Payroll MRO'!FX6</f>
        <v>0</v>
      </c>
      <c r="FY24" s="83">
        <f>'Payroll Verisma'!FY6+'Payroll MRO'!FY6</f>
        <v>0</v>
      </c>
      <c r="FZ24" s="83">
        <f>'Payroll Verisma'!FZ6+'Payroll MRO'!FZ6</f>
        <v>0</v>
      </c>
      <c r="GA24" s="83">
        <f>'Payroll Verisma'!GA6+'Payroll MRO'!GA6</f>
        <v>0</v>
      </c>
      <c r="GB24" s="83">
        <f>'Payroll Verisma'!GB6+'Payroll MRO'!GB6</f>
        <v>0</v>
      </c>
      <c r="GC24" s="83">
        <f>'Payroll Verisma'!GC6+'Payroll MRO'!GC6</f>
        <v>0</v>
      </c>
      <c r="GD24" s="83">
        <f>'Payroll Verisma'!GD6+'Payroll MRO'!GD6</f>
        <v>0</v>
      </c>
      <c r="GE24" s="83">
        <f>'Payroll Verisma'!GE6+'Payroll MRO'!GE6</f>
        <v>32</v>
      </c>
      <c r="GF24" s="83">
        <f>'Payroll Verisma'!GF6+'Payroll MRO'!GF6</f>
        <v>0</v>
      </c>
      <c r="GG24" s="83">
        <f>'Payroll Verisma'!GG6+'Payroll MRO'!GG6</f>
        <v>19</v>
      </c>
      <c r="GH24" s="83">
        <f>'Payroll Verisma'!GH6+'Payroll MRO'!GH6</f>
        <v>0</v>
      </c>
      <c r="GI24" s="83">
        <f>'Payroll Verisma'!GI6+'Payroll MRO'!GI6</f>
        <v>0</v>
      </c>
      <c r="GJ24" s="83">
        <f>'Payroll Verisma'!GJ6+'Payroll MRO'!GJ6</f>
        <v>19</v>
      </c>
      <c r="GK24" s="83">
        <f>'Payroll Verisma'!GK6+'Payroll MRO'!GK6</f>
        <v>0</v>
      </c>
      <c r="GL24" s="83">
        <f>'Payroll Verisma'!GL6+'Payroll MRO'!GL6</f>
        <v>0</v>
      </c>
      <c r="GM24" s="83">
        <f>'Payroll Verisma'!GM6+'Payroll MRO'!GM6</f>
        <v>97</v>
      </c>
      <c r="GN24" s="83">
        <f>'Payroll Verisma'!GN6+'Payroll MRO'!GN6</f>
        <v>11</v>
      </c>
      <c r="GO24" s="83">
        <f>'Payroll Verisma'!GO6+'Payroll MRO'!GO6</f>
        <v>0</v>
      </c>
      <c r="GP24" s="83">
        <f>'Payroll Verisma'!GP6+'Payroll MRO'!GP6</f>
        <v>48</v>
      </c>
      <c r="GQ24" s="83">
        <f>'Payroll Verisma'!GQ6+'Payroll MRO'!GQ6</f>
        <v>0</v>
      </c>
      <c r="GR24" s="83">
        <f>'Payroll Verisma'!GR6+'Payroll MRO'!GR6</f>
        <v>4</v>
      </c>
    </row>
    <row r="25" spans="1:200" ht="15.6">
      <c r="A25" s="81">
        <f t="shared" si="83"/>
        <v>46027</v>
      </c>
      <c r="B25" s="82" t="str">
        <f t="shared" si="82"/>
        <v>Mon</v>
      </c>
      <c r="C25" s="75">
        <f t="shared" si="81"/>
        <v>5480</v>
      </c>
      <c r="D25" s="83">
        <f>'Payroll Verisma'!D7+'Payroll MRO'!D7</f>
        <v>0</v>
      </c>
      <c r="E25" s="83">
        <f>'Payroll Verisma'!E7+'Payroll MRO'!E7</f>
        <v>0</v>
      </c>
      <c r="F25" s="83">
        <f>'Payroll Verisma'!F7+'Payroll MRO'!F7</f>
        <v>0</v>
      </c>
      <c r="G25" s="83">
        <f>'Payroll Verisma'!G7+'Payroll MRO'!G7</f>
        <v>0</v>
      </c>
      <c r="H25" s="83">
        <f>'Payroll Verisma'!H7+'Payroll MRO'!H7</f>
        <v>41</v>
      </c>
      <c r="I25" s="83">
        <f>'Payroll Verisma'!I7+'Payroll MRO'!I7</f>
        <v>47</v>
      </c>
      <c r="J25" s="83">
        <f>'Payroll Verisma'!J7+'Payroll MRO'!J7</f>
        <v>0</v>
      </c>
      <c r="K25" s="83">
        <f>'Payroll Verisma'!K7+'Payroll MRO'!K7</f>
        <v>0</v>
      </c>
      <c r="L25" s="83">
        <f>'Payroll Verisma'!L7+'Payroll MRO'!L7</f>
        <v>0</v>
      </c>
      <c r="M25" s="83">
        <f>'Payroll Verisma'!M7+'Payroll MRO'!M7</f>
        <v>0</v>
      </c>
      <c r="N25" s="83">
        <f>'Payroll Verisma'!N7+'Payroll MRO'!N7</f>
        <v>16</v>
      </c>
      <c r="O25" s="83">
        <f>'Payroll Verisma'!O7+'Payroll MRO'!O7</f>
        <v>66</v>
      </c>
      <c r="P25" s="83">
        <f>'Payroll Verisma'!P7+'Payroll MRO'!P7</f>
        <v>44</v>
      </c>
      <c r="Q25" s="83">
        <f>'Payroll Verisma'!Q7+'Payroll MRO'!Q7</f>
        <v>37</v>
      </c>
      <c r="R25" s="83">
        <f>'Payroll Verisma'!R7+'Payroll MRO'!R7</f>
        <v>113</v>
      </c>
      <c r="S25" s="83">
        <f>'Payroll Verisma'!S7+'Payroll MRO'!S7</f>
        <v>53</v>
      </c>
      <c r="T25" s="83">
        <f>'Payroll Verisma'!T7+'Payroll MRO'!T7</f>
        <v>96</v>
      </c>
      <c r="U25" s="83">
        <f>'Payroll Verisma'!U7+'Payroll MRO'!U7</f>
        <v>17</v>
      </c>
      <c r="V25" s="83">
        <f>'Payroll Verisma'!V7+'Payroll MRO'!V7</f>
        <v>35</v>
      </c>
      <c r="W25" s="83">
        <f>'Payroll Verisma'!W7+'Payroll MRO'!W7</f>
        <v>45</v>
      </c>
      <c r="X25" s="83">
        <f>'Payroll Verisma'!X7+'Payroll MRO'!X7</f>
        <v>0</v>
      </c>
      <c r="Y25" s="83">
        <f>'Payroll Verisma'!Y7+'Payroll MRO'!Y7</f>
        <v>61</v>
      </c>
      <c r="Z25" s="83">
        <f>'Payroll Verisma'!Z7+'Payroll MRO'!Z7</f>
        <v>51</v>
      </c>
      <c r="AA25" s="83">
        <f>'Payroll Verisma'!AA7+'Payroll MRO'!AA7</f>
        <v>32</v>
      </c>
      <c r="AB25" s="83">
        <f>'Payroll Verisma'!AB7+'Payroll MRO'!AB7</f>
        <v>9</v>
      </c>
      <c r="AC25" s="83">
        <f>'Payroll Verisma'!AC7+'Payroll MRO'!AC7</f>
        <v>0</v>
      </c>
      <c r="AD25" s="83">
        <f>'Payroll Verisma'!AD7+'Payroll MRO'!AD7</f>
        <v>74</v>
      </c>
      <c r="AE25" s="83">
        <f>'Payroll Verisma'!AE7+'Payroll MRO'!AE7</f>
        <v>0</v>
      </c>
      <c r="AF25" s="83">
        <f>'Payroll Verisma'!AF7+'Payroll MRO'!AF7</f>
        <v>0</v>
      </c>
      <c r="AG25" s="83">
        <f>'Payroll Verisma'!AG7+'Payroll MRO'!AG7</f>
        <v>50</v>
      </c>
      <c r="AH25" s="83">
        <f>'Payroll Verisma'!AH7+'Payroll MRO'!AH7</f>
        <v>39</v>
      </c>
      <c r="AI25" s="83">
        <f>'Payroll Verisma'!AI7+'Payroll MRO'!AI7</f>
        <v>0</v>
      </c>
      <c r="AJ25" s="83">
        <f>'Payroll Verisma'!AJ7+'Payroll MRO'!AJ7</f>
        <v>0</v>
      </c>
      <c r="AK25" s="83">
        <f>'Payroll Verisma'!AK7+'Payroll MRO'!AK7</f>
        <v>0</v>
      </c>
      <c r="AL25" s="83">
        <f>'Payroll Verisma'!AL7+'Payroll MRO'!AL7</f>
        <v>0</v>
      </c>
      <c r="AM25" s="83">
        <f>'Payroll Verisma'!AM7+'Payroll MRO'!AM7</f>
        <v>0</v>
      </c>
      <c r="AN25" s="83">
        <f>'Payroll Verisma'!AN7+'Payroll MRO'!AN7</f>
        <v>3</v>
      </c>
      <c r="AO25" s="83">
        <f>'Payroll Verisma'!AO7+'Payroll MRO'!AO7</f>
        <v>0</v>
      </c>
      <c r="AP25" s="83">
        <f>'Payroll Verisma'!AP7+'Payroll MRO'!AP7</f>
        <v>21</v>
      </c>
      <c r="AQ25" s="83">
        <f>'Payroll Verisma'!AQ7+'Payroll MRO'!AQ7</f>
        <v>15</v>
      </c>
      <c r="AR25" s="83">
        <f>'Payroll Verisma'!AR7+'Payroll MRO'!AR7</f>
        <v>1</v>
      </c>
      <c r="AS25" s="83">
        <f>'Payroll Verisma'!AS7+'Payroll MRO'!AS7</f>
        <v>0</v>
      </c>
      <c r="AT25" s="83">
        <f>'Payroll Verisma'!AT7+'Payroll MRO'!AT7</f>
        <v>0</v>
      </c>
      <c r="AU25" s="83">
        <f>'Payroll Verisma'!AU7+'Payroll MRO'!AU7</f>
        <v>27</v>
      </c>
      <c r="AV25" s="83">
        <f>'Payroll Verisma'!AV7+'Payroll MRO'!AV7</f>
        <v>21</v>
      </c>
      <c r="AW25" s="83">
        <f>'Payroll Verisma'!AW7+'Payroll MRO'!AW7</f>
        <v>30</v>
      </c>
      <c r="AX25" s="83">
        <f>'Payroll Verisma'!AX7+'Payroll MRO'!AX7</f>
        <v>31</v>
      </c>
      <c r="AY25" s="83">
        <f>'Payroll Verisma'!AY7+'Payroll MRO'!AY7</f>
        <v>0</v>
      </c>
      <c r="AZ25" s="83">
        <f>'Payroll Verisma'!AZ7+'Payroll MRO'!AZ7</f>
        <v>22</v>
      </c>
      <c r="BA25" s="83">
        <f>'Payroll Verisma'!BA7+'Payroll MRO'!BA7</f>
        <v>75</v>
      </c>
      <c r="BB25" s="83">
        <f>'Payroll Verisma'!BB7+'Payroll MRO'!BB7</f>
        <v>43</v>
      </c>
      <c r="BC25" s="83">
        <f>'Payroll Verisma'!BC7+'Payroll MRO'!BC7</f>
        <v>0</v>
      </c>
      <c r="BD25" s="83">
        <f>'Payroll Verisma'!BD7+'Payroll MRO'!BD7</f>
        <v>234</v>
      </c>
      <c r="BE25" s="83">
        <f>'Payroll Verisma'!BE7+'Payroll MRO'!BE7</f>
        <v>23</v>
      </c>
      <c r="BF25" s="83">
        <f>'Payroll Verisma'!BF7+'Payroll MRO'!BF7</f>
        <v>0</v>
      </c>
      <c r="BG25" s="83">
        <f>'Payroll Verisma'!BG7+'Payroll MRO'!BG7</f>
        <v>25</v>
      </c>
      <c r="BH25" s="83">
        <f>'Payroll Verisma'!BH7+'Payroll MRO'!BH7</f>
        <v>0</v>
      </c>
      <c r="BI25" s="83">
        <f>'Payroll Verisma'!BI7+'Payroll MRO'!BI7</f>
        <v>17</v>
      </c>
      <c r="BJ25" s="83">
        <f>'Payroll Verisma'!BJ7+'Payroll MRO'!BJ7</f>
        <v>15</v>
      </c>
      <c r="BK25" s="83">
        <f>'Payroll Verisma'!BK7+'Payroll MRO'!BK7</f>
        <v>0</v>
      </c>
      <c r="BL25" s="83">
        <f>'Payroll Verisma'!BL7+'Payroll MRO'!BL7</f>
        <v>40</v>
      </c>
      <c r="BM25" s="83">
        <f>'Payroll Verisma'!BM7+'Payroll MRO'!BM7</f>
        <v>0</v>
      </c>
      <c r="BN25" s="83">
        <f>'Payroll Verisma'!BN7+'Payroll MRO'!BN7</f>
        <v>0</v>
      </c>
      <c r="BO25" s="83">
        <f>'Payroll Verisma'!BO7+'Payroll MRO'!BO7</f>
        <v>30</v>
      </c>
      <c r="BP25" s="83">
        <f>'Payroll Verisma'!BP7+'Payroll MRO'!BP7</f>
        <v>50</v>
      </c>
      <c r="BQ25" s="83">
        <f>'Payroll Verisma'!BQ7+'Payroll MRO'!BQ7</f>
        <v>0</v>
      </c>
      <c r="BR25" s="83">
        <f>'Payroll Verisma'!BR7+'Payroll MRO'!BR7</f>
        <v>0</v>
      </c>
      <c r="BS25" s="83">
        <f>'Payroll Verisma'!BS7+'Payroll MRO'!BS7</f>
        <v>46</v>
      </c>
      <c r="BT25" s="83">
        <f>'Payroll Verisma'!BT7+'Payroll MRO'!BT7</f>
        <v>0</v>
      </c>
      <c r="BU25" s="83">
        <f>'Payroll Verisma'!BU7+'Payroll MRO'!BU7</f>
        <v>42</v>
      </c>
      <c r="BV25" s="83">
        <f>'Payroll Verisma'!BV7+'Payroll MRO'!BV7</f>
        <v>1</v>
      </c>
      <c r="BW25" s="83">
        <f>'Payroll Verisma'!BW7+'Payroll MRO'!BW7</f>
        <v>25</v>
      </c>
      <c r="BX25" s="83">
        <f>'Payroll Verisma'!BX7+'Payroll MRO'!BX7</f>
        <v>0</v>
      </c>
      <c r="BY25" s="83">
        <f>'Payroll Verisma'!BY7+'Payroll MRO'!BY7</f>
        <v>0</v>
      </c>
      <c r="BZ25" s="83">
        <f>'Payroll Verisma'!BZ7+'Payroll MRO'!BZ7</f>
        <v>171</v>
      </c>
      <c r="CA25" s="83">
        <f>'Payroll Verisma'!CA7+'Payroll MRO'!CA7</f>
        <v>66</v>
      </c>
      <c r="CB25" s="83">
        <f>'Payroll Verisma'!CB7+'Payroll MRO'!CB7</f>
        <v>0</v>
      </c>
      <c r="CC25" s="83">
        <f>'Payroll Verisma'!CC7+'Payroll MRO'!CC7</f>
        <v>17</v>
      </c>
      <c r="CD25" s="83">
        <f>'Payroll Verisma'!CD7+'Payroll MRO'!CD7</f>
        <v>204</v>
      </c>
      <c r="CE25" s="83">
        <f>'Payroll Verisma'!CE7+'Payroll MRO'!CE7</f>
        <v>0</v>
      </c>
      <c r="CF25" s="83">
        <f>'Payroll Verisma'!CF7+'Payroll MRO'!CF7</f>
        <v>21</v>
      </c>
      <c r="CG25" s="83">
        <f>'Payroll Verisma'!CG7+'Payroll MRO'!CG7</f>
        <v>0</v>
      </c>
      <c r="CH25" s="83">
        <f>'Payroll Verisma'!CH7+'Payroll MRO'!CH7</f>
        <v>18</v>
      </c>
      <c r="CI25" s="83">
        <f>'Payroll Verisma'!CI7+'Payroll MRO'!CI7</f>
        <v>0</v>
      </c>
      <c r="CJ25" s="83">
        <f>'Payroll Verisma'!CJ7+'Payroll MRO'!CJ7</f>
        <v>108</v>
      </c>
      <c r="CK25" s="83">
        <f>'Payroll Verisma'!CK7+'Payroll MRO'!CK7</f>
        <v>0</v>
      </c>
      <c r="CL25" s="83">
        <f>'Payroll Verisma'!CL7+'Payroll MRO'!CL7</f>
        <v>48</v>
      </c>
      <c r="CM25" s="83">
        <f>'Payroll Verisma'!CM7+'Payroll MRO'!CM7</f>
        <v>0</v>
      </c>
      <c r="CN25" s="83">
        <f>'Payroll Verisma'!CN7+'Payroll MRO'!CN7</f>
        <v>0</v>
      </c>
      <c r="CO25" s="83">
        <f>'Payroll Verisma'!CO7+'Payroll MRO'!CO7</f>
        <v>0</v>
      </c>
      <c r="CP25" s="83">
        <f>'Payroll Verisma'!CP7+'Payroll MRO'!CP7</f>
        <v>0</v>
      </c>
      <c r="CQ25" s="83">
        <f>'Payroll Verisma'!CQ7+'Payroll MRO'!CQ7</f>
        <v>0</v>
      </c>
      <c r="CR25" s="83">
        <f>'Payroll Verisma'!CR7+'Payroll MRO'!CR7</f>
        <v>0</v>
      </c>
      <c r="CS25" s="83">
        <f>'Payroll Verisma'!CS7+'Payroll MRO'!CS7</f>
        <v>5</v>
      </c>
      <c r="CT25" s="83">
        <f>'Payroll Verisma'!CT7+'Payroll MRO'!CT7</f>
        <v>22</v>
      </c>
      <c r="CU25" s="83">
        <f>'Payroll Verisma'!CU7+'Payroll MRO'!CU7</f>
        <v>92</v>
      </c>
      <c r="CV25" s="83">
        <f>'Payroll Verisma'!CV7+'Payroll MRO'!CV7</f>
        <v>0</v>
      </c>
      <c r="CW25" s="83">
        <f>'Payroll Verisma'!CW7+'Payroll MRO'!CW7</f>
        <v>0</v>
      </c>
      <c r="CX25" s="83">
        <f>'Payroll Verisma'!CX7+'Payroll MRO'!CX7</f>
        <v>0</v>
      </c>
      <c r="CY25" s="83">
        <f>'Payroll Verisma'!CY7+'Payroll MRO'!CY7</f>
        <v>113</v>
      </c>
      <c r="CZ25" s="83">
        <f>'Payroll Verisma'!CZ7+'Payroll MRO'!CZ7</f>
        <v>30</v>
      </c>
      <c r="DA25" s="83">
        <f>'Payroll Verisma'!DA7+'Payroll MRO'!DA7</f>
        <v>33</v>
      </c>
      <c r="DB25" s="83">
        <f>'Payroll Verisma'!DB7+'Payroll MRO'!DB7</f>
        <v>0</v>
      </c>
      <c r="DC25" s="83">
        <f>'Payroll Verisma'!DC7+'Payroll MRO'!DC7</f>
        <v>0</v>
      </c>
      <c r="DD25" s="83">
        <f>'Payroll Verisma'!DD7+'Payroll MRO'!DD7</f>
        <v>0</v>
      </c>
      <c r="DE25" s="83">
        <f>'Payroll Verisma'!DE7+'Payroll MRO'!DE7</f>
        <v>0</v>
      </c>
      <c r="DF25" s="83">
        <f>'Payroll Verisma'!DF7+'Payroll MRO'!DF7</f>
        <v>0</v>
      </c>
      <c r="DG25" s="83">
        <f>'Payroll Verisma'!DG7+'Payroll MRO'!DG7</f>
        <v>25</v>
      </c>
      <c r="DH25" s="83">
        <f>'Payroll Verisma'!DH7+'Payroll MRO'!DH7</f>
        <v>13</v>
      </c>
      <c r="DI25" s="83">
        <f>'Payroll Verisma'!DI7+'Payroll MRO'!DI7</f>
        <v>80</v>
      </c>
      <c r="DJ25" s="83">
        <f>'Payroll Verisma'!DJ7+'Payroll MRO'!DJ7</f>
        <v>0</v>
      </c>
      <c r="DK25" s="83">
        <f>'Payroll Verisma'!DK7+'Payroll MRO'!DK7</f>
        <v>130</v>
      </c>
      <c r="DL25" s="83">
        <f>'Payroll Verisma'!DL7+'Payroll MRO'!DL7</f>
        <v>2</v>
      </c>
      <c r="DM25" s="83">
        <f>'Payroll Verisma'!DM7+'Payroll MRO'!DM7</f>
        <v>0</v>
      </c>
      <c r="DN25" s="83">
        <f>'Payroll Verisma'!DN7+'Payroll MRO'!DN7</f>
        <v>75</v>
      </c>
      <c r="DO25" s="83">
        <f>'Payroll Verisma'!DO7+'Payroll MRO'!DO7</f>
        <v>0</v>
      </c>
      <c r="DP25" s="83">
        <f>'Payroll Verisma'!DP7+'Payroll MRO'!DP7</f>
        <v>0</v>
      </c>
      <c r="DQ25" s="83">
        <f>'Payroll Verisma'!DQ7+'Payroll MRO'!DQ7</f>
        <v>48</v>
      </c>
      <c r="DR25" s="83">
        <f>'Payroll Verisma'!DR7+'Payroll MRO'!DR7</f>
        <v>78</v>
      </c>
      <c r="DS25" s="83">
        <f>'Payroll Verisma'!DS7+'Payroll MRO'!DS7</f>
        <v>83</v>
      </c>
      <c r="DT25" s="83">
        <f>'Payroll Verisma'!DT7+'Payroll MRO'!DT7</f>
        <v>75</v>
      </c>
      <c r="DU25" s="83">
        <f>'Payroll Verisma'!DU7+'Payroll MRO'!DU7</f>
        <v>21</v>
      </c>
      <c r="DV25" s="83">
        <f>'Payroll Verisma'!DV7+'Payroll MRO'!DV7</f>
        <v>0</v>
      </c>
      <c r="DW25" s="83">
        <f>'Payroll Verisma'!DW7+'Payroll MRO'!DW7</f>
        <v>0</v>
      </c>
      <c r="DX25" s="83">
        <f>'Payroll Verisma'!DX7+'Payroll MRO'!DX7</f>
        <v>29</v>
      </c>
      <c r="DY25" s="83">
        <f>'Payroll Verisma'!DY7+'Payroll MRO'!DY7</f>
        <v>49</v>
      </c>
      <c r="DZ25" s="83">
        <f>'Payroll Verisma'!DZ7+'Payroll MRO'!DZ7</f>
        <v>135</v>
      </c>
      <c r="EA25" s="83">
        <f>'Payroll Verisma'!EA7+'Payroll MRO'!EA7</f>
        <v>0</v>
      </c>
      <c r="EB25" s="83">
        <f>'Payroll Verisma'!EB7+'Payroll MRO'!EB7</f>
        <v>24</v>
      </c>
      <c r="EC25" s="83">
        <f>'Payroll Verisma'!EC7+'Payroll MRO'!EC7</f>
        <v>5</v>
      </c>
      <c r="ED25" s="83">
        <f>'Payroll Verisma'!ED7+'Payroll MRO'!ED7</f>
        <v>99</v>
      </c>
      <c r="EE25" s="83">
        <f>'Payroll Verisma'!EE7+'Payroll MRO'!EE7</f>
        <v>0</v>
      </c>
      <c r="EF25" s="83">
        <f>'Payroll Verisma'!EF7+'Payroll MRO'!EF7</f>
        <v>54</v>
      </c>
      <c r="EG25" s="83">
        <f>'Payroll Verisma'!EG7+'Payroll MRO'!EG7</f>
        <v>0</v>
      </c>
      <c r="EH25" s="83">
        <f>'Payroll Verisma'!EH7+'Payroll MRO'!EH7</f>
        <v>0</v>
      </c>
      <c r="EI25" s="83">
        <f>'Payroll Verisma'!EI7+'Payroll MRO'!EI7</f>
        <v>93</v>
      </c>
      <c r="EJ25" s="83">
        <f>'Payroll Verisma'!EJ7+'Payroll MRO'!EJ7</f>
        <v>38</v>
      </c>
      <c r="EK25" s="83">
        <f>'Payroll Verisma'!EK7+'Payroll MRO'!EK7</f>
        <v>0</v>
      </c>
      <c r="EL25" s="83">
        <f>'Payroll Verisma'!EL7+'Payroll MRO'!EL7</f>
        <v>42</v>
      </c>
      <c r="EM25" s="83">
        <f>'Payroll Verisma'!EM7+'Payroll MRO'!EM7</f>
        <v>30</v>
      </c>
      <c r="EN25" s="83">
        <f>'Payroll Verisma'!EN7+'Payroll MRO'!EN7</f>
        <v>0</v>
      </c>
      <c r="EO25" s="83">
        <f>'Payroll Verisma'!EO7+'Payroll MRO'!EO7</f>
        <v>40</v>
      </c>
      <c r="EP25" s="83">
        <f>'Payroll Verisma'!EP7+'Payroll MRO'!EP7</f>
        <v>37</v>
      </c>
      <c r="EQ25" s="83">
        <f>'Payroll Verisma'!EQ7+'Payroll MRO'!EQ7</f>
        <v>0</v>
      </c>
      <c r="ER25" s="83">
        <f>'Payroll Verisma'!ER7+'Payroll MRO'!ER7</f>
        <v>0</v>
      </c>
      <c r="ES25" s="83">
        <f>'Payroll Verisma'!ES7+'Payroll MRO'!ES7</f>
        <v>0</v>
      </c>
      <c r="ET25" s="83">
        <f>'Payroll Verisma'!ET7+'Payroll MRO'!ET7</f>
        <v>72</v>
      </c>
      <c r="EU25" s="83">
        <f>'Payroll Verisma'!EU7+'Payroll MRO'!EU7</f>
        <v>18</v>
      </c>
      <c r="EV25" s="83">
        <f>'Payroll Verisma'!EV7+'Payroll MRO'!EV7</f>
        <v>12</v>
      </c>
      <c r="EW25" s="83">
        <f>'Payroll Verisma'!EW7+'Payroll MRO'!EW7</f>
        <v>36</v>
      </c>
      <c r="EX25" s="83">
        <f>'Payroll Verisma'!EX7+'Payroll MRO'!EX7</f>
        <v>26</v>
      </c>
      <c r="EY25" s="83">
        <f>'Payroll Verisma'!EY7+'Payroll MRO'!EY7</f>
        <v>0</v>
      </c>
      <c r="EZ25" s="83">
        <f>'Payroll Verisma'!EZ7+'Payroll MRO'!EZ7</f>
        <v>5</v>
      </c>
      <c r="FA25" s="83">
        <f>'Payroll Verisma'!FA7+'Payroll MRO'!FA7</f>
        <v>0</v>
      </c>
      <c r="FB25" s="83">
        <f>'Payroll Verisma'!FB7+'Payroll MRO'!FB7</f>
        <v>0</v>
      </c>
      <c r="FC25" s="83">
        <f>'Payroll Verisma'!FC7+'Payroll MRO'!FC7</f>
        <v>0</v>
      </c>
      <c r="FD25" s="83">
        <f>'Payroll Verisma'!FD7+'Payroll MRO'!FD7</f>
        <v>20</v>
      </c>
      <c r="FE25" s="83">
        <f>'Payroll Verisma'!FE7+'Payroll MRO'!FE7</f>
        <v>28</v>
      </c>
      <c r="FF25" s="83">
        <f>'Payroll Verisma'!FF7+'Payroll MRO'!FF7</f>
        <v>50</v>
      </c>
      <c r="FG25" s="83">
        <f>'Payroll Verisma'!FG7+'Payroll MRO'!FG7</f>
        <v>0</v>
      </c>
      <c r="FH25" s="83">
        <f>'Payroll Verisma'!FH7+'Payroll MRO'!FH7</f>
        <v>213</v>
      </c>
      <c r="FI25" s="83">
        <f>'Payroll Verisma'!FI7+'Payroll MRO'!FI7</f>
        <v>1</v>
      </c>
      <c r="FJ25" s="83">
        <f>'Payroll Verisma'!FJ7+'Payroll MRO'!FJ7</f>
        <v>0</v>
      </c>
      <c r="FK25" s="83">
        <f>'Payroll Verisma'!FK7+'Payroll MRO'!FK7</f>
        <v>20</v>
      </c>
      <c r="FL25" s="83">
        <f>'Payroll Verisma'!FL7+'Payroll MRO'!FL7</f>
        <v>0</v>
      </c>
      <c r="FM25" s="83">
        <f>'Payroll Verisma'!FM7+'Payroll MRO'!FM7</f>
        <v>0</v>
      </c>
      <c r="FN25" s="83">
        <f>'Payroll Verisma'!FN7+'Payroll MRO'!FN7</f>
        <v>0</v>
      </c>
      <c r="FO25" s="83">
        <f>'Payroll Verisma'!FO7+'Payroll MRO'!FO7</f>
        <v>40</v>
      </c>
      <c r="FP25" s="83">
        <f>'Payroll Verisma'!FP7+'Payroll MRO'!FP7</f>
        <v>47</v>
      </c>
      <c r="FQ25" s="83">
        <f>'Payroll Verisma'!FQ7+'Payroll MRO'!FQ7</f>
        <v>55</v>
      </c>
      <c r="FR25" s="83">
        <f>'Payroll Verisma'!FR7+'Payroll MRO'!FR7</f>
        <v>0</v>
      </c>
      <c r="FS25" s="83">
        <f>'Payroll Verisma'!FS7+'Payroll MRO'!FS7</f>
        <v>42</v>
      </c>
      <c r="FT25" s="83">
        <f>'Payroll Verisma'!FT7+'Payroll MRO'!FT7</f>
        <v>32</v>
      </c>
      <c r="FU25" s="83">
        <f>'Payroll Verisma'!FU7+'Payroll MRO'!FU7</f>
        <v>0</v>
      </c>
      <c r="FV25" s="83">
        <f>'Payroll Verisma'!FV7+'Payroll MRO'!FV7</f>
        <v>0</v>
      </c>
      <c r="FW25" s="83">
        <f>'Payroll Verisma'!FW7+'Payroll MRO'!FW7</f>
        <v>0</v>
      </c>
      <c r="FX25" s="83">
        <f>'Payroll Verisma'!FX7+'Payroll MRO'!FX7</f>
        <v>0</v>
      </c>
      <c r="FY25" s="83">
        <f>'Payroll Verisma'!FY7+'Payroll MRO'!FY7</f>
        <v>35</v>
      </c>
      <c r="FZ25" s="83">
        <f>'Payroll Verisma'!FZ7+'Payroll MRO'!FZ7</f>
        <v>25</v>
      </c>
      <c r="GA25" s="83">
        <f>'Payroll Verisma'!GA7+'Payroll MRO'!GA7</f>
        <v>0</v>
      </c>
      <c r="GB25" s="83">
        <f>'Payroll Verisma'!GB7+'Payroll MRO'!GB7</f>
        <v>55</v>
      </c>
      <c r="GC25" s="83">
        <f>'Payroll Verisma'!GC7+'Payroll MRO'!GC7</f>
        <v>0</v>
      </c>
      <c r="GD25" s="83">
        <f>'Payroll Verisma'!GD7+'Payroll MRO'!GD7</f>
        <v>97</v>
      </c>
      <c r="GE25" s="83">
        <f>'Payroll Verisma'!GE7+'Payroll MRO'!GE7</f>
        <v>41</v>
      </c>
      <c r="GF25" s="83">
        <f>'Payroll Verisma'!GF7+'Payroll MRO'!GF7</f>
        <v>0</v>
      </c>
      <c r="GG25" s="83">
        <f>'Payroll Verisma'!GG7+'Payroll MRO'!GG7</f>
        <v>62</v>
      </c>
      <c r="GH25" s="83">
        <f>'Payroll Verisma'!GH7+'Payroll MRO'!GH7</f>
        <v>15</v>
      </c>
      <c r="GI25" s="83">
        <f>'Payroll Verisma'!GI7+'Payroll MRO'!GI7</f>
        <v>31</v>
      </c>
      <c r="GJ25" s="83">
        <f>'Payroll Verisma'!GJ7+'Payroll MRO'!GJ7</f>
        <v>48</v>
      </c>
      <c r="GK25" s="83">
        <f>'Payroll Verisma'!GK7+'Payroll MRO'!GK7</f>
        <v>41</v>
      </c>
      <c r="GL25" s="83">
        <f>'Payroll Verisma'!GL7+'Payroll MRO'!GL7</f>
        <v>66</v>
      </c>
      <c r="GM25" s="83">
        <f>'Payroll Verisma'!GM7+'Payroll MRO'!GM7</f>
        <v>76</v>
      </c>
      <c r="GN25" s="83">
        <f>'Payroll Verisma'!GN7+'Payroll MRO'!GN7</f>
        <v>43</v>
      </c>
      <c r="GO25" s="83">
        <f>'Payroll Verisma'!GO7+'Payroll MRO'!GO7</f>
        <v>31</v>
      </c>
      <c r="GP25" s="83">
        <f>'Payroll Verisma'!GP7+'Payroll MRO'!GP7</f>
        <v>41</v>
      </c>
      <c r="GQ25" s="83">
        <f>'Payroll Verisma'!GQ7+'Payroll MRO'!GQ7</f>
        <v>0</v>
      </c>
      <c r="GR25" s="83">
        <f>'Payroll Verisma'!GR7+'Payroll MRO'!GR7</f>
        <v>40</v>
      </c>
    </row>
    <row r="26" spans="1:200" ht="15.6">
      <c r="A26" s="81">
        <f t="shared" si="83"/>
        <v>46028</v>
      </c>
      <c r="B26" s="82" t="str">
        <f t="shared" si="82"/>
        <v>Tue</v>
      </c>
      <c r="C26" s="75">
        <f t="shared" si="81"/>
        <v>5481</v>
      </c>
      <c r="D26" s="83">
        <f>'Payroll Verisma'!D8+'Payroll MRO'!D8</f>
        <v>0</v>
      </c>
      <c r="E26" s="83">
        <f>'Payroll Verisma'!E8+'Payroll MRO'!E8</f>
        <v>27</v>
      </c>
      <c r="F26" s="83">
        <f>'Payroll Verisma'!F8+'Payroll MRO'!F8</f>
        <v>0</v>
      </c>
      <c r="G26" s="83">
        <f>'Payroll Verisma'!G8+'Payroll MRO'!G8</f>
        <v>0</v>
      </c>
      <c r="H26" s="83">
        <f>'Payroll Verisma'!H8+'Payroll MRO'!H8</f>
        <v>14</v>
      </c>
      <c r="I26" s="83">
        <f>'Payroll Verisma'!I8+'Payroll MRO'!I8</f>
        <v>42</v>
      </c>
      <c r="J26" s="83">
        <f>'Payroll Verisma'!J8+'Payroll MRO'!J8</f>
        <v>0</v>
      </c>
      <c r="K26" s="83">
        <f>'Payroll Verisma'!K8+'Payroll MRO'!K8</f>
        <v>0</v>
      </c>
      <c r="L26" s="83">
        <f>'Payroll Verisma'!L8+'Payroll MRO'!L8</f>
        <v>0</v>
      </c>
      <c r="M26" s="83">
        <f>'Payroll Verisma'!M8+'Payroll MRO'!M8</f>
        <v>0</v>
      </c>
      <c r="N26" s="83">
        <f>'Payroll Verisma'!N8+'Payroll MRO'!N8</f>
        <v>12</v>
      </c>
      <c r="O26" s="83">
        <f>'Payroll Verisma'!O8+'Payroll MRO'!O8</f>
        <v>76</v>
      </c>
      <c r="P26" s="83">
        <f>'Payroll Verisma'!P8+'Payroll MRO'!P8</f>
        <v>40</v>
      </c>
      <c r="Q26" s="83">
        <f>'Payroll Verisma'!Q8+'Payroll MRO'!Q8</f>
        <v>25</v>
      </c>
      <c r="R26" s="83">
        <f>'Payroll Verisma'!R8+'Payroll MRO'!R8</f>
        <v>153</v>
      </c>
      <c r="S26" s="83">
        <f>'Payroll Verisma'!S8+'Payroll MRO'!S8</f>
        <v>53</v>
      </c>
      <c r="T26" s="83">
        <f>'Payroll Verisma'!T8+'Payroll MRO'!T8</f>
        <v>154</v>
      </c>
      <c r="U26" s="83">
        <f>'Payroll Verisma'!U8+'Payroll MRO'!U8</f>
        <v>16</v>
      </c>
      <c r="V26" s="83">
        <f>'Payroll Verisma'!V8+'Payroll MRO'!V8</f>
        <v>0</v>
      </c>
      <c r="W26" s="83">
        <f>'Payroll Verisma'!W8+'Payroll MRO'!W8</f>
        <v>0</v>
      </c>
      <c r="X26" s="83">
        <f>'Payroll Verisma'!X8+'Payroll MRO'!X8</f>
        <v>0</v>
      </c>
      <c r="Y26" s="83">
        <f>'Payroll Verisma'!Y8+'Payroll MRO'!Y8</f>
        <v>73</v>
      </c>
      <c r="Z26" s="83">
        <f>'Payroll Verisma'!Z8+'Payroll MRO'!Z8</f>
        <v>0</v>
      </c>
      <c r="AA26" s="83">
        <f>'Payroll Verisma'!AA8+'Payroll MRO'!AA8</f>
        <v>38</v>
      </c>
      <c r="AB26" s="83">
        <f>'Payroll Verisma'!AB8+'Payroll MRO'!AB8</f>
        <v>22</v>
      </c>
      <c r="AC26" s="83">
        <f>'Payroll Verisma'!AC8+'Payroll MRO'!AC8</f>
        <v>0</v>
      </c>
      <c r="AD26" s="83">
        <f>'Payroll Verisma'!AD8+'Payroll MRO'!AD8</f>
        <v>84</v>
      </c>
      <c r="AE26" s="83">
        <f>'Payroll Verisma'!AE8+'Payroll MRO'!AE8</f>
        <v>0</v>
      </c>
      <c r="AF26" s="83">
        <f>'Payroll Verisma'!AF8+'Payroll MRO'!AF8</f>
        <v>0</v>
      </c>
      <c r="AG26" s="83">
        <f>'Payroll Verisma'!AG8+'Payroll MRO'!AG8</f>
        <v>32</v>
      </c>
      <c r="AH26" s="83">
        <f>'Payroll Verisma'!AH8+'Payroll MRO'!AH8</f>
        <v>0</v>
      </c>
      <c r="AI26" s="83">
        <f>'Payroll Verisma'!AI8+'Payroll MRO'!AI8</f>
        <v>0</v>
      </c>
      <c r="AJ26" s="83">
        <f>'Payroll Verisma'!AJ8+'Payroll MRO'!AJ8</f>
        <v>0</v>
      </c>
      <c r="AK26" s="83">
        <f>'Payroll Verisma'!AK8+'Payroll MRO'!AK8</f>
        <v>11</v>
      </c>
      <c r="AL26" s="83">
        <f>'Payroll Verisma'!AL8+'Payroll MRO'!AL8</f>
        <v>0</v>
      </c>
      <c r="AM26" s="83">
        <f>'Payroll Verisma'!AM8+'Payroll MRO'!AM8</f>
        <v>0</v>
      </c>
      <c r="AN26" s="83">
        <f>'Payroll Verisma'!AN8+'Payroll MRO'!AN8</f>
        <v>8</v>
      </c>
      <c r="AO26" s="83">
        <f>'Payroll Verisma'!AO8+'Payroll MRO'!AO8</f>
        <v>33</v>
      </c>
      <c r="AP26" s="83">
        <f>'Payroll Verisma'!AP8+'Payroll MRO'!AP8</f>
        <v>18</v>
      </c>
      <c r="AQ26" s="83">
        <f>'Payroll Verisma'!AQ8+'Payroll MRO'!AQ8</f>
        <v>0</v>
      </c>
      <c r="AR26" s="83">
        <f>'Payroll Verisma'!AR8+'Payroll MRO'!AR8</f>
        <v>0</v>
      </c>
      <c r="AS26" s="83">
        <f>'Payroll Verisma'!AS8+'Payroll MRO'!AS8</f>
        <v>0</v>
      </c>
      <c r="AT26" s="83">
        <f>'Payroll Verisma'!AT8+'Payroll MRO'!AT8</f>
        <v>0</v>
      </c>
      <c r="AU26" s="83">
        <f>'Payroll Verisma'!AU8+'Payroll MRO'!AU8</f>
        <v>35</v>
      </c>
      <c r="AV26" s="83">
        <f>'Payroll Verisma'!AV8+'Payroll MRO'!AV8</f>
        <v>0</v>
      </c>
      <c r="AW26" s="83">
        <f>'Payroll Verisma'!AW8+'Payroll MRO'!AW8</f>
        <v>42</v>
      </c>
      <c r="AX26" s="83">
        <f>'Payroll Verisma'!AX8+'Payroll MRO'!AX8</f>
        <v>69</v>
      </c>
      <c r="AY26" s="83">
        <f>'Payroll Verisma'!AY8+'Payroll MRO'!AY8</f>
        <v>26</v>
      </c>
      <c r="AZ26" s="83">
        <f>'Payroll Verisma'!AZ8+'Payroll MRO'!AZ8</f>
        <v>11</v>
      </c>
      <c r="BA26" s="83">
        <f>'Payroll Verisma'!BA8+'Payroll MRO'!BA8</f>
        <v>69</v>
      </c>
      <c r="BB26" s="83">
        <f>'Payroll Verisma'!BB8+'Payroll MRO'!BB8</f>
        <v>67</v>
      </c>
      <c r="BC26" s="83">
        <f>'Payroll Verisma'!BC8+'Payroll MRO'!BC8</f>
        <v>0</v>
      </c>
      <c r="BD26" s="83">
        <f>'Payroll Verisma'!BD8+'Payroll MRO'!BD8</f>
        <v>92</v>
      </c>
      <c r="BE26" s="83">
        <f>'Payroll Verisma'!BE8+'Payroll MRO'!BE8</f>
        <v>0</v>
      </c>
      <c r="BF26" s="83">
        <f>'Payroll Verisma'!BF8+'Payroll MRO'!BF8</f>
        <v>0</v>
      </c>
      <c r="BG26" s="83">
        <f>'Payroll Verisma'!BG8+'Payroll MRO'!BG8</f>
        <v>41</v>
      </c>
      <c r="BH26" s="83">
        <f>'Payroll Verisma'!BH8+'Payroll MRO'!BH8</f>
        <v>0</v>
      </c>
      <c r="BI26" s="83">
        <f>'Payroll Verisma'!BI8+'Payroll MRO'!BI8</f>
        <v>23</v>
      </c>
      <c r="BJ26" s="83">
        <f>'Payroll Verisma'!BJ8+'Payroll MRO'!BJ8</f>
        <v>21</v>
      </c>
      <c r="BK26" s="83">
        <f>'Payroll Verisma'!BK8+'Payroll MRO'!BK8</f>
        <v>0</v>
      </c>
      <c r="BL26" s="83">
        <f>'Payroll Verisma'!BL8+'Payroll MRO'!BL8</f>
        <v>39</v>
      </c>
      <c r="BM26" s="83">
        <f>'Payroll Verisma'!BM8+'Payroll MRO'!BM8</f>
        <v>0</v>
      </c>
      <c r="BN26" s="83">
        <f>'Payroll Verisma'!BN8+'Payroll MRO'!BN8</f>
        <v>0</v>
      </c>
      <c r="BO26" s="83">
        <f>'Payroll Verisma'!BO8+'Payroll MRO'!BO8</f>
        <v>33</v>
      </c>
      <c r="BP26" s="83">
        <f>'Payroll Verisma'!BP8+'Payroll MRO'!BP8</f>
        <v>25</v>
      </c>
      <c r="BQ26" s="83">
        <f>'Payroll Verisma'!BQ8+'Payroll MRO'!BQ8</f>
        <v>0</v>
      </c>
      <c r="BR26" s="83">
        <f>'Payroll Verisma'!BR8+'Payroll MRO'!BR8</f>
        <v>0</v>
      </c>
      <c r="BS26" s="83">
        <f>'Payroll Verisma'!BS8+'Payroll MRO'!BS8</f>
        <v>10</v>
      </c>
      <c r="BT26" s="83">
        <f>'Payroll Verisma'!BT8+'Payroll MRO'!BT8</f>
        <v>0</v>
      </c>
      <c r="BU26" s="83">
        <f>'Payroll Verisma'!BU8+'Payroll MRO'!BU8</f>
        <v>120</v>
      </c>
      <c r="BV26" s="83">
        <f>'Payroll Verisma'!BV8+'Payroll MRO'!BV8</f>
        <v>27</v>
      </c>
      <c r="BW26" s="83">
        <f>'Payroll Verisma'!BW8+'Payroll MRO'!BW8</f>
        <v>62</v>
      </c>
      <c r="BX26" s="83">
        <f>'Payroll Verisma'!BX8+'Payroll MRO'!BX8</f>
        <v>0</v>
      </c>
      <c r="BY26" s="83">
        <f>'Payroll Verisma'!BY8+'Payroll MRO'!BY8</f>
        <v>0</v>
      </c>
      <c r="BZ26" s="83">
        <f>'Payroll Verisma'!BZ8+'Payroll MRO'!BZ8</f>
        <v>140</v>
      </c>
      <c r="CA26" s="83">
        <f>'Payroll Verisma'!CA8+'Payroll MRO'!CA8</f>
        <v>78</v>
      </c>
      <c r="CB26" s="83">
        <f>'Payroll Verisma'!CB8+'Payroll MRO'!CB8</f>
        <v>0</v>
      </c>
      <c r="CC26" s="83">
        <f>'Payroll Verisma'!CC8+'Payroll MRO'!CC8</f>
        <v>32</v>
      </c>
      <c r="CD26" s="83">
        <f>'Payroll Verisma'!CD8+'Payroll MRO'!CD8</f>
        <v>171</v>
      </c>
      <c r="CE26" s="83">
        <f>'Payroll Verisma'!CE8+'Payroll MRO'!CE8</f>
        <v>2</v>
      </c>
      <c r="CF26" s="83">
        <f>'Payroll Verisma'!CF8+'Payroll MRO'!CF8</f>
        <v>14</v>
      </c>
      <c r="CG26" s="83">
        <f>'Payroll Verisma'!CG8+'Payroll MRO'!CG8</f>
        <v>0</v>
      </c>
      <c r="CH26" s="83">
        <f>'Payroll Verisma'!CH8+'Payroll MRO'!CH8</f>
        <v>19</v>
      </c>
      <c r="CI26" s="83">
        <f>'Payroll Verisma'!CI8+'Payroll MRO'!CI8</f>
        <v>0</v>
      </c>
      <c r="CJ26" s="83">
        <f>'Payroll Verisma'!CJ8+'Payroll MRO'!CJ8</f>
        <v>110</v>
      </c>
      <c r="CK26" s="83">
        <f>'Payroll Verisma'!CK8+'Payroll MRO'!CK8</f>
        <v>0</v>
      </c>
      <c r="CL26" s="83">
        <f>'Payroll Verisma'!CL8+'Payroll MRO'!CL8</f>
        <v>65</v>
      </c>
      <c r="CM26" s="83">
        <f>'Payroll Verisma'!CM8+'Payroll MRO'!CM8</f>
        <v>0</v>
      </c>
      <c r="CN26" s="83">
        <f>'Payroll Verisma'!CN8+'Payroll MRO'!CN8</f>
        <v>27</v>
      </c>
      <c r="CO26" s="83">
        <f>'Payroll Verisma'!CO8+'Payroll MRO'!CO8</f>
        <v>0</v>
      </c>
      <c r="CP26" s="83">
        <f>'Payroll Verisma'!CP8+'Payroll MRO'!CP8</f>
        <v>0</v>
      </c>
      <c r="CQ26" s="83">
        <f>'Payroll Verisma'!CQ8+'Payroll MRO'!CQ8</f>
        <v>0</v>
      </c>
      <c r="CR26" s="83">
        <f>'Payroll Verisma'!CR8+'Payroll MRO'!CR8</f>
        <v>2</v>
      </c>
      <c r="CS26" s="83">
        <f>'Payroll Verisma'!CS8+'Payroll MRO'!CS8</f>
        <v>6</v>
      </c>
      <c r="CT26" s="83">
        <f>'Payroll Verisma'!CT8+'Payroll MRO'!CT8</f>
        <v>10</v>
      </c>
      <c r="CU26" s="83">
        <f>'Payroll Verisma'!CU8+'Payroll MRO'!CU8</f>
        <v>74</v>
      </c>
      <c r="CV26" s="83">
        <f>'Payroll Verisma'!CV8+'Payroll MRO'!CV8</f>
        <v>0</v>
      </c>
      <c r="CW26" s="83">
        <f>'Payroll Verisma'!CW8+'Payroll MRO'!CW8</f>
        <v>0</v>
      </c>
      <c r="CX26" s="83">
        <f>'Payroll Verisma'!CX8+'Payroll MRO'!CX8</f>
        <v>0</v>
      </c>
      <c r="CY26" s="83">
        <f>'Payroll Verisma'!CY8+'Payroll MRO'!CY8</f>
        <v>100</v>
      </c>
      <c r="CZ26" s="83">
        <f>'Payroll Verisma'!CZ8+'Payroll MRO'!CZ8</f>
        <v>40</v>
      </c>
      <c r="DA26" s="83">
        <f>'Payroll Verisma'!DA8+'Payroll MRO'!DA8</f>
        <v>34</v>
      </c>
      <c r="DB26" s="83">
        <f>'Payroll Verisma'!DB8+'Payroll MRO'!DB8</f>
        <v>0</v>
      </c>
      <c r="DC26" s="83">
        <f>'Payroll Verisma'!DC8+'Payroll MRO'!DC8</f>
        <v>0</v>
      </c>
      <c r="DD26" s="83">
        <f>'Payroll Verisma'!DD8+'Payroll MRO'!DD8</f>
        <v>23</v>
      </c>
      <c r="DE26" s="83">
        <f>'Payroll Verisma'!DE8+'Payroll MRO'!DE8</f>
        <v>0</v>
      </c>
      <c r="DF26" s="83">
        <f>'Payroll Verisma'!DF8+'Payroll MRO'!DF8</f>
        <v>0</v>
      </c>
      <c r="DG26" s="83">
        <f>'Payroll Verisma'!DG8+'Payroll MRO'!DG8</f>
        <v>87</v>
      </c>
      <c r="DH26" s="83">
        <f>'Payroll Verisma'!DH8+'Payroll MRO'!DH8</f>
        <v>16</v>
      </c>
      <c r="DI26" s="83">
        <f>'Payroll Verisma'!DI8+'Payroll MRO'!DI8</f>
        <v>51</v>
      </c>
      <c r="DJ26" s="83">
        <f>'Payroll Verisma'!DJ8+'Payroll MRO'!DJ8</f>
        <v>0</v>
      </c>
      <c r="DK26" s="83">
        <f>'Payroll Verisma'!DK8+'Payroll MRO'!DK8</f>
        <v>97</v>
      </c>
      <c r="DL26" s="83">
        <f>'Payroll Verisma'!DL8+'Payroll MRO'!DL8</f>
        <v>25</v>
      </c>
      <c r="DM26" s="83">
        <f>'Payroll Verisma'!DM8+'Payroll MRO'!DM8</f>
        <v>36</v>
      </c>
      <c r="DN26" s="83">
        <f>'Payroll Verisma'!DN8+'Payroll MRO'!DN8</f>
        <v>108</v>
      </c>
      <c r="DO26" s="83">
        <f>'Payroll Verisma'!DO8+'Payroll MRO'!DO8</f>
        <v>0</v>
      </c>
      <c r="DP26" s="83">
        <f>'Payroll Verisma'!DP8+'Payroll MRO'!DP8</f>
        <v>0</v>
      </c>
      <c r="DQ26" s="83">
        <f>'Payroll Verisma'!DQ8+'Payroll MRO'!DQ8</f>
        <v>18</v>
      </c>
      <c r="DR26" s="83">
        <f>'Payroll Verisma'!DR8+'Payroll MRO'!DR8</f>
        <v>71</v>
      </c>
      <c r="DS26" s="83">
        <f>'Payroll Verisma'!DS8+'Payroll MRO'!DS8</f>
        <v>20</v>
      </c>
      <c r="DT26" s="83">
        <f>'Payroll Verisma'!DT8+'Payroll MRO'!DT8</f>
        <v>43</v>
      </c>
      <c r="DU26" s="83">
        <f>'Payroll Verisma'!DU8+'Payroll MRO'!DU8</f>
        <v>28</v>
      </c>
      <c r="DV26" s="83">
        <f>'Payroll Verisma'!DV8+'Payroll MRO'!DV8</f>
        <v>0</v>
      </c>
      <c r="DW26" s="83">
        <f>'Payroll Verisma'!DW8+'Payroll MRO'!DW8</f>
        <v>0</v>
      </c>
      <c r="DX26" s="83">
        <f>'Payroll Verisma'!DX8+'Payroll MRO'!DX8</f>
        <v>30</v>
      </c>
      <c r="DY26" s="83">
        <f>'Payroll Verisma'!DY8+'Payroll MRO'!DY8</f>
        <v>47</v>
      </c>
      <c r="DZ26" s="83">
        <f>'Payroll Verisma'!DZ8+'Payroll MRO'!DZ8</f>
        <v>118</v>
      </c>
      <c r="EA26" s="83">
        <f>'Payroll Verisma'!EA8+'Payroll MRO'!EA8</f>
        <v>0</v>
      </c>
      <c r="EB26" s="83">
        <f>'Payroll Verisma'!EB8+'Payroll MRO'!EB8</f>
        <v>28</v>
      </c>
      <c r="EC26" s="83">
        <f>'Payroll Verisma'!EC8+'Payroll MRO'!EC8</f>
        <v>0</v>
      </c>
      <c r="ED26" s="83">
        <f>'Payroll Verisma'!ED8+'Payroll MRO'!ED8</f>
        <v>87</v>
      </c>
      <c r="EE26" s="83">
        <f>'Payroll Verisma'!EE8+'Payroll MRO'!EE8</f>
        <v>0</v>
      </c>
      <c r="EF26" s="83">
        <f>'Payroll Verisma'!EF8+'Payroll MRO'!EF8</f>
        <v>0</v>
      </c>
      <c r="EG26" s="83">
        <f>'Payroll Verisma'!EG8+'Payroll MRO'!EG8</f>
        <v>0</v>
      </c>
      <c r="EH26" s="83">
        <f>'Payroll Verisma'!EH8+'Payroll MRO'!EH8</f>
        <v>12</v>
      </c>
      <c r="EI26" s="83">
        <f>'Payroll Verisma'!EI8+'Payroll MRO'!EI8</f>
        <v>84</v>
      </c>
      <c r="EJ26" s="83">
        <f>'Payroll Verisma'!EJ8+'Payroll MRO'!EJ8</f>
        <v>41</v>
      </c>
      <c r="EK26" s="83">
        <f>'Payroll Verisma'!EK8+'Payroll MRO'!EK8</f>
        <v>0</v>
      </c>
      <c r="EL26" s="83">
        <f>'Payroll Verisma'!EL8+'Payroll MRO'!EL8</f>
        <v>85</v>
      </c>
      <c r="EM26" s="83">
        <f>'Payroll Verisma'!EM8+'Payroll MRO'!EM8</f>
        <v>25</v>
      </c>
      <c r="EN26" s="83">
        <f>'Payroll Verisma'!EN8+'Payroll MRO'!EN8</f>
        <v>0</v>
      </c>
      <c r="EO26" s="83">
        <f>'Payroll Verisma'!EO8+'Payroll MRO'!EO8</f>
        <v>48</v>
      </c>
      <c r="EP26" s="83">
        <f>'Payroll Verisma'!EP8+'Payroll MRO'!EP8</f>
        <v>40</v>
      </c>
      <c r="EQ26" s="83">
        <f>'Payroll Verisma'!EQ8+'Payroll MRO'!EQ8</f>
        <v>6</v>
      </c>
      <c r="ER26" s="83">
        <f>'Payroll Verisma'!ER8+'Payroll MRO'!ER8</f>
        <v>0</v>
      </c>
      <c r="ES26" s="83">
        <f>'Payroll Verisma'!ES8+'Payroll MRO'!ES8</f>
        <v>0</v>
      </c>
      <c r="ET26" s="83">
        <f>'Payroll Verisma'!ET8+'Payroll MRO'!ET8</f>
        <v>5</v>
      </c>
      <c r="EU26" s="83">
        <f>'Payroll Verisma'!EU8+'Payroll MRO'!EU8</f>
        <v>14</v>
      </c>
      <c r="EV26" s="83">
        <f>'Payroll Verisma'!EV8+'Payroll MRO'!EV8</f>
        <v>21</v>
      </c>
      <c r="EW26" s="83">
        <f>'Payroll Verisma'!EW8+'Payroll MRO'!EW8</f>
        <v>0</v>
      </c>
      <c r="EX26" s="83">
        <f>'Payroll Verisma'!EX8+'Payroll MRO'!EX8</f>
        <v>42</v>
      </c>
      <c r="EY26" s="83">
        <f>'Payroll Verisma'!EY8+'Payroll MRO'!EY8</f>
        <v>0</v>
      </c>
      <c r="EZ26" s="83">
        <f>'Payroll Verisma'!EZ8+'Payroll MRO'!EZ8</f>
        <v>17</v>
      </c>
      <c r="FA26" s="83">
        <f>'Payroll Verisma'!FA8+'Payroll MRO'!FA8</f>
        <v>0</v>
      </c>
      <c r="FB26" s="83">
        <f>'Payroll Verisma'!FB8+'Payroll MRO'!FB8</f>
        <v>15</v>
      </c>
      <c r="FC26" s="83">
        <f>'Payroll Verisma'!FC8+'Payroll MRO'!FC8</f>
        <v>0</v>
      </c>
      <c r="FD26" s="83">
        <f>'Payroll Verisma'!FD8+'Payroll MRO'!FD8</f>
        <v>16</v>
      </c>
      <c r="FE26" s="83">
        <f>'Payroll Verisma'!FE8+'Payroll MRO'!FE8</f>
        <v>0</v>
      </c>
      <c r="FF26" s="83">
        <f>'Payroll Verisma'!FF8+'Payroll MRO'!FF8</f>
        <v>48</v>
      </c>
      <c r="FG26" s="83">
        <f>'Payroll Verisma'!FG8+'Payroll MRO'!FG8</f>
        <v>0</v>
      </c>
      <c r="FH26" s="83">
        <f>'Payroll Verisma'!FH8+'Payroll MRO'!FH8</f>
        <v>165</v>
      </c>
      <c r="FI26" s="83">
        <f>'Payroll Verisma'!FI8+'Payroll MRO'!FI8</f>
        <v>0</v>
      </c>
      <c r="FJ26" s="83">
        <f>'Payroll Verisma'!FJ8+'Payroll MRO'!FJ8</f>
        <v>0</v>
      </c>
      <c r="FK26" s="83">
        <f>'Payroll Verisma'!FK8+'Payroll MRO'!FK8</f>
        <v>46</v>
      </c>
      <c r="FL26" s="83">
        <f>'Payroll Verisma'!FL8+'Payroll MRO'!FL8</f>
        <v>0</v>
      </c>
      <c r="FM26" s="83">
        <f>'Payroll Verisma'!FM8+'Payroll MRO'!FM8</f>
        <v>15</v>
      </c>
      <c r="FN26" s="83">
        <f>'Payroll Verisma'!FN8+'Payroll MRO'!FN8</f>
        <v>76</v>
      </c>
      <c r="FO26" s="83">
        <f>'Payroll Verisma'!FO8+'Payroll MRO'!FO8</f>
        <v>40</v>
      </c>
      <c r="FP26" s="83">
        <f>'Payroll Verisma'!FP8+'Payroll MRO'!FP8</f>
        <v>25</v>
      </c>
      <c r="FQ26" s="83">
        <f>'Payroll Verisma'!FQ8+'Payroll MRO'!FQ8</f>
        <v>83</v>
      </c>
      <c r="FR26" s="83">
        <f>'Payroll Verisma'!FR8+'Payroll MRO'!FR8</f>
        <v>0</v>
      </c>
      <c r="FS26" s="83">
        <f>'Payroll Verisma'!FS8+'Payroll MRO'!FS8</f>
        <v>70</v>
      </c>
      <c r="FT26" s="83">
        <f>'Payroll Verisma'!FT8+'Payroll MRO'!FT8</f>
        <v>35</v>
      </c>
      <c r="FU26" s="83">
        <f>'Payroll Verisma'!FU8+'Payroll MRO'!FU8</f>
        <v>0</v>
      </c>
      <c r="FV26" s="83">
        <f>'Payroll Verisma'!FV8+'Payroll MRO'!FV8</f>
        <v>0</v>
      </c>
      <c r="FW26" s="83">
        <f>'Payroll Verisma'!FW8+'Payroll MRO'!FW8</f>
        <v>0</v>
      </c>
      <c r="FX26" s="83">
        <f>'Payroll Verisma'!FX8+'Payroll MRO'!FX8</f>
        <v>0</v>
      </c>
      <c r="FY26" s="83">
        <f>'Payroll Verisma'!FY8+'Payroll MRO'!FY8</f>
        <v>15</v>
      </c>
      <c r="FZ26" s="83">
        <f>'Payroll Verisma'!FZ8+'Payroll MRO'!FZ8</f>
        <v>45</v>
      </c>
      <c r="GA26" s="83">
        <f>'Payroll Verisma'!GA8+'Payroll MRO'!GA8</f>
        <v>0</v>
      </c>
      <c r="GB26" s="83">
        <f>'Payroll Verisma'!GB8+'Payroll MRO'!GB8</f>
        <v>34</v>
      </c>
      <c r="GC26" s="83">
        <f>'Payroll Verisma'!GC8+'Payroll MRO'!GC8</f>
        <v>0</v>
      </c>
      <c r="GD26" s="83">
        <f>'Payroll Verisma'!GD8+'Payroll MRO'!GD8</f>
        <v>0</v>
      </c>
      <c r="GE26" s="83">
        <f>'Payroll Verisma'!GE8+'Payroll MRO'!GE8</f>
        <v>78</v>
      </c>
      <c r="GF26" s="83">
        <f>'Payroll Verisma'!GF8+'Payroll MRO'!GF8</f>
        <v>0</v>
      </c>
      <c r="GG26" s="83">
        <f>'Payroll Verisma'!GG8+'Payroll MRO'!GG8</f>
        <v>87</v>
      </c>
      <c r="GH26" s="83">
        <f>'Payroll Verisma'!GH8+'Payroll MRO'!GH8</f>
        <v>10</v>
      </c>
      <c r="GI26" s="83">
        <f>'Payroll Verisma'!GI8+'Payroll MRO'!GI8</f>
        <v>0</v>
      </c>
      <c r="GJ26" s="83">
        <f>'Payroll Verisma'!GJ8+'Payroll MRO'!GJ8</f>
        <v>76</v>
      </c>
      <c r="GK26" s="83">
        <f>'Payroll Verisma'!GK8+'Payroll MRO'!GK8</f>
        <v>85</v>
      </c>
      <c r="GL26" s="83">
        <f>'Payroll Verisma'!GL8+'Payroll MRO'!GL8</f>
        <v>81</v>
      </c>
      <c r="GM26" s="83">
        <f>'Payroll Verisma'!GM8+'Payroll MRO'!GM8</f>
        <v>135</v>
      </c>
      <c r="GN26" s="83">
        <f>'Payroll Verisma'!GN8+'Payroll MRO'!GN8</f>
        <v>42</v>
      </c>
      <c r="GO26" s="83">
        <f>'Payroll Verisma'!GO8+'Payroll MRO'!GO8</f>
        <v>65</v>
      </c>
      <c r="GP26" s="83">
        <f>'Payroll Verisma'!GP8+'Payroll MRO'!GP8</f>
        <v>22</v>
      </c>
      <c r="GQ26" s="83">
        <f>'Payroll Verisma'!GQ8+'Payroll MRO'!GQ8</f>
        <v>0</v>
      </c>
      <c r="GR26" s="83">
        <f>'Payroll Verisma'!GR8+'Payroll MRO'!GR8</f>
        <v>32</v>
      </c>
    </row>
    <row r="27" spans="1:200" ht="15.6">
      <c r="A27" s="81">
        <f t="shared" si="83"/>
        <v>46029</v>
      </c>
      <c r="B27" s="82" t="str">
        <f t="shared" si="82"/>
        <v>Wed</v>
      </c>
      <c r="C27" s="75">
        <f t="shared" si="81"/>
        <v>5501</v>
      </c>
      <c r="D27" s="83">
        <f>'Payroll Verisma'!D9+'Payroll MRO'!D9</f>
        <v>0</v>
      </c>
      <c r="E27" s="83">
        <f>'Payroll Verisma'!E9+'Payroll MRO'!E9</f>
        <v>64</v>
      </c>
      <c r="F27" s="83">
        <f>'Payroll Verisma'!F9+'Payroll MRO'!F9</f>
        <v>0</v>
      </c>
      <c r="G27" s="83">
        <f>'Payroll Verisma'!G9+'Payroll MRO'!G9</f>
        <v>0</v>
      </c>
      <c r="H27" s="83">
        <f>'Payroll Verisma'!H9+'Payroll MRO'!H9</f>
        <v>33</v>
      </c>
      <c r="I27" s="83">
        <f>'Payroll Verisma'!I9+'Payroll MRO'!I9</f>
        <v>66</v>
      </c>
      <c r="J27" s="83">
        <f>'Payroll Verisma'!J9+'Payroll MRO'!J9</f>
        <v>0</v>
      </c>
      <c r="K27" s="83">
        <f>'Payroll Verisma'!K9+'Payroll MRO'!K9</f>
        <v>0</v>
      </c>
      <c r="L27" s="83">
        <f>'Payroll Verisma'!L9+'Payroll MRO'!L9</f>
        <v>0</v>
      </c>
      <c r="M27" s="83">
        <f>'Payroll Verisma'!M9+'Payroll MRO'!M9</f>
        <v>0</v>
      </c>
      <c r="N27" s="83">
        <f>'Payroll Verisma'!N9+'Payroll MRO'!N9</f>
        <v>50</v>
      </c>
      <c r="O27" s="83">
        <f>'Payroll Verisma'!O9+'Payroll MRO'!O9</f>
        <v>71</v>
      </c>
      <c r="P27" s="83">
        <f>'Payroll Verisma'!P9+'Payroll MRO'!P9</f>
        <v>43</v>
      </c>
      <c r="Q27" s="83">
        <f>'Payroll Verisma'!Q9+'Payroll MRO'!Q9</f>
        <v>25</v>
      </c>
      <c r="R27" s="83">
        <f>'Payroll Verisma'!R9+'Payroll MRO'!R9</f>
        <v>121</v>
      </c>
      <c r="S27" s="83">
        <f>'Payroll Verisma'!S9+'Payroll MRO'!S9</f>
        <v>58</v>
      </c>
      <c r="T27" s="83">
        <f>'Payroll Verisma'!T9+'Payroll MRO'!T9</f>
        <v>157</v>
      </c>
      <c r="U27" s="83">
        <f>'Payroll Verisma'!U9+'Payroll MRO'!U9</f>
        <v>12</v>
      </c>
      <c r="V27" s="83">
        <f>'Payroll Verisma'!V9+'Payroll MRO'!V9</f>
        <v>0</v>
      </c>
      <c r="W27" s="83">
        <f>'Payroll Verisma'!W9+'Payroll MRO'!W9</f>
        <v>0</v>
      </c>
      <c r="X27" s="83">
        <f>'Payroll Verisma'!X9+'Payroll MRO'!X9</f>
        <v>0</v>
      </c>
      <c r="Y27" s="83">
        <f>'Payroll Verisma'!Y9+'Payroll MRO'!Y9</f>
        <v>65</v>
      </c>
      <c r="Z27" s="83">
        <f>'Payroll Verisma'!Z9+'Payroll MRO'!Z9</f>
        <v>57</v>
      </c>
      <c r="AA27" s="83">
        <f>'Payroll Verisma'!AA9+'Payroll MRO'!AA9</f>
        <v>0</v>
      </c>
      <c r="AB27" s="83">
        <f>'Payroll Verisma'!AB9+'Payroll MRO'!AB9</f>
        <v>34</v>
      </c>
      <c r="AC27" s="83">
        <f>'Payroll Verisma'!AC9+'Payroll MRO'!AC9</f>
        <v>0</v>
      </c>
      <c r="AD27" s="83">
        <f>'Payroll Verisma'!AD9+'Payroll MRO'!AD9</f>
        <v>44</v>
      </c>
      <c r="AE27" s="83">
        <f>'Payroll Verisma'!AE9+'Payroll MRO'!AE9</f>
        <v>0</v>
      </c>
      <c r="AF27" s="83">
        <f>'Payroll Verisma'!AF9+'Payroll MRO'!AF9</f>
        <v>0</v>
      </c>
      <c r="AG27" s="83">
        <f>'Payroll Verisma'!AG9+'Payroll MRO'!AG9</f>
        <v>20</v>
      </c>
      <c r="AH27" s="83">
        <f>'Payroll Verisma'!AH9+'Payroll MRO'!AH9</f>
        <v>0</v>
      </c>
      <c r="AI27" s="83">
        <f>'Payroll Verisma'!AI9+'Payroll MRO'!AI9</f>
        <v>0</v>
      </c>
      <c r="AJ27" s="83">
        <f>'Payroll Verisma'!AJ9+'Payroll MRO'!AJ9</f>
        <v>0</v>
      </c>
      <c r="AK27" s="83">
        <f>'Payroll Verisma'!AK9+'Payroll MRO'!AK9</f>
        <v>10</v>
      </c>
      <c r="AL27" s="83">
        <f>'Payroll Verisma'!AL9+'Payroll MRO'!AL9</f>
        <v>0</v>
      </c>
      <c r="AM27" s="83">
        <f>'Payroll Verisma'!AM9+'Payroll MRO'!AM9</f>
        <v>0</v>
      </c>
      <c r="AN27" s="83">
        <f>'Payroll Verisma'!AN9+'Payroll MRO'!AN9</f>
        <v>18</v>
      </c>
      <c r="AO27" s="83">
        <f>'Payroll Verisma'!AO9+'Payroll MRO'!AO9</f>
        <v>0</v>
      </c>
      <c r="AP27" s="83">
        <f>'Payroll Verisma'!AP9+'Payroll MRO'!AP9</f>
        <v>7</v>
      </c>
      <c r="AQ27" s="83">
        <f>'Payroll Verisma'!AQ9+'Payroll MRO'!AQ9</f>
        <v>0</v>
      </c>
      <c r="AR27" s="83">
        <f>'Payroll Verisma'!AR9+'Payroll MRO'!AR9</f>
        <v>32</v>
      </c>
      <c r="AS27" s="83">
        <f>'Payroll Verisma'!AS9+'Payroll MRO'!AS9</f>
        <v>0</v>
      </c>
      <c r="AT27" s="83">
        <f>'Payroll Verisma'!AT9+'Payroll MRO'!AT9</f>
        <v>0</v>
      </c>
      <c r="AU27" s="83">
        <f>'Payroll Verisma'!AU9+'Payroll MRO'!AU9</f>
        <v>36</v>
      </c>
      <c r="AV27" s="83">
        <f>'Payroll Verisma'!AV9+'Payroll MRO'!AV9</f>
        <v>32</v>
      </c>
      <c r="AW27" s="83">
        <f>'Payroll Verisma'!AW9+'Payroll MRO'!AW9</f>
        <v>45</v>
      </c>
      <c r="AX27" s="83">
        <f>'Payroll Verisma'!AX9+'Payroll MRO'!AX9</f>
        <v>53</v>
      </c>
      <c r="AY27" s="83">
        <f>'Payroll Verisma'!AY9+'Payroll MRO'!AY9</f>
        <v>11</v>
      </c>
      <c r="AZ27" s="83">
        <f>'Payroll Verisma'!AZ9+'Payroll MRO'!AZ9</f>
        <v>17</v>
      </c>
      <c r="BA27" s="83">
        <f>'Payroll Verisma'!BA9+'Payroll MRO'!BA9</f>
        <v>79</v>
      </c>
      <c r="BB27" s="83">
        <f>'Payroll Verisma'!BB9+'Payroll MRO'!BB9</f>
        <v>102</v>
      </c>
      <c r="BC27" s="83">
        <f>'Payroll Verisma'!BC9+'Payroll MRO'!BC9</f>
        <v>0</v>
      </c>
      <c r="BD27" s="83">
        <f>'Payroll Verisma'!BD9+'Payroll MRO'!BD9</f>
        <v>70</v>
      </c>
      <c r="BE27" s="83">
        <f>'Payroll Verisma'!BE9+'Payroll MRO'!BE9</f>
        <v>38</v>
      </c>
      <c r="BF27" s="83">
        <f>'Payroll Verisma'!BF9+'Payroll MRO'!BF9</f>
        <v>0</v>
      </c>
      <c r="BG27" s="83">
        <f>'Payroll Verisma'!BG9+'Payroll MRO'!BG9</f>
        <v>44</v>
      </c>
      <c r="BH27" s="83">
        <f>'Payroll Verisma'!BH9+'Payroll MRO'!BH9</f>
        <v>16</v>
      </c>
      <c r="BI27" s="83">
        <f>'Payroll Verisma'!BI9+'Payroll MRO'!BI9</f>
        <v>41</v>
      </c>
      <c r="BJ27" s="83">
        <f>'Payroll Verisma'!BJ9+'Payroll MRO'!BJ9</f>
        <v>1</v>
      </c>
      <c r="BK27" s="83">
        <f>'Payroll Verisma'!BK9+'Payroll MRO'!BK9</f>
        <v>0</v>
      </c>
      <c r="BL27" s="83">
        <f>'Payroll Verisma'!BL9+'Payroll MRO'!BL9</f>
        <v>41</v>
      </c>
      <c r="BM27" s="83">
        <f>'Payroll Verisma'!BM9+'Payroll MRO'!BM9</f>
        <v>0</v>
      </c>
      <c r="BN27" s="83">
        <f>'Payroll Verisma'!BN9+'Payroll MRO'!BN9</f>
        <v>0</v>
      </c>
      <c r="BO27" s="83">
        <f>'Payroll Verisma'!BO9+'Payroll MRO'!BO9</f>
        <v>35</v>
      </c>
      <c r="BP27" s="83">
        <f>'Payroll Verisma'!BP9+'Payroll MRO'!BP9</f>
        <v>20</v>
      </c>
      <c r="BQ27" s="83">
        <f>'Payroll Verisma'!BQ9+'Payroll MRO'!BQ9</f>
        <v>0</v>
      </c>
      <c r="BR27" s="83">
        <f>'Payroll Verisma'!BR9+'Payroll MRO'!BR9</f>
        <v>0</v>
      </c>
      <c r="BS27" s="83">
        <f>'Payroll Verisma'!BS9+'Payroll MRO'!BS9</f>
        <v>0</v>
      </c>
      <c r="BT27" s="83">
        <f>'Payroll Verisma'!BT9+'Payroll MRO'!BT9</f>
        <v>0</v>
      </c>
      <c r="BU27" s="83">
        <f>'Payroll Verisma'!BU9+'Payroll MRO'!BU9</f>
        <v>20</v>
      </c>
      <c r="BV27" s="83">
        <f>'Payroll Verisma'!BV9+'Payroll MRO'!BV9</f>
        <v>12</v>
      </c>
      <c r="BW27" s="83">
        <f>'Payroll Verisma'!BW9+'Payroll MRO'!BW9</f>
        <v>58</v>
      </c>
      <c r="BX27" s="83">
        <f>'Payroll Verisma'!BX9+'Payroll MRO'!BX9</f>
        <v>64</v>
      </c>
      <c r="BY27" s="83">
        <f>'Payroll Verisma'!BY9+'Payroll MRO'!BY9</f>
        <v>0</v>
      </c>
      <c r="BZ27" s="83">
        <f>'Payroll Verisma'!BZ9+'Payroll MRO'!BZ9</f>
        <v>80</v>
      </c>
      <c r="CA27" s="83">
        <f>'Payroll Verisma'!CA9+'Payroll MRO'!CA9</f>
        <v>34</v>
      </c>
      <c r="CB27" s="83">
        <f>'Payroll Verisma'!CB9+'Payroll MRO'!CB9</f>
        <v>53</v>
      </c>
      <c r="CC27" s="83">
        <f>'Payroll Verisma'!CC9+'Payroll MRO'!CC9</f>
        <v>29</v>
      </c>
      <c r="CD27" s="83">
        <f>'Payroll Verisma'!CD9+'Payroll MRO'!CD9</f>
        <v>155</v>
      </c>
      <c r="CE27" s="83">
        <f>'Payroll Verisma'!CE9+'Payroll MRO'!CE9</f>
        <v>0</v>
      </c>
      <c r="CF27" s="83">
        <f>'Payroll Verisma'!CF9+'Payroll MRO'!CF9</f>
        <v>13</v>
      </c>
      <c r="CG27" s="83">
        <f>'Payroll Verisma'!CG9+'Payroll MRO'!CG9</f>
        <v>0</v>
      </c>
      <c r="CH27" s="83">
        <f>'Payroll Verisma'!CH9+'Payroll MRO'!CH9</f>
        <v>50</v>
      </c>
      <c r="CI27" s="83">
        <f>'Payroll Verisma'!CI9+'Payroll MRO'!CI9</f>
        <v>0</v>
      </c>
      <c r="CJ27" s="83">
        <f>'Payroll Verisma'!CJ9+'Payroll MRO'!CJ9</f>
        <v>147</v>
      </c>
      <c r="CK27" s="83">
        <f>'Payroll Verisma'!CK9+'Payroll MRO'!CK9</f>
        <v>0</v>
      </c>
      <c r="CL27" s="83">
        <f>'Payroll Verisma'!CL9+'Payroll MRO'!CL9</f>
        <v>58</v>
      </c>
      <c r="CM27" s="83">
        <f>'Payroll Verisma'!CM9+'Payroll MRO'!CM9</f>
        <v>0</v>
      </c>
      <c r="CN27" s="83">
        <f>'Payroll Verisma'!CN9+'Payroll MRO'!CN9</f>
        <v>29</v>
      </c>
      <c r="CO27" s="83">
        <f>'Payroll Verisma'!CO9+'Payroll MRO'!CO9</f>
        <v>0</v>
      </c>
      <c r="CP27" s="83">
        <f>'Payroll Verisma'!CP9+'Payroll MRO'!CP9</f>
        <v>0</v>
      </c>
      <c r="CQ27" s="83">
        <f>'Payroll Verisma'!CQ9+'Payroll MRO'!CQ9</f>
        <v>0</v>
      </c>
      <c r="CR27" s="83">
        <f>'Payroll Verisma'!CR9+'Payroll MRO'!CR9</f>
        <v>0</v>
      </c>
      <c r="CS27" s="83">
        <f>'Payroll Verisma'!CS9+'Payroll MRO'!CS9</f>
        <v>8</v>
      </c>
      <c r="CT27" s="83">
        <f>'Payroll Verisma'!CT9+'Payroll MRO'!CT9</f>
        <v>30</v>
      </c>
      <c r="CU27" s="83">
        <f>'Payroll Verisma'!CU9+'Payroll MRO'!CU9</f>
        <v>0</v>
      </c>
      <c r="CV27" s="83">
        <f>'Payroll Verisma'!CV9+'Payroll MRO'!CV9</f>
        <v>0</v>
      </c>
      <c r="CW27" s="83">
        <f>'Payroll Verisma'!CW9+'Payroll MRO'!CW9</f>
        <v>0</v>
      </c>
      <c r="CX27" s="83">
        <f>'Payroll Verisma'!CX9+'Payroll MRO'!CX9</f>
        <v>0</v>
      </c>
      <c r="CY27" s="83">
        <f>'Payroll Verisma'!CY9+'Payroll MRO'!CY9</f>
        <v>87</v>
      </c>
      <c r="CZ27" s="83">
        <f>'Payroll Verisma'!CZ9+'Payroll MRO'!CZ9</f>
        <v>48</v>
      </c>
      <c r="DA27" s="83">
        <f>'Payroll Verisma'!DA9+'Payroll MRO'!DA9</f>
        <v>32</v>
      </c>
      <c r="DB27" s="83">
        <f>'Payroll Verisma'!DB9+'Payroll MRO'!DB9</f>
        <v>0</v>
      </c>
      <c r="DC27" s="83">
        <f>'Payroll Verisma'!DC9+'Payroll MRO'!DC9</f>
        <v>0</v>
      </c>
      <c r="DD27" s="83">
        <f>'Payroll Verisma'!DD9+'Payroll MRO'!DD9</f>
        <v>30</v>
      </c>
      <c r="DE27" s="83">
        <f>'Payroll Verisma'!DE9+'Payroll MRO'!DE9</f>
        <v>0</v>
      </c>
      <c r="DF27" s="83">
        <f>'Payroll Verisma'!DF9+'Payroll MRO'!DF9</f>
        <v>0</v>
      </c>
      <c r="DG27" s="83">
        <f>'Payroll Verisma'!DG9+'Payroll MRO'!DG9</f>
        <v>23</v>
      </c>
      <c r="DH27" s="83">
        <f>'Payroll Verisma'!DH9+'Payroll MRO'!DH9</f>
        <v>15</v>
      </c>
      <c r="DI27" s="83">
        <f>'Payroll Verisma'!DI9+'Payroll MRO'!DI9</f>
        <v>94</v>
      </c>
      <c r="DJ27" s="83">
        <f>'Payroll Verisma'!DJ9+'Payroll MRO'!DJ9</f>
        <v>0</v>
      </c>
      <c r="DK27" s="83">
        <f>'Payroll Verisma'!DK9+'Payroll MRO'!DK9</f>
        <v>53</v>
      </c>
      <c r="DL27" s="83">
        <f>'Payroll Verisma'!DL9+'Payroll MRO'!DL9</f>
        <v>11</v>
      </c>
      <c r="DM27" s="83">
        <f>'Payroll Verisma'!DM9+'Payroll MRO'!DM9</f>
        <v>0</v>
      </c>
      <c r="DN27" s="83">
        <f>'Payroll Verisma'!DN9+'Payroll MRO'!DN9</f>
        <v>69</v>
      </c>
      <c r="DO27" s="83">
        <f>'Payroll Verisma'!DO9+'Payroll MRO'!DO9</f>
        <v>9</v>
      </c>
      <c r="DP27" s="83">
        <f>'Payroll Verisma'!DP9+'Payroll MRO'!DP9</f>
        <v>1</v>
      </c>
      <c r="DQ27" s="83">
        <f>'Payroll Verisma'!DQ9+'Payroll MRO'!DQ9</f>
        <v>51</v>
      </c>
      <c r="DR27" s="83">
        <f>'Payroll Verisma'!DR9+'Payroll MRO'!DR9</f>
        <v>60</v>
      </c>
      <c r="DS27" s="83">
        <f>'Payroll Verisma'!DS9+'Payroll MRO'!DS9</f>
        <v>31</v>
      </c>
      <c r="DT27" s="83">
        <f>'Payroll Verisma'!DT9+'Payroll MRO'!DT9</f>
        <v>62</v>
      </c>
      <c r="DU27" s="83">
        <f>'Payroll Verisma'!DU9+'Payroll MRO'!DU9</f>
        <v>22</v>
      </c>
      <c r="DV27" s="83">
        <f>'Payroll Verisma'!DV9+'Payroll MRO'!DV9</f>
        <v>0</v>
      </c>
      <c r="DW27" s="83">
        <f>'Payroll Verisma'!DW9+'Payroll MRO'!DW9</f>
        <v>0</v>
      </c>
      <c r="DX27" s="83">
        <f>'Payroll Verisma'!DX9+'Payroll MRO'!DX9</f>
        <v>23</v>
      </c>
      <c r="DY27" s="83">
        <f>'Payroll Verisma'!DY9+'Payroll MRO'!DY9</f>
        <v>52</v>
      </c>
      <c r="DZ27" s="83">
        <f>'Payroll Verisma'!DZ9+'Payroll MRO'!DZ9</f>
        <v>108</v>
      </c>
      <c r="EA27" s="83">
        <f>'Payroll Verisma'!EA9+'Payroll MRO'!EA9</f>
        <v>0</v>
      </c>
      <c r="EB27" s="83">
        <f>'Payroll Verisma'!EB9+'Payroll MRO'!EB9</f>
        <v>31</v>
      </c>
      <c r="EC27" s="83">
        <f>'Payroll Verisma'!EC9+'Payroll MRO'!EC9</f>
        <v>0</v>
      </c>
      <c r="ED27" s="83">
        <f>'Payroll Verisma'!ED9+'Payroll MRO'!ED9</f>
        <v>84</v>
      </c>
      <c r="EE27" s="83">
        <f>'Payroll Verisma'!EE9+'Payroll MRO'!EE9</f>
        <v>0</v>
      </c>
      <c r="EF27" s="83">
        <f>'Payroll Verisma'!EF9+'Payroll MRO'!EF9</f>
        <v>82</v>
      </c>
      <c r="EG27" s="83">
        <f>'Payroll Verisma'!EG9+'Payroll MRO'!EG9</f>
        <v>0</v>
      </c>
      <c r="EH27" s="83">
        <f>'Payroll Verisma'!EH9+'Payroll MRO'!EH9</f>
        <v>2</v>
      </c>
      <c r="EI27" s="83">
        <f>'Payroll Verisma'!EI9+'Payroll MRO'!EI9</f>
        <v>87</v>
      </c>
      <c r="EJ27" s="83">
        <f>'Payroll Verisma'!EJ9+'Payroll MRO'!EJ9</f>
        <v>43</v>
      </c>
      <c r="EK27" s="83">
        <f>'Payroll Verisma'!EK9+'Payroll MRO'!EK9</f>
        <v>24</v>
      </c>
      <c r="EL27" s="83">
        <f>'Payroll Verisma'!EL9+'Payroll MRO'!EL9</f>
        <v>67</v>
      </c>
      <c r="EM27" s="83">
        <f>'Payroll Verisma'!EM9+'Payroll MRO'!EM9</f>
        <v>32</v>
      </c>
      <c r="EN27" s="83">
        <f>'Payroll Verisma'!EN9+'Payroll MRO'!EN9</f>
        <v>0</v>
      </c>
      <c r="EO27" s="83">
        <f>'Payroll Verisma'!EO9+'Payroll MRO'!EO9</f>
        <v>39</v>
      </c>
      <c r="EP27" s="83">
        <f>'Payroll Verisma'!EP9+'Payroll MRO'!EP9</f>
        <v>19</v>
      </c>
      <c r="EQ27" s="83">
        <f>'Payroll Verisma'!EQ9+'Payroll MRO'!EQ9</f>
        <v>29</v>
      </c>
      <c r="ER27" s="83">
        <f>'Payroll Verisma'!ER9+'Payroll MRO'!ER9</f>
        <v>0</v>
      </c>
      <c r="ES27" s="83">
        <f>'Payroll Verisma'!ES9+'Payroll MRO'!ES9</f>
        <v>0</v>
      </c>
      <c r="ET27" s="83">
        <f>'Payroll Verisma'!ET9+'Payroll MRO'!ET9</f>
        <v>46</v>
      </c>
      <c r="EU27" s="83">
        <f>'Payroll Verisma'!EU9+'Payroll MRO'!EU9</f>
        <v>84</v>
      </c>
      <c r="EV27" s="83">
        <f>'Payroll Verisma'!EV9+'Payroll MRO'!EV9</f>
        <v>75</v>
      </c>
      <c r="EW27" s="83">
        <f>'Payroll Verisma'!EW9+'Payroll MRO'!EW9</f>
        <v>42</v>
      </c>
      <c r="EX27" s="83">
        <f>'Payroll Verisma'!EX9+'Payroll MRO'!EX9</f>
        <v>17</v>
      </c>
      <c r="EY27" s="83">
        <f>'Payroll Verisma'!EY9+'Payroll MRO'!EY9</f>
        <v>15</v>
      </c>
      <c r="EZ27" s="83">
        <f>'Payroll Verisma'!EZ9+'Payroll MRO'!EZ9</f>
        <v>21</v>
      </c>
      <c r="FA27" s="83">
        <f>'Payroll Verisma'!FA9+'Payroll MRO'!FA9</f>
        <v>0</v>
      </c>
      <c r="FB27" s="83">
        <f>'Payroll Verisma'!FB9+'Payroll MRO'!FB9</f>
        <v>20</v>
      </c>
      <c r="FC27" s="83">
        <f>'Payroll Verisma'!FC9+'Payroll MRO'!FC9</f>
        <v>0</v>
      </c>
      <c r="FD27" s="83">
        <f>'Payroll Verisma'!FD9+'Payroll MRO'!FD9</f>
        <v>15</v>
      </c>
      <c r="FE27" s="83">
        <f>'Payroll Verisma'!FE9+'Payroll MRO'!FE9</f>
        <v>0</v>
      </c>
      <c r="FF27" s="83">
        <f>'Payroll Verisma'!FF9+'Payroll MRO'!FF9</f>
        <v>35</v>
      </c>
      <c r="FG27" s="83">
        <f>'Payroll Verisma'!FG9+'Payroll MRO'!FG9</f>
        <v>0</v>
      </c>
      <c r="FH27" s="83">
        <f>'Payroll Verisma'!FH9+'Payroll MRO'!FH9</f>
        <v>109</v>
      </c>
      <c r="FI27" s="83">
        <f>'Payroll Verisma'!FI9+'Payroll MRO'!FI9</f>
        <v>1</v>
      </c>
      <c r="FJ27" s="83">
        <f>'Payroll Verisma'!FJ9+'Payroll MRO'!FJ9</f>
        <v>0</v>
      </c>
      <c r="FK27" s="83">
        <f>'Payroll Verisma'!FK9+'Payroll MRO'!FK9</f>
        <v>24</v>
      </c>
      <c r="FL27" s="83">
        <f>'Payroll Verisma'!FL9+'Payroll MRO'!FL9</f>
        <v>0</v>
      </c>
      <c r="FM27" s="83">
        <f>'Payroll Verisma'!FM9+'Payroll MRO'!FM9</f>
        <v>0</v>
      </c>
      <c r="FN27" s="83">
        <f>'Payroll Verisma'!FN9+'Payroll MRO'!FN9</f>
        <v>19</v>
      </c>
      <c r="FO27" s="83">
        <f>'Payroll Verisma'!FO9+'Payroll MRO'!FO9</f>
        <v>54</v>
      </c>
      <c r="FP27" s="83">
        <f>'Payroll Verisma'!FP9+'Payroll MRO'!FP9</f>
        <v>34</v>
      </c>
      <c r="FQ27" s="83">
        <f>'Payroll Verisma'!FQ9+'Payroll MRO'!FQ9</f>
        <v>81</v>
      </c>
      <c r="FR27" s="83">
        <f>'Payroll Verisma'!FR9+'Payroll MRO'!FR9</f>
        <v>0</v>
      </c>
      <c r="FS27" s="83">
        <f>'Payroll Verisma'!FS9+'Payroll MRO'!FS9</f>
        <v>71</v>
      </c>
      <c r="FT27" s="83">
        <f>'Payroll Verisma'!FT9+'Payroll MRO'!FT9</f>
        <v>36</v>
      </c>
      <c r="FU27" s="83">
        <f>'Payroll Verisma'!FU9+'Payroll MRO'!FU9</f>
        <v>0</v>
      </c>
      <c r="FV27" s="83">
        <f>'Payroll Verisma'!FV9+'Payroll MRO'!FV9</f>
        <v>0</v>
      </c>
      <c r="FW27" s="83">
        <f>'Payroll Verisma'!FW9+'Payroll MRO'!FW9</f>
        <v>0</v>
      </c>
      <c r="FX27" s="83">
        <f>'Payroll Verisma'!FX9+'Payroll MRO'!FX9</f>
        <v>0</v>
      </c>
      <c r="FY27" s="83">
        <f>'Payroll Verisma'!FY9+'Payroll MRO'!FY9</f>
        <v>0</v>
      </c>
      <c r="FZ27" s="83">
        <f>'Payroll Verisma'!FZ9+'Payroll MRO'!FZ9</f>
        <v>46</v>
      </c>
      <c r="GA27" s="83">
        <f>'Payroll Verisma'!GA9+'Payroll MRO'!GA9</f>
        <v>0</v>
      </c>
      <c r="GB27" s="83">
        <f>'Payroll Verisma'!GB9+'Payroll MRO'!GB9</f>
        <v>57</v>
      </c>
      <c r="GC27" s="83">
        <f>'Payroll Verisma'!GC9+'Payroll MRO'!GC9</f>
        <v>0</v>
      </c>
      <c r="GD27" s="83">
        <f>'Payroll Verisma'!GD9+'Payroll MRO'!GD9</f>
        <v>60</v>
      </c>
      <c r="GE27" s="83">
        <f>'Payroll Verisma'!GE9+'Payroll MRO'!GE9</f>
        <v>55</v>
      </c>
      <c r="GF27" s="83">
        <f>'Payroll Verisma'!GF9+'Payroll MRO'!GF9</f>
        <v>0</v>
      </c>
      <c r="GG27" s="83">
        <f>'Payroll Verisma'!GG9+'Payroll MRO'!GG9</f>
        <v>63</v>
      </c>
      <c r="GH27" s="83">
        <f>'Payroll Verisma'!GH9+'Payroll MRO'!GH9</f>
        <v>10</v>
      </c>
      <c r="GI27" s="83">
        <f>'Payroll Verisma'!GI9+'Payroll MRO'!GI9</f>
        <v>0</v>
      </c>
      <c r="GJ27" s="83">
        <f>'Payroll Verisma'!GJ9+'Payroll MRO'!GJ9</f>
        <v>71</v>
      </c>
      <c r="GK27" s="83">
        <f>'Payroll Verisma'!GK9+'Payroll MRO'!GK9</f>
        <v>80</v>
      </c>
      <c r="GL27" s="83">
        <f>'Payroll Verisma'!GL9+'Payroll MRO'!GL9</f>
        <v>30</v>
      </c>
      <c r="GM27" s="83">
        <f>'Payroll Verisma'!GM9+'Payroll MRO'!GM9</f>
        <v>137</v>
      </c>
      <c r="GN27" s="83">
        <f>'Payroll Verisma'!GN9+'Payroll MRO'!GN9</f>
        <v>37</v>
      </c>
      <c r="GO27" s="83">
        <f>'Payroll Verisma'!GO9+'Payroll MRO'!GO9</f>
        <v>49</v>
      </c>
      <c r="GP27" s="83">
        <f>'Payroll Verisma'!GP9+'Payroll MRO'!GP9</f>
        <v>50</v>
      </c>
      <c r="GQ27" s="83">
        <f>'Payroll Verisma'!GQ9+'Payroll MRO'!GQ9</f>
        <v>0</v>
      </c>
      <c r="GR27" s="83">
        <f>'Payroll Verisma'!GR9+'Payroll MRO'!GR9</f>
        <v>29</v>
      </c>
    </row>
    <row r="28" spans="1:200" ht="15.6">
      <c r="A28" s="81">
        <f t="shared" si="83"/>
        <v>46030</v>
      </c>
      <c r="B28" s="82" t="str">
        <f t="shared" si="82"/>
        <v>Thu</v>
      </c>
      <c r="C28" s="75">
        <f t="shared" si="81"/>
        <v>6448</v>
      </c>
      <c r="D28" s="83">
        <f>'Payroll Verisma'!D10+'Payroll MRO'!D10</f>
        <v>0</v>
      </c>
      <c r="E28" s="83">
        <f>'Payroll Verisma'!E10+'Payroll MRO'!E10</f>
        <v>26</v>
      </c>
      <c r="F28" s="83">
        <f>'Payroll Verisma'!F10+'Payroll MRO'!F10</f>
        <v>0</v>
      </c>
      <c r="G28" s="83">
        <f>'Payroll Verisma'!G10+'Payroll MRO'!G10</f>
        <v>0</v>
      </c>
      <c r="H28" s="83">
        <f>'Payroll Verisma'!H10+'Payroll MRO'!H10</f>
        <v>35</v>
      </c>
      <c r="I28" s="83">
        <f>'Payroll Verisma'!I10+'Payroll MRO'!I10</f>
        <v>62</v>
      </c>
      <c r="J28" s="83">
        <f>'Payroll Verisma'!J10+'Payroll MRO'!J10</f>
        <v>0</v>
      </c>
      <c r="K28" s="83">
        <f>'Payroll Verisma'!K10+'Payroll MRO'!K10</f>
        <v>0</v>
      </c>
      <c r="L28" s="83">
        <f>'Payroll Verisma'!L10+'Payroll MRO'!L10</f>
        <v>0</v>
      </c>
      <c r="M28" s="83">
        <f>'Payroll Verisma'!M10+'Payroll MRO'!M10</f>
        <v>0</v>
      </c>
      <c r="N28" s="83">
        <f>'Payroll Verisma'!N10+'Payroll MRO'!N10</f>
        <v>56</v>
      </c>
      <c r="O28" s="83">
        <f>'Payroll Verisma'!O10+'Payroll MRO'!O10</f>
        <v>60</v>
      </c>
      <c r="P28" s="83">
        <f>'Payroll Verisma'!P10+'Payroll MRO'!P10</f>
        <v>32</v>
      </c>
      <c r="Q28" s="83">
        <f>'Payroll Verisma'!Q10+'Payroll MRO'!Q10</f>
        <v>38</v>
      </c>
      <c r="R28" s="83">
        <f>'Payroll Verisma'!R10+'Payroll MRO'!R10</f>
        <v>116</v>
      </c>
      <c r="S28" s="83">
        <f>'Payroll Verisma'!S10+'Payroll MRO'!S10</f>
        <v>59</v>
      </c>
      <c r="T28" s="83">
        <f>'Payroll Verisma'!T10+'Payroll MRO'!T10</f>
        <v>149</v>
      </c>
      <c r="U28" s="83">
        <f>'Payroll Verisma'!U10+'Payroll MRO'!U10</f>
        <v>24</v>
      </c>
      <c r="V28" s="83">
        <f>'Payroll Verisma'!V10+'Payroll MRO'!V10</f>
        <v>36</v>
      </c>
      <c r="W28" s="83">
        <f>'Payroll Verisma'!W10+'Payroll MRO'!W10</f>
        <v>0</v>
      </c>
      <c r="X28" s="83">
        <f>'Payroll Verisma'!X10+'Payroll MRO'!X10</f>
        <v>0</v>
      </c>
      <c r="Y28" s="83">
        <f>'Payroll Verisma'!Y10+'Payroll MRO'!Y10</f>
        <v>65</v>
      </c>
      <c r="Z28" s="83">
        <f>'Payroll Verisma'!Z10+'Payroll MRO'!Z10</f>
        <v>53</v>
      </c>
      <c r="AA28" s="83">
        <f>'Payroll Verisma'!AA10+'Payroll MRO'!AA10</f>
        <v>20</v>
      </c>
      <c r="AB28" s="83">
        <f>'Payroll Verisma'!AB10+'Payroll MRO'!AB10</f>
        <v>26</v>
      </c>
      <c r="AC28" s="83">
        <f>'Payroll Verisma'!AC10+'Payroll MRO'!AC10</f>
        <v>0</v>
      </c>
      <c r="AD28" s="83">
        <f>'Payroll Verisma'!AD10+'Payroll MRO'!AD10</f>
        <v>54</v>
      </c>
      <c r="AE28" s="83">
        <f>'Payroll Verisma'!AE10+'Payroll MRO'!AE10</f>
        <v>0</v>
      </c>
      <c r="AF28" s="83">
        <f>'Payroll Verisma'!AF10+'Payroll MRO'!AF10</f>
        <v>0</v>
      </c>
      <c r="AG28" s="83">
        <f>'Payroll Verisma'!AG10+'Payroll MRO'!AG10</f>
        <v>43</v>
      </c>
      <c r="AH28" s="83">
        <f>'Payroll Verisma'!AH10+'Payroll MRO'!AH10</f>
        <v>0</v>
      </c>
      <c r="AI28" s="83">
        <f>'Payroll Verisma'!AI10+'Payroll MRO'!AI10</f>
        <v>0</v>
      </c>
      <c r="AJ28" s="83">
        <f>'Payroll Verisma'!AJ10+'Payroll MRO'!AJ10</f>
        <v>0</v>
      </c>
      <c r="AK28" s="83">
        <f>'Payroll Verisma'!AK10+'Payroll MRO'!AK10</f>
        <v>15</v>
      </c>
      <c r="AL28" s="83">
        <f>'Payroll Verisma'!AL10+'Payroll MRO'!AL10</f>
        <v>0</v>
      </c>
      <c r="AM28" s="83">
        <f>'Payroll Verisma'!AM10+'Payroll MRO'!AM10</f>
        <v>0</v>
      </c>
      <c r="AN28" s="83">
        <f>'Payroll Verisma'!AN10+'Payroll MRO'!AN10</f>
        <v>14</v>
      </c>
      <c r="AO28" s="83">
        <f>'Payroll Verisma'!AO10+'Payroll MRO'!AO10</f>
        <v>0</v>
      </c>
      <c r="AP28" s="83">
        <f>'Payroll Verisma'!AP10+'Payroll MRO'!AP10</f>
        <v>15</v>
      </c>
      <c r="AQ28" s="83">
        <f>'Payroll Verisma'!AQ10+'Payroll MRO'!AQ10</f>
        <v>0</v>
      </c>
      <c r="AR28" s="83">
        <f>'Payroll Verisma'!AR10+'Payroll MRO'!AR10</f>
        <v>0</v>
      </c>
      <c r="AS28" s="83">
        <f>'Payroll Verisma'!AS10+'Payroll MRO'!AS10</f>
        <v>0</v>
      </c>
      <c r="AT28" s="83">
        <f>'Payroll Verisma'!AT10+'Payroll MRO'!AT10</f>
        <v>0</v>
      </c>
      <c r="AU28" s="83">
        <f>'Payroll Verisma'!AU10+'Payroll MRO'!AU10</f>
        <v>29</v>
      </c>
      <c r="AV28" s="83">
        <f>'Payroll Verisma'!AV10+'Payroll MRO'!AV10</f>
        <v>0</v>
      </c>
      <c r="AW28" s="83">
        <f>'Payroll Verisma'!AW10+'Payroll MRO'!AW10</f>
        <v>45</v>
      </c>
      <c r="AX28" s="83">
        <f>'Payroll Verisma'!AX10+'Payroll MRO'!AX10</f>
        <v>72</v>
      </c>
      <c r="AY28" s="83">
        <f>'Payroll Verisma'!AY10+'Payroll MRO'!AY10</f>
        <v>4</v>
      </c>
      <c r="AZ28" s="83">
        <f>'Payroll Verisma'!AZ10+'Payroll MRO'!AZ10</f>
        <v>52</v>
      </c>
      <c r="BA28" s="83">
        <f>'Payroll Verisma'!BA10+'Payroll MRO'!BA10</f>
        <v>63</v>
      </c>
      <c r="BB28" s="83">
        <f>'Payroll Verisma'!BB10+'Payroll MRO'!BB10</f>
        <v>98</v>
      </c>
      <c r="BC28" s="83">
        <f>'Payroll Verisma'!BC10+'Payroll MRO'!BC10</f>
        <v>0</v>
      </c>
      <c r="BD28" s="83">
        <f>'Payroll Verisma'!BD10+'Payroll MRO'!BD10</f>
        <v>83</v>
      </c>
      <c r="BE28" s="83">
        <f>'Payroll Verisma'!BE10+'Payroll MRO'!BE10</f>
        <v>29</v>
      </c>
      <c r="BF28" s="83">
        <f>'Payroll Verisma'!BF10+'Payroll MRO'!BF10</f>
        <v>0</v>
      </c>
      <c r="BG28" s="83">
        <f>'Payroll Verisma'!BG10+'Payroll MRO'!BG10</f>
        <v>40</v>
      </c>
      <c r="BH28" s="83">
        <f>'Payroll Verisma'!BH10+'Payroll MRO'!BH10</f>
        <v>11</v>
      </c>
      <c r="BI28" s="83">
        <f>'Payroll Verisma'!BI10+'Payroll MRO'!BI10</f>
        <v>37</v>
      </c>
      <c r="BJ28" s="83">
        <f>'Payroll Verisma'!BJ10+'Payroll MRO'!BJ10</f>
        <v>0</v>
      </c>
      <c r="BK28" s="83">
        <f>'Payroll Verisma'!BK10+'Payroll MRO'!BK10</f>
        <v>0</v>
      </c>
      <c r="BL28" s="83">
        <f>'Payroll Verisma'!BL10+'Payroll MRO'!BL10</f>
        <v>81</v>
      </c>
      <c r="BM28" s="83">
        <f>'Payroll Verisma'!BM10+'Payroll MRO'!BM10</f>
        <v>0</v>
      </c>
      <c r="BN28" s="83">
        <f>'Payroll Verisma'!BN10+'Payroll MRO'!BN10</f>
        <v>0</v>
      </c>
      <c r="BO28" s="83">
        <f>'Payroll Verisma'!BO10+'Payroll MRO'!BO10</f>
        <v>33</v>
      </c>
      <c r="BP28" s="83">
        <f>'Payroll Verisma'!BP10+'Payroll MRO'!BP10</f>
        <v>35</v>
      </c>
      <c r="BQ28" s="83">
        <f>'Payroll Verisma'!BQ10+'Payroll MRO'!BQ10</f>
        <v>0</v>
      </c>
      <c r="BR28" s="83">
        <f>'Payroll Verisma'!BR10+'Payroll MRO'!BR10</f>
        <v>0</v>
      </c>
      <c r="BS28" s="83">
        <f>'Payroll Verisma'!BS10+'Payroll MRO'!BS10</f>
        <v>10</v>
      </c>
      <c r="BT28" s="83">
        <f>'Payroll Verisma'!BT10+'Payroll MRO'!BT10</f>
        <v>0</v>
      </c>
      <c r="BU28" s="83">
        <f>'Payroll Verisma'!BU10+'Payroll MRO'!BU10</f>
        <v>50</v>
      </c>
      <c r="BV28" s="83">
        <f>'Payroll Verisma'!BV10+'Payroll MRO'!BV10</f>
        <v>14</v>
      </c>
      <c r="BW28" s="83">
        <f>'Payroll Verisma'!BW10+'Payroll MRO'!BW10</f>
        <v>41</v>
      </c>
      <c r="BX28" s="83">
        <f>'Payroll Verisma'!BX10+'Payroll MRO'!BX10</f>
        <v>172</v>
      </c>
      <c r="BY28" s="83">
        <f>'Payroll Verisma'!BY10+'Payroll MRO'!BY10</f>
        <v>0</v>
      </c>
      <c r="BZ28" s="83">
        <f>'Payroll Verisma'!BZ10+'Payroll MRO'!BZ10</f>
        <v>91</v>
      </c>
      <c r="CA28" s="83">
        <f>'Payroll Verisma'!CA10+'Payroll MRO'!CA10</f>
        <v>62</v>
      </c>
      <c r="CB28" s="83">
        <f>'Payroll Verisma'!CB10+'Payroll MRO'!CB10</f>
        <v>75</v>
      </c>
      <c r="CC28" s="83">
        <f>'Payroll Verisma'!CC10+'Payroll MRO'!CC10</f>
        <v>32</v>
      </c>
      <c r="CD28" s="83">
        <f>'Payroll Verisma'!CD10+'Payroll MRO'!CD10</f>
        <v>384</v>
      </c>
      <c r="CE28" s="83">
        <f>'Payroll Verisma'!CE10+'Payroll MRO'!CE10</f>
        <v>60</v>
      </c>
      <c r="CF28" s="83">
        <f>'Payroll Verisma'!CF10+'Payroll MRO'!CF10</f>
        <v>7</v>
      </c>
      <c r="CG28" s="83">
        <f>'Payroll Verisma'!CG10+'Payroll MRO'!CG10</f>
        <v>0</v>
      </c>
      <c r="CH28" s="83">
        <f>'Payroll Verisma'!CH10+'Payroll MRO'!CH10</f>
        <v>57</v>
      </c>
      <c r="CI28" s="83">
        <f>'Payroll Verisma'!CI10+'Payroll MRO'!CI10</f>
        <v>0</v>
      </c>
      <c r="CJ28" s="83">
        <f>'Payroll Verisma'!CJ10+'Payroll MRO'!CJ10</f>
        <v>180</v>
      </c>
      <c r="CK28" s="83">
        <f>'Payroll Verisma'!CK10+'Payroll MRO'!CK10</f>
        <v>0</v>
      </c>
      <c r="CL28" s="83">
        <f>'Payroll Verisma'!CL10+'Payroll MRO'!CL10</f>
        <v>55</v>
      </c>
      <c r="CM28" s="83">
        <f>'Payroll Verisma'!CM10+'Payroll MRO'!CM10</f>
        <v>0</v>
      </c>
      <c r="CN28" s="83">
        <f>'Payroll Verisma'!CN10+'Payroll MRO'!CN10</f>
        <v>47</v>
      </c>
      <c r="CO28" s="83">
        <f>'Payroll Verisma'!CO10+'Payroll MRO'!CO10</f>
        <v>0</v>
      </c>
      <c r="CP28" s="83">
        <f>'Payroll Verisma'!CP10+'Payroll MRO'!CP10</f>
        <v>0</v>
      </c>
      <c r="CQ28" s="83">
        <f>'Payroll Verisma'!CQ10+'Payroll MRO'!CQ10</f>
        <v>0</v>
      </c>
      <c r="CR28" s="83">
        <f>'Payroll Verisma'!CR10+'Payroll MRO'!CR10</f>
        <v>0</v>
      </c>
      <c r="CS28" s="83">
        <f>'Payroll Verisma'!CS10+'Payroll MRO'!CS10</f>
        <v>2</v>
      </c>
      <c r="CT28" s="83">
        <f>'Payroll Verisma'!CT10+'Payroll MRO'!CT10</f>
        <v>30</v>
      </c>
      <c r="CU28" s="83">
        <f>'Payroll Verisma'!CU10+'Payroll MRO'!CU10</f>
        <v>50</v>
      </c>
      <c r="CV28" s="83">
        <f>'Payroll Verisma'!CV10+'Payroll MRO'!CV10</f>
        <v>0</v>
      </c>
      <c r="CW28" s="83">
        <f>'Payroll Verisma'!CW10+'Payroll MRO'!CW10</f>
        <v>0</v>
      </c>
      <c r="CX28" s="83">
        <f>'Payroll Verisma'!CX10+'Payroll MRO'!CX10</f>
        <v>0</v>
      </c>
      <c r="CY28" s="83">
        <f>'Payroll Verisma'!CY10+'Payroll MRO'!CY10</f>
        <v>100</v>
      </c>
      <c r="CZ28" s="83">
        <f>'Payroll Verisma'!CZ10+'Payroll MRO'!CZ10</f>
        <v>5</v>
      </c>
      <c r="DA28" s="83">
        <f>'Payroll Verisma'!DA10+'Payroll MRO'!DA10</f>
        <v>52</v>
      </c>
      <c r="DB28" s="83">
        <f>'Payroll Verisma'!DB10+'Payroll MRO'!DB10</f>
        <v>0</v>
      </c>
      <c r="DC28" s="83">
        <f>'Payroll Verisma'!DC10+'Payroll MRO'!DC10</f>
        <v>0</v>
      </c>
      <c r="DD28" s="83">
        <f>'Payroll Verisma'!DD10+'Payroll MRO'!DD10</f>
        <v>40</v>
      </c>
      <c r="DE28" s="83">
        <f>'Payroll Verisma'!DE10+'Payroll MRO'!DE10</f>
        <v>0</v>
      </c>
      <c r="DF28" s="83">
        <f>'Payroll Verisma'!DF10+'Payroll MRO'!DF10</f>
        <v>0</v>
      </c>
      <c r="DG28" s="83">
        <f>'Payroll Verisma'!DG10+'Payroll MRO'!DG10</f>
        <v>12</v>
      </c>
      <c r="DH28" s="83">
        <f>'Payroll Verisma'!DH10+'Payroll MRO'!DH10</f>
        <v>18</v>
      </c>
      <c r="DI28" s="83">
        <f>'Payroll Verisma'!DI10+'Payroll MRO'!DI10</f>
        <v>107</v>
      </c>
      <c r="DJ28" s="83">
        <f>'Payroll Verisma'!DJ10+'Payroll MRO'!DJ10</f>
        <v>0</v>
      </c>
      <c r="DK28" s="83">
        <f>'Payroll Verisma'!DK10+'Payroll MRO'!DK10</f>
        <v>206</v>
      </c>
      <c r="DL28" s="83">
        <f>'Payroll Verisma'!DL10+'Payroll MRO'!DL10</f>
        <v>16</v>
      </c>
      <c r="DM28" s="83">
        <f>'Payroll Verisma'!DM10+'Payroll MRO'!DM10</f>
        <v>0</v>
      </c>
      <c r="DN28" s="83">
        <f>'Payroll Verisma'!DN10+'Payroll MRO'!DN10</f>
        <v>103</v>
      </c>
      <c r="DO28" s="83">
        <f>'Payroll Verisma'!DO10+'Payroll MRO'!DO10</f>
        <v>7</v>
      </c>
      <c r="DP28" s="83">
        <f>'Payroll Verisma'!DP10+'Payroll MRO'!DP10</f>
        <v>8</v>
      </c>
      <c r="DQ28" s="83">
        <f>'Payroll Verisma'!DQ10+'Payroll MRO'!DQ10</f>
        <v>46</v>
      </c>
      <c r="DR28" s="83">
        <f>'Payroll Verisma'!DR10+'Payroll MRO'!DR10</f>
        <v>68</v>
      </c>
      <c r="DS28" s="83">
        <f>'Payroll Verisma'!DS10+'Payroll MRO'!DS10</f>
        <v>42</v>
      </c>
      <c r="DT28" s="83">
        <f>'Payroll Verisma'!DT10+'Payroll MRO'!DT10</f>
        <v>51</v>
      </c>
      <c r="DU28" s="83">
        <f>'Payroll Verisma'!DU10+'Payroll MRO'!DU10</f>
        <v>22</v>
      </c>
      <c r="DV28" s="83">
        <f>'Payroll Verisma'!DV10+'Payroll MRO'!DV10</f>
        <v>0</v>
      </c>
      <c r="DW28" s="83">
        <f>'Payroll Verisma'!DW10+'Payroll MRO'!DW10</f>
        <v>0</v>
      </c>
      <c r="DX28" s="83">
        <f>'Payroll Verisma'!DX10+'Payroll MRO'!DX10</f>
        <v>22</v>
      </c>
      <c r="DY28" s="83">
        <f>'Payroll Verisma'!DY10+'Payroll MRO'!DY10</f>
        <v>46</v>
      </c>
      <c r="DZ28" s="83">
        <f>'Payroll Verisma'!DZ10+'Payroll MRO'!DZ10</f>
        <v>172</v>
      </c>
      <c r="EA28" s="83">
        <f>'Payroll Verisma'!EA10+'Payroll MRO'!EA10</f>
        <v>0</v>
      </c>
      <c r="EB28" s="83">
        <f>'Payroll Verisma'!EB10+'Payroll MRO'!EB10</f>
        <v>36</v>
      </c>
      <c r="EC28" s="83">
        <f>'Payroll Verisma'!EC10+'Payroll MRO'!EC10</f>
        <v>0</v>
      </c>
      <c r="ED28" s="83">
        <f>'Payroll Verisma'!ED10+'Payroll MRO'!ED10</f>
        <v>111</v>
      </c>
      <c r="EE28" s="83">
        <f>'Payroll Verisma'!EE10+'Payroll MRO'!EE10</f>
        <v>0</v>
      </c>
      <c r="EF28" s="83">
        <f>'Payroll Verisma'!EF10+'Payroll MRO'!EF10</f>
        <v>84</v>
      </c>
      <c r="EG28" s="83">
        <f>'Payroll Verisma'!EG10+'Payroll MRO'!EG10</f>
        <v>0</v>
      </c>
      <c r="EH28" s="83">
        <f>'Payroll Verisma'!EH10+'Payroll MRO'!EH10</f>
        <v>0</v>
      </c>
      <c r="EI28" s="83">
        <f>'Payroll Verisma'!EI10+'Payroll MRO'!EI10</f>
        <v>84</v>
      </c>
      <c r="EJ28" s="83">
        <f>'Payroll Verisma'!EJ10+'Payroll MRO'!EJ10</f>
        <v>33</v>
      </c>
      <c r="EK28" s="83">
        <f>'Payroll Verisma'!EK10+'Payroll MRO'!EK10</f>
        <v>10</v>
      </c>
      <c r="EL28" s="83">
        <f>'Payroll Verisma'!EL10+'Payroll MRO'!EL10</f>
        <v>74</v>
      </c>
      <c r="EM28" s="83">
        <f>'Payroll Verisma'!EM10+'Payroll MRO'!EM10</f>
        <v>64</v>
      </c>
      <c r="EN28" s="83">
        <f>'Payroll Verisma'!EN10+'Payroll MRO'!EN10</f>
        <v>0</v>
      </c>
      <c r="EO28" s="83">
        <f>'Payroll Verisma'!EO10+'Payroll MRO'!EO10</f>
        <v>27</v>
      </c>
      <c r="EP28" s="83">
        <f>'Payroll Verisma'!EP10+'Payroll MRO'!EP10</f>
        <v>32</v>
      </c>
      <c r="EQ28" s="83">
        <f>'Payroll Verisma'!EQ10+'Payroll MRO'!EQ10</f>
        <v>22</v>
      </c>
      <c r="ER28" s="83">
        <f>'Payroll Verisma'!ER10+'Payroll MRO'!ER10</f>
        <v>0</v>
      </c>
      <c r="ES28" s="83">
        <f>'Payroll Verisma'!ES10+'Payroll MRO'!ES10</f>
        <v>0</v>
      </c>
      <c r="ET28" s="83">
        <f>'Payroll Verisma'!ET10+'Payroll MRO'!ET10</f>
        <v>39</v>
      </c>
      <c r="EU28" s="83">
        <f>'Payroll Verisma'!EU10+'Payroll MRO'!EU10</f>
        <v>56</v>
      </c>
      <c r="EV28" s="83">
        <f>'Payroll Verisma'!EV10+'Payroll MRO'!EV10</f>
        <v>64</v>
      </c>
      <c r="EW28" s="83">
        <f>'Payroll Verisma'!EW10+'Payroll MRO'!EW10</f>
        <v>20</v>
      </c>
      <c r="EX28" s="83">
        <f>'Payroll Verisma'!EX10+'Payroll MRO'!EX10</f>
        <v>31</v>
      </c>
      <c r="EY28" s="83">
        <f>'Payroll Verisma'!EY10+'Payroll MRO'!EY10</f>
        <v>29</v>
      </c>
      <c r="EZ28" s="83">
        <f>'Payroll Verisma'!EZ10+'Payroll MRO'!EZ10</f>
        <v>6</v>
      </c>
      <c r="FA28" s="83">
        <f>'Payroll Verisma'!FA10+'Payroll MRO'!FA10</f>
        <v>0</v>
      </c>
      <c r="FB28" s="83">
        <f>'Payroll Verisma'!FB10+'Payroll MRO'!FB10</f>
        <v>7</v>
      </c>
      <c r="FC28" s="83">
        <f>'Payroll Verisma'!FC10+'Payroll MRO'!FC10</f>
        <v>0</v>
      </c>
      <c r="FD28" s="83">
        <f>'Payroll Verisma'!FD10+'Payroll MRO'!FD10</f>
        <v>20</v>
      </c>
      <c r="FE28" s="83">
        <f>'Payroll Verisma'!FE10+'Payroll MRO'!FE10</f>
        <v>0</v>
      </c>
      <c r="FF28" s="83">
        <f>'Payroll Verisma'!FF10+'Payroll MRO'!FF10</f>
        <v>20</v>
      </c>
      <c r="FG28" s="83">
        <f>'Payroll Verisma'!FG10+'Payroll MRO'!FG10</f>
        <v>0</v>
      </c>
      <c r="FH28" s="83">
        <f>'Payroll Verisma'!FH10+'Payroll MRO'!FH10</f>
        <v>131</v>
      </c>
      <c r="FI28" s="83">
        <f>'Payroll Verisma'!FI10+'Payroll MRO'!FI10</f>
        <v>22</v>
      </c>
      <c r="FJ28" s="83">
        <f>'Payroll Verisma'!FJ10+'Payroll MRO'!FJ10</f>
        <v>0</v>
      </c>
      <c r="FK28" s="83">
        <f>'Payroll Verisma'!FK10+'Payroll MRO'!FK10</f>
        <v>19</v>
      </c>
      <c r="FL28" s="83">
        <f>'Payroll Verisma'!FL10+'Payroll MRO'!FL10</f>
        <v>0</v>
      </c>
      <c r="FM28" s="83">
        <f>'Payroll Verisma'!FM10+'Payroll MRO'!FM10</f>
        <v>0</v>
      </c>
      <c r="FN28" s="83">
        <f>'Payroll Verisma'!FN10+'Payroll MRO'!FN10</f>
        <v>32</v>
      </c>
      <c r="FO28" s="83">
        <f>'Payroll Verisma'!FO10+'Payroll MRO'!FO10</f>
        <v>46</v>
      </c>
      <c r="FP28" s="83">
        <f>'Payroll Verisma'!FP10+'Payroll MRO'!FP10</f>
        <v>50</v>
      </c>
      <c r="FQ28" s="83">
        <f>'Payroll Verisma'!FQ10+'Payroll MRO'!FQ10</f>
        <v>102</v>
      </c>
      <c r="FR28" s="83">
        <f>'Payroll Verisma'!FR10+'Payroll MRO'!FR10</f>
        <v>0</v>
      </c>
      <c r="FS28" s="83">
        <f>'Payroll Verisma'!FS10+'Payroll MRO'!FS10</f>
        <v>17</v>
      </c>
      <c r="FT28" s="83">
        <f>'Payroll Verisma'!FT10+'Payroll MRO'!FT10</f>
        <v>19</v>
      </c>
      <c r="FU28" s="83">
        <f>'Payroll Verisma'!FU10+'Payroll MRO'!FU10</f>
        <v>0</v>
      </c>
      <c r="FV28" s="83">
        <f>'Payroll Verisma'!FV10+'Payroll MRO'!FV10</f>
        <v>0</v>
      </c>
      <c r="FW28" s="83">
        <f>'Payroll Verisma'!FW10+'Payroll MRO'!FW10</f>
        <v>0</v>
      </c>
      <c r="FX28" s="83">
        <f>'Payroll Verisma'!FX10+'Payroll MRO'!FX10</f>
        <v>0</v>
      </c>
      <c r="FY28" s="83">
        <f>'Payroll Verisma'!FY10+'Payroll MRO'!FY10</f>
        <v>0</v>
      </c>
      <c r="FZ28" s="83">
        <f>'Payroll Verisma'!FZ10+'Payroll MRO'!FZ10</f>
        <v>37</v>
      </c>
      <c r="GA28" s="83">
        <f>'Payroll Verisma'!GA10+'Payroll MRO'!GA10</f>
        <v>0</v>
      </c>
      <c r="GB28" s="83">
        <f>'Payroll Verisma'!GB10+'Payroll MRO'!GB10</f>
        <v>62</v>
      </c>
      <c r="GC28" s="83">
        <f>'Payroll Verisma'!GC10+'Payroll MRO'!GC10</f>
        <v>0</v>
      </c>
      <c r="GD28" s="83">
        <f>'Payroll Verisma'!GD10+'Payroll MRO'!GD10</f>
        <v>47</v>
      </c>
      <c r="GE28" s="83">
        <f>'Payroll Verisma'!GE10+'Payroll MRO'!GE10</f>
        <v>58</v>
      </c>
      <c r="GF28" s="83">
        <f>'Payroll Verisma'!GF10+'Payroll MRO'!GF10</f>
        <v>0</v>
      </c>
      <c r="GG28" s="83">
        <f>'Payroll Verisma'!GG10+'Payroll MRO'!GG10</f>
        <v>58</v>
      </c>
      <c r="GH28" s="83">
        <f>'Payroll Verisma'!GH10+'Payroll MRO'!GH10</f>
        <v>9</v>
      </c>
      <c r="GI28" s="83">
        <f>'Payroll Verisma'!GI10+'Payroll MRO'!GI10</f>
        <v>21</v>
      </c>
      <c r="GJ28" s="83">
        <f>'Payroll Verisma'!GJ10+'Payroll MRO'!GJ10</f>
        <v>80</v>
      </c>
      <c r="GK28" s="83">
        <f>'Payroll Verisma'!GK10+'Payroll MRO'!GK10</f>
        <v>75</v>
      </c>
      <c r="GL28" s="83">
        <f>'Payroll Verisma'!GL10+'Payroll MRO'!GL10</f>
        <v>68</v>
      </c>
      <c r="GM28" s="83">
        <f>'Payroll Verisma'!GM10+'Payroll MRO'!GM10</f>
        <v>158</v>
      </c>
      <c r="GN28" s="83">
        <f>'Payroll Verisma'!GN10+'Payroll MRO'!GN10</f>
        <v>43</v>
      </c>
      <c r="GO28" s="83">
        <f>'Payroll Verisma'!GO10+'Payroll MRO'!GO10</f>
        <v>64</v>
      </c>
      <c r="GP28" s="83">
        <f>'Payroll Verisma'!GP10+'Payroll MRO'!GP10</f>
        <v>58</v>
      </c>
      <c r="GQ28" s="83">
        <f>'Payroll Verisma'!GQ10+'Payroll MRO'!GQ10</f>
        <v>0</v>
      </c>
      <c r="GR28" s="83">
        <f>'Payroll Verisma'!GR10+'Payroll MRO'!GR10</f>
        <v>31</v>
      </c>
    </row>
    <row r="29" spans="1:200" ht="15.6">
      <c r="A29" s="81">
        <f t="shared" si="83"/>
        <v>46031</v>
      </c>
      <c r="B29" s="82" t="str">
        <f t="shared" si="82"/>
        <v>Fri</v>
      </c>
      <c r="C29" s="75">
        <f t="shared" si="81"/>
        <v>5539</v>
      </c>
      <c r="D29" s="83">
        <f>'Payroll Verisma'!D11+'Payroll MRO'!D11</f>
        <v>0</v>
      </c>
      <c r="E29" s="83">
        <f>'Payroll Verisma'!E11+'Payroll MRO'!E11</f>
        <v>0</v>
      </c>
      <c r="F29" s="83">
        <f>'Payroll Verisma'!F11+'Payroll MRO'!F11</f>
        <v>0</v>
      </c>
      <c r="G29" s="83">
        <f>'Payroll Verisma'!G11+'Payroll MRO'!G11</f>
        <v>0</v>
      </c>
      <c r="H29" s="83">
        <f>'Payroll Verisma'!H11+'Payroll MRO'!H11</f>
        <v>35</v>
      </c>
      <c r="I29" s="83">
        <f>'Payroll Verisma'!I11+'Payroll MRO'!I11</f>
        <v>97</v>
      </c>
      <c r="J29" s="83">
        <f>'Payroll Verisma'!J11+'Payroll MRO'!J11</f>
        <v>0</v>
      </c>
      <c r="K29" s="83">
        <f>'Payroll Verisma'!K11+'Payroll MRO'!K11</f>
        <v>0</v>
      </c>
      <c r="L29" s="83">
        <f>'Payroll Verisma'!L11+'Payroll MRO'!L11</f>
        <v>0</v>
      </c>
      <c r="M29" s="83">
        <f>'Payroll Verisma'!M11+'Payroll MRO'!M11</f>
        <v>0</v>
      </c>
      <c r="N29" s="83">
        <f>'Payroll Verisma'!N11+'Payroll MRO'!N11</f>
        <v>69</v>
      </c>
      <c r="O29" s="83">
        <f>'Payroll Verisma'!O11+'Payroll MRO'!O11</f>
        <v>75</v>
      </c>
      <c r="P29" s="83">
        <f>'Payroll Verisma'!P11+'Payroll MRO'!P11</f>
        <v>12</v>
      </c>
      <c r="Q29" s="83">
        <f>'Payroll Verisma'!Q11+'Payroll MRO'!Q11</f>
        <v>48</v>
      </c>
      <c r="R29" s="83">
        <f>'Payroll Verisma'!R11+'Payroll MRO'!R11</f>
        <v>75</v>
      </c>
      <c r="S29" s="83">
        <f>'Payroll Verisma'!S11+'Payroll MRO'!S11</f>
        <v>56</v>
      </c>
      <c r="T29" s="83">
        <f>'Payroll Verisma'!T11+'Payroll MRO'!T11</f>
        <v>144</v>
      </c>
      <c r="U29" s="83">
        <f>'Payroll Verisma'!U11+'Payroll MRO'!U11</f>
        <v>6</v>
      </c>
      <c r="V29" s="83">
        <f>'Payroll Verisma'!V11+'Payroll MRO'!V11</f>
        <v>40</v>
      </c>
      <c r="W29" s="83">
        <f>'Payroll Verisma'!W11+'Payroll MRO'!W11</f>
        <v>0</v>
      </c>
      <c r="X29" s="83">
        <f>'Payroll Verisma'!X11+'Payroll MRO'!X11</f>
        <v>0</v>
      </c>
      <c r="Y29" s="83">
        <f>'Payroll Verisma'!Y11+'Payroll MRO'!Y11</f>
        <v>60</v>
      </c>
      <c r="Z29" s="83">
        <f>'Payroll Verisma'!Z11+'Payroll MRO'!Z11</f>
        <v>51</v>
      </c>
      <c r="AA29" s="83">
        <f>'Payroll Verisma'!AA11+'Payroll MRO'!AA11</f>
        <v>28</v>
      </c>
      <c r="AB29" s="83">
        <f>'Payroll Verisma'!AB11+'Payroll MRO'!AB11</f>
        <v>24</v>
      </c>
      <c r="AC29" s="83">
        <f>'Payroll Verisma'!AC11+'Payroll MRO'!AC11</f>
        <v>0</v>
      </c>
      <c r="AD29" s="83">
        <f>'Payroll Verisma'!AD11+'Payroll MRO'!AD11</f>
        <v>51</v>
      </c>
      <c r="AE29" s="83">
        <f>'Payroll Verisma'!AE11+'Payroll MRO'!AE11</f>
        <v>0</v>
      </c>
      <c r="AF29" s="83">
        <f>'Payroll Verisma'!AF11+'Payroll MRO'!AF11</f>
        <v>0</v>
      </c>
      <c r="AG29" s="83">
        <f>'Payroll Verisma'!AG11+'Payroll MRO'!AG11</f>
        <v>50</v>
      </c>
      <c r="AH29" s="83">
        <f>'Payroll Verisma'!AH11+'Payroll MRO'!AH11</f>
        <v>0</v>
      </c>
      <c r="AI29" s="83">
        <f>'Payroll Verisma'!AI11+'Payroll MRO'!AI11</f>
        <v>0</v>
      </c>
      <c r="AJ29" s="83">
        <f>'Payroll Verisma'!AJ11+'Payroll MRO'!AJ11</f>
        <v>0</v>
      </c>
      <c r="AK29" s="83">
        <f>'Payroll Verisma'!AK11+'Payroll MRO'!AK11</f>
        <v>0</v>
      </c>
      <c r="AL29" s="83">
        <f>'Payroll Verisma'!AL11+'Payroll MRO'!AL11</f>
        <v>0</v>
      </c>
      <c r="AM29" s="83">
        <f>'Payroll Verisma'!AM11+'Payroll MRO'!AM11</f>
        <v>0</v>
      </c>
      <c r="AN29" s="83">
        <f>'Payroll Verisma'!AN11+'Payroll MRO'!AN11</f>
        <v>20</v>
      </c>
      <c r="AO29" s="83">
        <f>'Payroll Verisma'!AO11+'Payroll MRO'!AO11</f>
        <v>0</v>
      </c>
      <c r="AP29" s="83">
        <f>'Payroll Verisma'!AP11+'Payroll MRO'!AP11</f>
        <v>10</v>
      </c>
      <c r="AQ29" s="83">
        <f>'Payroll Verisma'!AQ11+'Payroll MRO'!AQ11</f>
        <v>0</v>
      </c>
      <c r="AR29" s="83">
        <f>'Payroll Verisma'!AR11+'Payroll MRO'!AR11</f>
        <v>0</v>
      </c>
      <c r="AS29" s="83">
        <f>'Payroll Verisma'!AS11+'Payroll MRO'!AS11</f>
        <v>0</v>
      </c>
      <c r="AT29" s="83">
        <f>'Payroll Verisma'!AT11+'Payroll MRO'!AT11</f>
        <v>40</v>
      </c>
      <c r="AU29" s="83">
        <f>'Payroll Verisma'!AU11+'Payroll MRO'!AU11</f>
        <v>44</v>
      </c>
      <c r="AV29" s="83">
        <f>'Payroll Verisma'!AV11+'Payroll MRO'!AV11</f>
        <v>9</v>
      </c>
      <c r="AW29" s="83">
        <f>'Payroll Verisma'!AW11+'Payroll MRO'!AW11</f>
        <v>42</v>
      </c>
      <c r="AX29" s="83">
        <f>'Payroll Verisma'!AX11+'Payroll MRO'!AX11</f>
        <v>49</v>
      </c>
      <c r="AY29" s="83">
        <f>'Payroll Verisma'!AY11+'Payroll MRO'!AY11</f>
        <v>0</v>
      </c>
      <c r="AZ29" s="83">
        <f>'Payroll Verisma'!AZ11+'Payroll MRO'!AZ11</f>
        <v>3</v>
      </c>
      <c r="BA29" s="83">
        <f>'Payroll Verisma'!BA11+'Payroll MRO'!BA11</f>
        <v>60</v>
      </c>
      <c r="BB29" s="83">
        <f>'Payroll Verisma'!BB11+'Payroll MRO'!BB11</f>
        <v>90</v>
      </c>
      <c r="BC29" s="83">
        <f>'Payroll Verisma'!BC11+'Payroll MRO'!BC11</f>
        <v>0</v>
      </c>
      <c r="BD29" s="83">
        <f>'Payroll Verisma'!BD11+'Payroll MRO'!BD11</f>
        <v>95</v>
      </c>
      <c r="BE29" s="83">
        <f>'Payroll Verisma'!BE11+'Payroll MRO'!BE11</f>
        <v>17</v>
      </c>
      <c r="BF29" s="83">
        <f>'Payroll Verisma'!BF11+'Payroll MRO'!BF11</f>
        <v>0</v>
      </c>
      <c r="BG29" s="83">
        <f>'Payroll Verisma'!BG11+'Payroll MRO'!BG11</f>
        <v>18</v>
      </c>
      <c r="BH29" s="83">
        <f>'Payroll Verisma'!BH11+'Payroll MRO'!BH11</f>
        <v>25</v>
      </c>
      <c r="BI29" s="83">
        <f>'Payroll Verisma'!BI11+'Payroll MRO'!BI11</f>
        <v>52</v>
      </c>
      <c r="BJ29" s="83">
        <f>'Payroll Verisma'!BJ11+'Payroll MRO'!BJ11</f>
        <v>0</v>
      </c>
      <c r="BK29" s="83">
        <f>'Payroll Verisma'!BK11+'Payroll MRO'!BK11</f>
        <v>0</v>
      </c>
      <c r="BL29" s="83">
        <f>'Payroll Verisma'!BL11+'Payroll MRO'!BL11</f>
        <v>50</v>
      </c>
      <c r="BM29" s="83">
        <f>'Payroll Verisma'!BM11+'Payroll MRO'!BM11</f>
        <v>0</v>
      </c>
      <c r="BN29" s="83">
        <f>'Payroll Verisma'!BN11+'Payroll MRO'!BN11</f>
        <v>0</v>
      </c>
      <c r="BO29" s="83">
        <f>'Payroll Verisma'!BO11+'Payroll MRO'!BO11</f>
        <v>7</v>
      </c>
      <c r="BP29" s="83">
        <f>'Payroll Verisma'!BP11+'Payroll MRO'!BP11</f>
        <v>43</v>
      </c>
      <c r="BQ29" s="83">
        <f>'Payroll Verisma'!BQ11+'Payroll MRO'!BQ11</f>
        <v>0</v>
      </c>
      <c r="BR29" s="83">
        <f>'Payroll Verisma'!BR11+'Payroll MRO'!BR11</f>
        <v>0</v>
      </c>
      <c r="BS29" s="83">
        <f>'Payroll Verisma'!BS11+'Payroll MRO'!BS11</f>
        <v>15</v>
      </c>
      <c r="BT29" s="83">
        <f>'Payroll Verisma'!BT11+'Payroll MRO'!BT11</f>
        <v>0</v>
      </c>
      <c r="BU29" s="83">
        <f>'Payroll Verisma'!BU11+'Payroll MRO'!BU11</f>
        <v>43</v>
      </c>
      <c r="BV29" s="83">
        <f>'Payroll Verisma'!BV11+'Payroll MRO'!BV11</f>
        <v>29</v>
      </c>
      <c r="BW29" s="83">
        <f>'Payroll Verisma'!BW11+'Payroll MRO'!BW11</f>
        <v>38</v>
      </c>
      <c r="BX29" s="83">
        <f>'Payroll Verisma'!BX11+'Payroll MRO'!BX11</f>
        <v>0</v>
      </c>
      <c r="BY29" s="83">
        <f>'Payroll Verisma'!BY11+'Payroll MRO'!BY11</f>
        <v>0</v>
      </c>
      <c r="BZ29" s="83">
        <f>'Payroll Verisma'!BZ11+'Payroll MRO'!BZ11</f>
        <v>0</v>
      </c>
      <c r="CA29" s="83">
        <f>'Payroll Verisma'!CA11+'Payroll MRO'!CA11</f>
        <v>61</v>
      </c>
      <c r="CB29" s="83">
        <f>'Payroll Verisma'!CB11+'Payroll MRO'!CB11</f>
        <v>59</v>
      </c>
      <c r="CC29" s="83">
        <f>'Payroll Verisma'!CC11+'Payroll MRO'!CC11</f>
        <v>41</v>
      </c>
      <c r="CD29" s="83">
        <f>'Payroll Verisma'!CD11+'Payroll MRO'!CD11</f>
        <v>251</v>
      </c>
      <c r="CE29" s="83">
        <f>'Payroll Verisma'!CE11+'Payroll MRO'!CE11</f>
        <v>28</v>
      </c>
      <c r="CF29" s="83">
        <f>'Payroll Verisma'!CF11+'Payroll MRO'!CF11</f>
        <v>0</v>
      </c>
      <c r="CG29" s="83">
        <f>'Payroll Verisma'!CG11+'Payroll MRO'!CG11</f>
        <v>0</v>
      </c>
      <c r="CH29" s="83">
        <f>'Payroll Verisma'!CH11+'Payroll MRO'!CH11</f>
        <v>39</v>
      </c>
      <c r="CI29" s="83">
        <f>'Payroll Verisma'!CI11+'Payroll MRO'!CI11</f>
        <v>0</v>
      </c>
      <c r="CJ29" s="83">
        <f>'Payroll Verisma'!CJ11+'Payroll MRO'!CJ11</f>
        <v>127</v>
      </c>
      <c r="CK29" s="83">
        <f>'Payroll Verisma'!CK11+'Payroll MRO'!CK11</f>
        <v>0</v>
      </c>
      <c r="CL29" s="83">
        <f>'Payroll Verisma'!CL11+'Payroll MRO'!CL11</f>
        <v>20</v>
      </c>
      <c r="CM29" s="83">
        <f>'Payroll Verisma'!CM11+'Payroll MRO'!CM11</f>
        <v>0</v>
      </c>
      <c r="CN29" s="83">
        <f>'Payroll Verisma'!CN11+'Payroll MRO'!CN11</f>
        <v>41</v>
      </c>
      <c r="CO29" s="83">
        <f>'Payroll Verisma'!CO11+'Payroll MRO'!CO11</f>
        <v>0</v>
      </c>
      <c r="CP29" s="83">
        <f>'Payroll Verisma'!CP11+'Payroll MRO'!CP11</f>
        <v>0</v>
      </c>
      <c r="CQ29" s="83">
        <f>'Payroll Verisma'!CQ11+'Payroll MRO'!CQ11</f>
        <v>0</v>
      </c>
      <c r="CR29" s="83">
        <f>'Payroll Verisma'!CR11+'Payroll MRO'!CR11</f>
        <v>0</v>
      </c>
      <c r="CS29" s="83">
        <f>'Payroll Verisma'!CS11+'Payroll MRO'!CS11</f>
        <v>2</v>
      </c>
      <c r="CT29" s="83">
        <f>'Payroll Verisma'!CT11+'Payroll MRO'!CT11</f>
        <v>25</v>
      </c>
      <c r="CU29" s="83">
        <f>'Payroll Verisma'!CU11+'Payroll MRO'!CU11</f>
        <v>100</v>
      </c>
      <c r="CV29" s="83">
        <f>'Payroll Verisma'!CV11+'Payroll MRO'!CV11</f>
        <v>0</v>
      </c>
      <c r="CW29" s="83">
        <f>'Payroll Verisma'!CW11+'Payroll MRO'!CW11</f>
        <v>0</v>
      </c>
      <c r="CX29" s="83">
        <f>'Payroll Verisma'!CX11+'Payroll MRO'!CX11</f>
        <v>0</v>
      </c>
      <c r="CY29" s="83">
        <f>'Payroll Verisma'!CY11+'Payroll MRO'!CY11</f>
        <v>100</v>
      </c>
      <c r="CZ29" s="83">
        <f>'Payroll Verisma'!CZ11+'Payroll MRO'!CZ11</f>
        <v>0</v>
      </c>
      <c r="DA29" s="83">
        <f>'Payroll Verisma'!DA11+'Payroll MRO'!DA11</f>
        <v>58</v>
      </c>
      <c r="DB29" s="83">
        <f>'Payroll Verisma'!DB11+'Payroll MRO'!DB11</f>
        <v>0</v>
      </c>
      <c r="DC29" s="83">
        <f>'Payroll Verisma'!DC11+'Payroll MRO'!DC11</f>
        <v>0</v>
      </c>
      <c r="DD29" s="83">
        <f>'Payroll Verisma'!DD11+'Payroll MRO'!DD11</f>
        <v>30</v>
      </c>
      <c r="DE29" s="83">
        <f>'Payroll Verisma'!DE11+'Payroll MRO'!DE11</f>
        <v>30</v>
      </c>
      <c r="DF29" s="83">
        <f>'Payroll Verisma'!DF11+'Payroll MRO'!DF11</f>
        <v>0</v>
      </c>
      <c r="DG29" s="83">
        <f>'Payroll Verisma'!DG11+'Payroll MRO'!DG11</f>
        <v>9</v>
      </c>
      <c r="DH29" s="83">
        <f>'Payroll Verisma'!DH11+'Payroll MRO'!DH11</f>
        <v>21</v>
      </c>
      <c r="DI29" s="83">
        <f>'Payroll Verisma'!DI11+'Payroll MRO'!DI11</f>
        <v>89</v>
      </c>
      <c r="DJ29" s="83">
        <f>'Payroll Verisma'!DJ11+'Payroll MRO'!DJ11</f>
        <v>0</v>
      </c>
      <c r="DK29" s="83">
        <f>'Payroll Verisma'!DK11+'Payroll MRO'!DK11</f>
        <v>0</v>
      </c>
      <c r="DL29" s="83">
        <f>'Payroll Verisma'!DL11+'Payroll MRO'!DL11</f>
        <v>8</v>
      </c>
      <c r="DM29" s="83">
        <f>'Payroll Verisma'!DM11+'Payroll MRO'!DM11</f>
        <v>11</v>
      </c>
      <c r="DN29" s="83">
        <f>'Payroll Verisma'!DN11+'Payroll MRO'!DN11</f>
        <v>55</v>
      </c>
      <c r="DO29" s="83">
        <f>'Payroll Verisma'!DO11+'Payroll MRO'!DO11</f>
        <v>14</v>
      </c>
      <c r="DP29" s="83">
        <f>'Payroll Verisma'!DP11+'Payroll MRO'!DP11</f>
        <v>6</v>
      </c>
      <c r="DQ29" s="83">
        <f>'Payroll Verisma'!DQ11+'Payroll MRO'!DQ11</f>
        <v>46</v>
      </c>
      <c r="DR29" s="83">
        <f>'Payroll Verisma'!DR11+'Payroll MRO'!DR11</f>
        <v>84</v>
      </c>
      <c r="DS29" s="83">
        <f>'Payroll Verisma'!DS11+'Payroll MRO'!DS11</f>
        <v>32</v>
      </c>
      <c r="DT29" s="83">
        <f>'Payroll Verisma'!DT11+'Payroll MRO'!DT11</f>
        <v>45</v>
      </c>
      <c r="DU29" s="83">
        <f>'Payroll Verisma'!DU11+'Payroll MRO'!DU11</f>
        <v>0</v>
      </c>
      <c r="DV29" s="83">
        <f>'Payroll Verisma'!DV11+'Payroll MRO'!DV11</f>
        <v>0</v>
      </c>
      <c r="DW29" s="83">
        <f>'Payroll Verisma'!DW11+'Payroll MRO'!DW11</f>
        <v>0</v>
      </c>
      <c r="DX29" s="83">
        <f>'Payroll Verisma'!DX11+'Payroll MRO'!DX11</f>
        <v>34</v>
      </c>
      <c r="DY29" s="83">
        <f>'Payroll Verisma'!DY11+'Payroll MRO'!DY11</f>
        <v>60</v>
      </c>
      <c r="DZ29" s="83">
        <f>'Payroll Verisma'!DZ11+'Payroll MRO'!DZ11</f>
        <v>239</v>
      </c>
      <c r="EA29" s="83">
        <f>'Payroll Verisma'!EA11+'Payroll MRO'!EA11</f>
        <v>0</v>
      </c>
      <c r="EB29" s="83">
        <f>'Payroll Verisma'!EB11+'Payroll MRO'!EB11</f>
        <v>45</v>
      </c>
      <c r="EC29" s="83">
        <f>'Payroll Verisma'!EC11+'Payroll MRO'!EC11</f>
        <v>1</v>
      </c>
      <c r="ED29" s="83">
        <f>'Payroll Verisma'!ED11+'Payroll MRO'!ED11</f>
        <v>78</v>
      </c>
      <c r="EE29" s="83">
        <f>'Payroll Verisma'!EE11+'Payroll MRO'!EE11</f>
        <v>0</v>
      </c>
      <c r="EF29" s="83">
        <f>'Payroll Verisma'!EF11+'Payroll MRO'!EF11</f>
        <v>71</v>
      </c>
      <c r="EG29" s="83">
        <f>'Payroll Verisma'!EG11+'Payroll MRO'!EG11</f>
        <v>0</v>
      </c>
      <c r="EH29" s="83">
        <f>'Payroll Verisma'!EH11+'Payroll MRO'!EH11</f>
        <v>0</v>
      </c>
      <c r="EI29" s="83">
        <f>'Payroll Verisma'!EI11+'Payroll MRO'!EI11</f>
        <v>46</v>
      </c>
      <c r="EJ29" s="83">
        <f>'Payroll Verisma'!EJ11+'Payroll MRO'!EJ11</f>
        <v>29</v>
      </c>
      <c r="EK29" s="83">
        <f>'Payroll Verisma'!EK11+'Payroll MRO'!EK11</f>
        <v>34</v>
      </c>
      <c r="EL29" s="83">
        <f>'Payroll Verisma'!EL11+'Payroll MRO'!EL11</f>
        <v>48</v>
      </c>
      <c r="EM29" s="83">
        <f>'Payroll Verisma'!EM11+'Payroll MRO'!EM11</f>
        <v>49</v>
      </c>
      <c r="EN29" s="83">
        <f>'Payroll Verisma'!EN11+'Payroll MRO'!EN11</f>
        <v>0</v>
      </c>
      <c r="EO29" s="83">
        <f>'Payroll Verisma'!EO11+'Payroll MRO'!EO11</f>
        <v>43</v>
      </c>
      <c r="EP29" s="83">
        <f>'Payroll Verisma'!EP11+'Payroll MRO'!EP11</f>
        <v>0</v>
      </c>
      <c r="EQ29" s="83">
        <f>'Payroll Verisma'!EQ11+'Payroll MRO'!EQ11</f>
        <v>10</v>
      </c>
      <c r="ER29" s="83">
        <f>'Payroll Verisma'!ER11+'Payroll MRO'!ER11</f>
        <v>0</v>
      </c>
      <c r="ES29" s="83">
        <f>'Payroll Verisma'!ES11+'Payroll MRO'!ES11</f>
        <v>0</v>
      </c>
      <c r="ET29" s="83">
        <f>'Payroll Verisma'!ET11+'Payroll MRO'!ET11</f>
        <v>56</v>
      </c>
      <c r="EU29" s="83">
        <f>'Payroll Verisma'!EU11+'Payroll MRO'!EU11</f>
        <v>62</v>
      </c>
      <c r="EV29" s="83">
        <f>'Payroll Verisma'!EV11+'Payroll MRO'!EV11</f>
        <v>49</v>
      </c>
      <c r="EW29" s="83">
        <f>'Payroll Verisma'!EW11+'Payroll MRO'!EW11</f>
        <v>47</v>
      </c>
      <c r="EX29" s="83">
        <f>'Payroll Verisma'!EX11+'Payroll MRO'!EX11</f>
        <v>36</v>
      </c>
      <c r="EY29" s="83">
        <f>'Payroll Verisma'!EY11+'Payroll MRO'!EY11</f>
        <v>0</v>
      </c>
      <c r="EZ29" s="83">
        <f>'Payroll Verisma'!EZ11+'Payroll MRO'!EZ11</f>
        <v>17</v>
      </c>
      <c r="FA29" s="83">
        <f>'Payroll Verisma'!FA11+'Payroll MRO'!FA11</f>
        <v>0</v>
      </c>
      <c r="FB29" s="83">
        <f>'Payroll Verisma'!FB11+'Payroll MRO'!FB11</f>
        <v>0</v>
      </c>
      <c r="FC29" s="83">
        <f>'Payroll Verisma'!FC11+'Payroll MRO'!FC11</f>
        <v>0</v>
      </c>
      <c r="FD29" s="83">
        <f>'Payroll Verisma'!FD11+'Payroll MRO'!FD11</f>
        <v>0</v>
      </c>
      <c r="FE29" s="83">
        <f>'Payroll Verisma'!FE11+'Payroll MRO'!FE11</f>
        <v>0</v>
      </c>
      <c r="FF29" s="83">
        <f>'Payroll Verisma'!FF11+'Payroll MRO'!FF11</f>
        <v>26</v>
      </c>
      <c r="FG29" s="83">
        <f>'Payroll Verisma'!FG11+'Payroll MRO'!FG11</f>
        <v>0</v>
      </c>
      <c r="FH29" s="83">
        <f>'Payroll Verisma'!FH11+'Payroll MRO'!FH11</f>
        <v>251</v>
      </c>
      <c r="FI29" s="83">
        <f>'Payroll Verisma'!FI11+'Payroll MRO'!FI11</f>
        <v>55</v>
      </c>
      <c r="FJ29" s="83">
        <f>'Payroll Verisma'!FJ11+'Payroll MRO'!FJ11</f>
        <v>0</v>
      </c>
      <c r="FK29" s="83">
        <f>'Payroll Verisma'!FK11+'Payroll MRO'!FK11</f>
        <v>44</v>
      </c>
      <c r="FL29" s="83">
        <f>'Payroll Verisma'!FL11+'Payroll MRO'!FL11</f>
        <v>0</v>
      </c>
      <c r="FM29" s="83">
        <f>'Payroll Verisma'!FM11+'Payroll MRO'!FM11</f>
        <v>0</v>
      </c>
      <c r="FN29" s="83">
        <f>'Payroll Verisma'!FN11+'Payroll MRO'!FN11</f>
        <v>0</v>
      </c>
      <c r="FO29" s="83">
        <f>'Payroll Verisma'!FO11+'Payroll MRO'!FO11</f>
        <v>0</v>
      </c>
      <c r="FP29" s="83">
        <f>'Payroll Verisma'!FP11+'Payroll MRO'!FP11</f>
        <v>23</v>
      </c>
      <c r="FQ29" s="83">
        <f>'Payroll Verisma'!FQ11+'Payroll MRO'!FQ11</f>
        <v>116</v>
      </c>
      <c r="FR29" s="83">
        <f>'Payroll Verisma'!FR11+'Payroll MRO'!FR11</f>
        <v>0</v>
      </c>
      <c r="FS29" s="83">
        <f>'Payroll Verisma'!FS11+'Payroll MRO'!FS11</f>
        <v>50</v>
      </c>
      <c r="FT29" s="83">
        <f>'Payroll Verisma'!FT11+'Payroll MRO'!FT11</f>
        <v>61</v>
      </c>
      <c r="FU29" s="83">
        <f>'Payroll Verisma'!FU11+'Payroll MRO'!FU11</f>
        <v>0</v>
      </c>
      <c r="FV29" s="83">
        <f>'Payroll Verisma'!FV11+'Payroll MRO'!FV11</f>
        <v>0</v>
      </c>
      <c r="FW29" s="83">
        <f>'Payroll Verisma'!FW11+'Payroll MRO'!FW11</f>
        <v>0</v>
      </c>
      <c r="FX29" s="83">
        <f>'Payroll Verisma'!FX11+'Payroll MRO'!FX11</f>
        <v>0</v>
      </c>
      <c r="FY29" s="83">
        <f>'Payroll Verisma'!FY11+'Payroll MRO'!FY11</f>
        <v>0</v>
      </c>
      <c r="FZ29" s="83">
        <f>'Payroll Verisma'!FZ11+'Payroll MRO'!FZ11</f>
        <v>73</v>
      </c>
      <c r="GA29" s="83">
        <f>'Payroll Verisma'!GA11+'Payroll MRO'!GA11</f>
        <v>0</v>
      </c>
      <c r="GB29" s="83">
        <f>'Payroll Verisma'!GB11+'Payroll MRO'!GB11</f>
        <v>59</v>
      </c>
      <c r="GC29" s="83">
        <f>'Payroll Verisma'!GC11+'Payroll MRO'!GC11</f>
        <v>0</v>
      </c>
      <c r="GD29" s="83">
        <f>'Payroll Verisma'!GD11+'Payroll MRO'!GD11</f>
        <v>20</v>
      </c>
      <c r="GE29" s="83">
        <f>'Payroll Verisma'!GE11+'Payroll MRO'!GE11</f>
        <v>84</v>
      </c>
      <c r="GF29" s="83">
        <f>'Payroll Verisma'!GF11+'Payroll MRO'!GF11</f>
        <v>15</v>
      </c>
      <c r="GG29" s="83">
        <f>'Payroll Verisma'!GG11+'Payroll MRO'!GG11</f>
        <v>39</v>
      </c>
      <c r="GH29" s="83">
        <f>'Payroll Verisma'!GH11+'Payroll MRO'!GH11</f>
        <v>22</v>
      </c>
      <c r="GI29" s="83">
        <f>'Payroll Verisma'!GI11+'Payroll MRO'!GI11</f>
        <v>11</v>
      </c>
      <c r="GJ29" s="83">
        <f>'Payroll Verisma'!GJ11+'Payroll MRO'!GJ11</f>
        <v>66</v>
      </c>
      <c r="GK29" s="83">
        <f>'Payroll Verisma'!GK11+'Payroll MRO'!GK11</f>
        <v>60</v>
      </c>
      <c r="GL29" s="83">
        <f>'Payroll Verisma'!GL11+'Payroll MRO'!GL11</f>
        <v>37</v>
      </c>
      <c r="GM29" s="83">
        <f>'Payroll Verisma'!GM11+'Payroll MRO'!GM11</f>
        <v>73</v>
      </c>
      <c r="GN29" s="83">
        <f>'Payroll Verisma'!GN11+'Payroll MRO'!GN11</f>
        <v>21</v>
      </c>
      <c r="GO29" s="83">
        <f>'Payroll Verisma'!GO11+'Payroll MRO'!GO11</f>
        <v>46</v>
      </c>
      <c r="GP29" s="83">
        <f>'Payroll Verisma'!GP11+'Payroll MRO'!GP11</f>
        <v>50</v>
      </c>
      <c r="GQ29" s="83">
        <f>'Payroll Verisma'!GQ11+'Payroll MRO'!GQ11</f>
        <v>0</v>
      </c>
      <c r="GR29" s="83">
        <f>'Payroll Verisma'!GR11+'Payroll MRO'!GR11</f>
        <v>31</v>
      </c>
    </row>
    <row r="30" spans="1:200" ht="15.6">
      <c r="A30" s="81">
        <f t="shared" si="83"/>
        <v>46032</v>
      </c>
      <c r="B30" s="82" t="str">
        <f t="shared" si="82"/>
        <v>Sat</v>
      </c>
      <c r="C30" s="75">
        <f t="shared" si="81"/>
        <v>467</v>
      </c>
      <c r="D30" s="83">
        <f>'Payroll Verisma'!D12+'Payroll MRO'!D12</f>
        <v>0</v>
      </c>
      <c r="E30" s="83">
        <f>'Payroll Verisma'!E12+'Payroll MRO'!E12</f>
        <v>0</v>
      </c>
      <c r="F30" s="83">
        <f>'Payroll Verisma'!F12+'Payroll MRO'!F12</f>
        <v>0</v>
      </c>
      <c r="G30" s="83">
        <f>'Payroll Verisma'!G12+'Payroll MRO'!G12</f>
        <v>0</v>
      </c>
      <c r="H30" s="83">
        <f>'Payroll Verisma'!H12+'Payroll MRO'!H12</f>
        <v>0</v>
      </c>
      <c r="I30" s="83">
        <f>'Payroll Verisma'!I12+'Payroll MRO'!I12</f>
        <v>0</v>
      </c>
      <c r="J30" s="83">
        <f>'Payroll Verisma'!J12+'Payroll MRO'!J12</f>
        <v>0</v>
      </c>
      <c r="K30" s="83">
        <f>'Payroll Verisma'!K12+'Payroll MRO'!K12</f>
        <v>0</v>
      </c>
      <c r="L30" s="83">
        <f>'Payroll Verisma'!L12+'Payroll MRO'!L12</f>
        <v>0</v>
      </c>
      <c r="M30" s="83">
        <f>'Payroll Verisma'!M12+'Payroll MRO'!M12</f>
        <v>0</v>
      </c>
      <c r="N30" s="83">
        <f>'Payroll Verisma'!N12+'Payroll MRO'!N12</f>
        <v>0</v>
      </c>
      <c r="O30" s="83">
        <f>'Payroll Verisma'!O12+'Payroll MRO'!O12</f>
        <v>0</v>
      </c>
      <c r="P30" s="83">
        <f>'Payroll Verisma'!P12+'Payroll MRO'!P12</f>
        <v>0</v>
      </c>
      <c r="Q30" s="83">
        <f>'Payroll Verisma'!Q12+'Payroll MRO'!Q12</f>
        <v>0</v>
      </c>
      <c r="R30" s="83">
        <f>'Payroll Verisma'!R12+'Payroll MRO'!R12</f>
        <v>0</v>
      </c>
      <c r="S30" s="83">
        <f>'Payroll Verisma'!S12+'Payroll MRO'!S12</f>
        <v>0</v>
      </c>
      <c r="T30" s="83">
        <f>'Payroll Verisma'!T12+'Payroll MRO'!T12</f>
        <v>51</v>
      </c>
      <c r="U30" s="83">
        <f>'Payroll Verisma'!U12+'Payroll MRO'!U12</f>
        <v>0</v>
      </c>
      <c r="V30" s="83">
        <f>'Payroll Verisma'!V12+'Payroll MRO'!V12</f>
        <v>0</v>
      </c>
      <c r="W30" s="83">
        <f>'Payroll Verisma'!W12+'Payroll MRO'!W12</f>
        <v>0</v>
      </c>
      <c r="X30" s="83">
        <f>'Payroll Verisma'!X12+'Payroll MRO'!X12</f>
        <v>0</v>
      </c>
      <c r="Y30" s="83">
        <f>'Payroll Verisma'!Y12+'Payroll MRO'!Y12</f>
        <v>9</v>
      </c>
      <c r="Z30" s="83">
        <f>'Payroll Verisma'!Z12+'Payroll MRO'!Z12</f>
        <v>7</v>
      </c>
      <c r="AA30" s="83">
        <f>'Payroll Verisma'!AA12+'Payroll MRO'!AA12</f>
        <v>0</v>
      </c>
      <c r="AB30" s="83">
        <f>'Payroll Verisma'!AB12+'Payroll MRO'!AB12</f>
        <v>18</v>
      </c>
      <c r="AC30" s="83">
        <f>'Payroll Verisma'!AC12+'Payroll MRO'!AC12</f>
        <v>0</v>
      </c>
      <c r="AD30" s="83">
        <f>'Payroll Verisma'!AD12+'Payroll MRO'!AD12</f>
        <v>0</v>
      </c>
      <c r="AE30" s="83">
        <f>'Payroll Verisma'!AE12+'Payroll MRO'!AE12</f>
        <v>0</v>
      </c>
      <c r="AF30" s="83">
        <f>'Payroll Verisma'!AF12+'Payroll MRO'!AF12</f>
        <v>0</v>
      </c>
      <c r="AG30" s="83">
        <f>'Payroll Verisma'!AG12+'Payroll MRO'!AG12</f>
        <v>0</v>
      </c>
      <c r="AH30" s="83">
        <f>'Payroll Verisma'!AH12+'Payroll MRO'!AH12</f>
        <v>0</v>
      </c>
      <c r="AI30" s="83">
        <f>'Payroll Verisma'!AI12+'Payroll MRO'!AI12</f>
        <v>0</v>
      </c>
      <c r="AJ30" s="83">
        <f>'Payroll Verisma'!AJ12+'Payroll MRO'!AJ12</f>
        <v>0</v>
      </c>
      <c r="AK30" s="83">
        <f>'Payroll Verisma'!AK12+'Payroll MRO'!AK12</f>
        <v>0</v>
      </c>
      <c r="AL30" s="83">
        <f>'Payroll Verisma'!AL12+'Payroll MRO'!AL12</f>
        <v>0</v>
      </c>
      <c r="AM30" s="83">
        <f>'Payroll Verisma'!AM12+'Payroll MRO'!AM12</f>
        <v>0</v>
      </c>
      <c r="AN30" s="83">
        <f>'Payroll Verisma'!AN12+'Payroll MRO'!AN12</f>
        <v>0</v>
      </c>
      <c r="AO30" s="83">
        <f>'Payroll Verisma'!AO12+'Payroll MRO'!AO12</f>
        <v>0</v>
      </c>
      <c r="AP30" s="83">
        <f>'Payroll Verisma'!AP12+'Payroll MRO'!AP12</f>
        <v>0</v>
      </c>
      <c r="AQ30" s="83">
        <f>'Payroll Verisma'!AQ12+'Payroll MRO'!AQ12</f>
        <v>0</v>
      </c>
      <c r="AR30" s="83">
        <f>'Payroll Verisma'!AR12+'Payroll MRO'!AR12</f>
        <v>0</v>
      </c>
      <c r="AS30" s="83">
        <f>'Payroll Verisma'!AS12+'Payroll MRO'!AS12</f>
        <v>0</v>
      </c>
      <c r="AT30" s="83">
        <f>'Payroll Verisma'!AT12+'Payroll MRO'!AT12</f>
        <v>0</v>
      </c>
      <c r="AU30" s="83">
        <f>'Payroll Verisma'!AU12+'Payroll MRO'!AU12</f>
        <v>0</v>
      </c>
      <c r="AV30" s="83">
        <f>'Payroll Verisma'!AV12+'Payroll MRO'!AV12</f>
        <v>0</v>
      </c>
      <c r="AW30" s="83">
        <f>'Payroll Verisma'!AW12+'Payroll MRO'!AW12</f>
        <v>0</v>
      </c>
      <c r="AX30" s="83">
        <f>'Payroll Verisma'!AX12+'Payroll MRO'!AX12</f>
        <v>12</v>
      </c>
      <c r="AY30" s="83">
        <f>'Payroll Verisma'!AY12+'Payroll MRO'!AY12</f>
        <v>0</v>
      </c>
      <c r="AZ30" s="83">
        <f>'Payroll Verisma'!AZ12+'Payroll MRO'!AZ12</f>
        <v>0</v>
      </c>
      <c r="BA30" s="83">
        <f>'Payroll Verisma'!BA12+'Payroll MRO'!BA12</f>
        <v>0</v>
      </c>
      <c r="BB30" s="83">
        <f>'Payroll Verisma'!BB12+'Payroll MRO'!BB12</f>
        <v>0</v>
      </c>
      <c r="BC30" s="83">
        <f>'Payroll Verisma'!BC12+'Payroll MRO'!BC12</f>
        <v>0</v>
      </c>
      <c r="BD30" s="83">
        <f>'Payroll Verisma'!BD12+'Payroll MRO'!BD12</f>
        <v>0</v>
      </c>
      <c r="BE30" s="83">
        <f>'Payroll Verisma'!BE12+'Payroll MRO'!BE12</f>
        <v>0</v>
      </c>
      <c r="BF30" s="83">
        <f>'Payroll Verisma'!BF12+'Payroll MRO'!BF12</f>
        <v>0</v>
      </c>
      <c r="BG30" s="83">
        <f>'Payroll Verisma'!BG12+'Payroll MRO'!BG12</f>
        <v>0</v>
      </c>
      <c r="BH30" s="83">
        <f>'Payroll Verisma'!BH12+'Payroll MRO'!BH12</f>
        <v>0</v>
      </c>
      <c r="BI30" s="83">
        <f>'Payroll Verisma'!BI12+'Payroll MRO'!BI12</f>
        <v>0</v>
      </c>
      <c r="BJ30" s="83">
        <f>'Payroll Verisma'!BJ12+'Payroll MRO'!BJ12</f>
        <v>0</v>
      </c>
      <c r="BK30" s="83">
        <f>'Payroll Verisma'!BK12+'Payroll MRO'!BK12</f>
        <v>0</v>
      </c>
      <c r="BL30" s="83">
        <f>'Payroll Verisma'!BL12+'Payroll MRO'!BL12</f>
        <v>0</v>
      </c>
      <c r="BM30" s="83">
        <f>'Payroll Verisma'!BM12+'Payroll MRO'!BM12</f>
        <v>0</v>
      </c>
      <c r="BN30" s="83">
        <f>'Payroll Verisma'!BN12+'Payroll MRO'!BN12</f>
        <v>0</v>
      </c>
      <c r="BO30" s="83">
        <f>'Payroll Verisma'!BO12+'Payroll MRO'!BO12</f>
        <v>0</v>
      </c>
      <c r="BP30" s="83">
        <f>'Payroll Verisma'!BP12+'Payroll MRO'!BP12</f>
        <v>0</v>
      </c>
      <c r="BQ30" s="83">
        <f>'Payroll Verisma'!BQ12+'Payroll MRO'!BQ12</f>
        <v>0</v>
      </c>
      <c r="BR30" s="83">
        <f>'Payroll Verisma'!BR12+'Payroll MRO'!BR12</f>
        <v>0</v>
      </c>
      <c r="BS30" s="83">
        <f>'Payroll Verisma'!BS12+'Payroll MRO'!BS12</f>
        <v>0</v>
      </c>
      <c r="BT30" s="83">
        <f>'Payroll Verisma'!BT12+'Payroll MRO'!BT12</f>
        <v>0</v>
      </c>
      <c r="BU30" s="83">
        <f>'Payroll Verisma'!BU12+'Payroll MRO'!BU12</f>
        <v>0</v>
      </c>
      <c r="BV30" s="83">
        <f>'Payroll Verisma'!BV12+'Payroll MRO'!BV12</f>
        <v>5</v>
      </c>
      <c r="BW30" s="83">
        <f>'Payroll Verisma'!BW12+'Payroll MRO'!BW12</f>
        <v>0</v>
      </c>
      <c r="BX30" s="83">
        <f>'Payroll Verisma'!BX12+'Payroll MRO'!BX12</f>
        <v>0</v>
      </c>
      <c r="BY30" s="83">
        <f>'Payroll Verisma'!BY12+'Payroll MRO'!BY12</f>
        <v>0</v>
      </c>
      <c r="BZ30" s="83">
        <f>'Payroll Verisma'!BZ12+'Payroll MRO'!BZ12</f>
        <v>0</v>
      </c>
      <c r="CA30" s="83">
        <f>'Payroll Verisma'!CA12+'Payroll MRO'!CA12</f>
        <v>0</v>
      </c>
      <c r="CB30" s="83">
        <f>'Payroll Verisma'!CB12+'Payroll MRO'!CB12</f>
        <v>0</v>
      </c>
      <c r="CC30" s="83">
        <f>'Payroll Verisma'!CC12+'Payroll MRO'!CC12</f>
        <v>0</v>
      </c>
      <c r="CD30" s="83">
        <f>'Payroll Verisma'!CD12+'Payroll MRO'!CD12</f>
        <v>24</v>
      </c>
      <c r="CE30" s="83">
        <f>'Payroll Verisma'!CE12+'Payroll MRO'!CE12</f>
        <v>0</v>
      </c>
      <c r="CF30" s="83">
        <f>'Payroll Verisma'!CF12+'Payroll MRO'!CF12</f>
        <v>0</v>
      </c>
      <c r="CG30" s="83">
        <f>'Payroll Verisma'!CG12+'Payroll MRO'!CG12</f>
        <v>0</v>
      </c>
      <c r="CH30" s="83">
        <f>'Payroll Verisma'!CH12+'Payroll MRO'!CH12</f>
        <v>0</v>
      </c>
      <c r="CI30" s="83">
        <f>'Payroll Verisma'!CI12+'Payroll MRO'!CI12</f>
        <v>0</v>
      </c>
      <c r="CJ30" s="83">
        <f>'Payroll Verisma'!CJ12+'Payroll MRO'!CJ12</f>
        <v>29</v>
      </c>
      <c r="CK30" s="83">
        <f>'Payroll Verisma'!CK12+'Payroll MRO'!CK12</f>
        <v>0</v>
      </c>
      <c r="CL30" s="83">
        <f>'Payroll Verisma'!CL12+'Payroll MRO'!CL12</f>
        <v>0</v>
      </c>
      <c r="CM30" s="83">
        <f>'Payroll Verisma'!CM12+'Payroll MRO'!CM12</f>
        <v>0</v>
      </c>
      <c r="CN30" s="83">
        <f>'Payroll Verisma'!CN12+'Payroll MRO'!CN12</f>
        <v>0</v>
      </c>
      <c r="CO30" s="83">
        <f>'Payroll Verisma'!CO12+'Payroll MRO'!CO12</f>
        <v>0</v>
      </c>
      <c r="CP30" s="83">
        <f>'Payroll Verisma'!CP12+'Payroll MRO'!CP12</f>
        <v>0</v>
      </c>
      <c r="CQ30" s="83">
        <f>'Payroll Verisma'!CQ12+'Payroll MRO'!CQ12</f>
        <v>0</v>
      </c>
      <c r="CR30" s="83">
        <f>'Payroll Verisma'!CR12+'Payroll MRO'!CR12</f>
        <v>0</v>
      </c>
      <c r="CS30" s="83">
        <f>'Payroll Verisma'!CS12+'Payroll MRO'!CS12</f>
        <v>0</v>
      </c>
      <c r="CT30" s="83">
        <f>'Payroll Verisma'!CT12+'Payroll MRO'!CT12</f>
        <v>0</v>
      </c>
      <c r="CU30" s="83">
        <f>'Payroll Verisma'!CU12+'Payroll MRO'!CU12</f>
        <v>100</v>
      </c>
      <c r="CV30" s="83">
        <f>'Payroll Verisma'!CV12+'Payroll MRO'!CV12</f>
        <v>0</v>
      </c>
      <c r="CW30" s="83">
        <f>'Payroll Verisma'!CW12+'Payroll MRO'!CW12</f>
        <v>0</v>
      </c>
      <c r="CX30" s="83">
        <f>'Payroll Verisma'!CX12+'Payroll MRO'!CX12</f>
        <v>0</v>
      </c>
      <c r="CY30" s="83">
        <f>'Payroll Verisma'!CY12+'Payroll MRO'!CY12</f>
        <v>41</v>
      </c>
      <c r="CZ30" s="83">
        <f>'Payroll Verisma'!CZ12+'Payroll MRO'!CZ12</f>
        <v>0</v>
      </c>
      <c r="DA30" s="83">
        <f>'Payroll Verisma'!DA12+'Payroll MRO'!DA12</f>
        <v>0</v>
      </c>
      <c r="DB30" s="83">
        <f>'Payroll Verisma'!DB12+'Payroll MRO'!DB12</f>
        <v>0</v>
      </c>
      <c r="DC30" s="83">
        <f>'Payroll Verisma'!DC12+'Payroll MRO'!DC12</f>
        <v>0</v>
      </c>
      <c r="DD30" s="83">
        <f>'Payroll Verisma'!DD12+'Payroll MRO'!DD12</f>
        <v>0</v>
      </c>
      <c r="DE30" s="83">
        <f>'Payroll Verisma'!DE12+'Payroll MRO'!DE12</f>
        <v>0</v>
      </c>
      <c r="DF30" s="83">
        <f>'Payroll Verisma'!DF12+'Payroll MRO'!DF12</f>
        <v>0</v>
      </c>
      <c r="DG30" s="83">
        <f>'Payroll Verisma'!DG12+'Payroll MRO'!DG12</f>
        <v>0</v>
      </c>
      <c r="DH30" s="83">
        <f>'Payroll Verisma'!DH12+'Payroll MRO'!DH12</f>
        <v>0</v>
      </c>
      <c r="DI30" s="83">
        <f>'Payroll Verisma'!DI12+'Payroll MRO'!DI12</f>
        <v>0</v>
      </c>
      <c r="DJ30" s="83">
        <f>'Payroll Verisma'!DJ12+'Payroll MRO'!DJ12</f>
        <v>0</v>
      </c>
      <c r="DK30" s="83">
        <f>'Payroll Verisma'!DK12+'Payroll MRO'!DK12</f>
        <v>0</v>
      </c>
      <c r="DL30" s="83">
        <f>'Payroll Verisma'!DL12+'Payroll MRO'!DL12</f>
        <v>0</v>
      </c>
      <c r="DM30" s="83">
        <f>'Payroll Verisma'!DM12+'Payroll MRO'!DM12</f>
        <v>0</v>
      </c>
      <c r="DN30" s="83">
        <f>'Payroll Verisma'!DN12+'Payroll MRO'!DN12</f>
        <v>0</v>
      </c>
      <c r="DO30" s="83">
        <f>'Payroll Verisma'!DO12+'Payroll MRO'!DO12</f>
        <v>0</v>
      </c>
      <c r="DP30" s="83">
        <f>'Payroll Verisma'!DP12+'Payroll MRO'!DP12</f>
        <v>0</v>
      </c>
      <c r="DQ30" s="83">
        <f>'Payroll Verisma'!DQ12+'Payroll MRO'!DQ12</f>
        <v>0</v>
      </c>
      <c r="DR30" s="83">
        <f>'Payroll Verisma'!DR12+'Payroll MRO'!DR12</f>
        <v>0</v>
      </c>
      <c r="DS30" s="83">
        <f>'Payroll Verisma'!DS12+'Payroll MRO'!DS12</f>
        <v>0</v>
      </c>
      <c r="DT30" s="83">
        <f>'Payroll Verisma'!DT12+'Payroll MRO'!DT12</f>
        <v>0</v>
      </c>
      <c r="DU30" s="83">
        <f>'Payroll Verisma'!DU12+'Payroll MRO'!DU12</f>
        <v>7</v>
      </c>
      <c r="DV30" s="83">
        <f>'Payroll Verisma'!DV12+'Payroll MRO'!DV12</f>
        <v>0</v>
      </c>
      <c r="DW30" s="83">
        <f>'Payroll Verisma'!DW12+'Payroll MRO'!DW12</f>
        <v>0</v>
      </c>
      <c r="DX30" s="83">
        <f>'Payroll Verisma'!DX12+'Payroll MRO'!DX12</f>
        <v>0</v>
      </c>
      <c r="DY30" s="83">
        <f>'Payroll Verisma'!DY12+'Payroll MRO'!DY12</f>
        <v>0</v>
      </c>
      <c r="DZ30" s="83">
        <f>'Payroll Verisma'!DZ12+'Payroll MRO'!DZ12</f>
        <v>0</v>
      </c>
      <c r="EA30" s="83">
        <f>'Payroll Verisma'!EA12+'Payroll MRO'!EA12</f>
        <v>0</v>
      </c>
      <c r="EB30" s="83">
        <f>'Payroll Verisma'!EB12+'Payroll MRO'!EB12</f>
        <v>0</v>
      </c>
      <c r="EC30" s="83">
        <f>'Payroll Verisma'!EC12+'Payroll MRO'!EC12</f>
        <v>0</v>
      </c>
      <c r="ED30" s="83">
        <f>'Payroll Verisma'!ED12+'Payroll MRO'!ED12</f>
        <v>0</v>
      </c>
      <c r="EE30" s="83">
        <f>'Payroll Verisma'!EE12+'Payroll MRO'!EE12</f>
        <v>0</v>
      </c>
      <c r="EF30" s="83">
        <f>'Payroll Verisma'!EF12+'Payroll MRO'!EF12</f>
        <v>0</v>
      </c>
      <c r="EG30" s="83">
        <f>'Payroll Verisma'!EG12+'Payroll MRO'!EG12</f>
        <v>0</v>
      </c>
      <c r="EH30" s="83">
        <f>'Payroll Verisma'!EH12+'Payroll MRO'!EH12</f>
        <v>0</v>
      </c>
      <c r="EI30" s="83">
        <f>'Payroll Verisma'!EI12+'Payroll MRO'!EI12</f>
        <v>0</v>
      </c>
      <c r="EJ30" s="83">
        <f>'Payroll Verisma'!EJ12+'Payroll MRO'!EJ12</f>
        <v>0</v>
      </c>
      <c r="EK30" s="83">
        <f>'Payroll Verisma'!EK12+'Payroll MRO'!EK12</f>
        <v>0</v>
      </c>
      <c r="EL30" s="83">
        <f>'Payroll Verisma'!EL12+'Payroll MRO'!EL12</f>
        <v>0</v>
      </c>
      <c r="EM30" s="83">
        <f>'Payroll Verisma'!EM12+'Payroll MRO'!EM12</f>
        <v>0</v>
      </c>
      <c r="EN30" s="83">
        <f>'Payroll Verisma'!EN12+'Payroll MRO'!EN12</f>
        <v>0</v>
      </c>
      <c r="EO30" s="83">
        <f>'Payroll Verisma'!EO12+'Payroll MRO'!EO12</f>
        <v>0</v>
      </c>
      <c r="EP30" s="83">
        <f>'Payroll Verisma'!EP12+'Payroll MRO'!EP12</f>
        <v>0</v>
      </c>
      <c r="EQ30" s="83">
        <f>'Payroll Verisma'!EQ12+'Payroll MRO'!EQ12</f>
        <v>0</v>
      </c>
      <c r="ER30" s="83">
        <f>'Payroll Verisma'!ER12+'Payroll MRO'!ER12</f>
        <v>0</v>
      </c>
      <c r="ES30" s="83">
        <f>'Payroll Verisma'!ES12+'Payroll MRO'!ES12</f>
        <v>0</v>
      </c>
      <c r="ET30" s="83">
        <f>'Payroll Verisma'!ET12+'Payroll MRO'!ET12</f>
        <v>0</v>
      </c>
      <c r="EU30" s="83">
        <f>'Payroll Verisma'!EU12+'Payroll MRO'!EU12</f>
        <v>0</v>
      </c>
      <c r="EV30" s="83">
        <f>'Payroll Verisma'!EV12+'Payroll MRO'!EV12</f>
        <v>0</v>
      </c>
      <c r="EW30" s="83">
        <f>'Payroll Verisma'!EW12+'Payroll MRO'!EW12</f>
        <v>0</v>
      </c>
      <c r="EX30" s="83">
        <f>'Payroll Verisma'!EX12+'Payroll MRO'!EX12</f>
        <v>0</v>
      </c>
      <c r="EY30" s="83">
        <f>'Payroll Verisma'!EY12+'Payroll MRO'!EY12</f>
        <v>0</v>
      </c>
      <c r="EZ30" s="83">
        <f>'Payroll Verisma'!EZ12+'Payroll MRO'!EZ12</f>
        <v>0</v>
      </c>
      <c r="FA30" s="83">
        <f>'Payroll Verisma'!FA12+'Payroll MRO'!FA12</f>
        <v>0</v>
      </c>
      <c r="FB30" s="83">
        <f>'Payroll Verisma'!FB12+'Payroll MRO'!FB12</f>
        <v>0</v>
      </c>
      <c r="FC30" s="83">
        <f>'Payroll Verisma'!FC12+'Payroll MRO'!FC12</f>
        <v>0</v>
      </c>
      <c r="FD30" s="83">
        <f>'Payroll Verisma'!FD12+'Payroll MRO'!FD12</f>
        <v>0</v>
      </c>
      <c r="FE30" s="83">
        <f>'Payroll Verisma'!FE12+'Payroll MRO'!FE12</f>
        <v>0</v>
      </c>
      <c r="FF30" s="83">
        <f>'Payroll Verisma'!FF12+'Payroll MRO'!FF12</f>
        <v>33</v>
      </c>
      <c r="FG30" s="83">
        <f>'Payroll Verisma'!FG12+'Payroll MRO'!FG12</f>
        <v>0</v>
      </c>
      <c r="FH30" s="83">
        <f>'Payroll Verisma'!FH12+'Payroll MRO'!FH12</f>
        <v>0</v>
      </c>
      <c r="FI30" s="83">
        <f>'Payroll Verisma'!FI12+'Payroll MRO'!FI12</f>
        <v>0</v>
      </c>
      <c r="FJ30" s="83">
        <f>'Payroll Verisma'!FJ12+'Payroll MRO'!FJ12</f>
        <v>0</v>
      </c>
      <c r="FK30" s="83">
        <f>'Payroll Verisma'!FK12+'Payroll MRO'!FK12</f>
        <v>0</v>
      </c>
      <c r="FL30" s="83">
        <f>'Payroll Verisma'!FL12+'Payroll MRO'!FL12</f>
        <v>0</v>
      </c>
      <c r="FM30" s="83">
        <f>'Payroll Verisma'!FM12+'Payroll MRO'!FM12</f>
        <v>0</v>
      </c>
      <c r="FN30" s="83">
        <f>'Payroll Verisma'!FN12+'Payroll MRO'!FN12</f>
        <v>0</v>
      </c>
      <c r="FO30" s="83">
        <f>'Payroll Verisma'!FO12+'Payroll MRO'!FO12</f>
        <v>0</v>
      </c>
      <c r="FP30" s="83">
        <f>'Payroll Verisma'!FP12+'Payroll MRO'!FP12</f>
        <v>0</v>
      </c>
      <c r="FQ30" s="83">
        <f>'Payroll Verisma'!FQ12+'Payroll MRO'!FQ12</f>
        <v>66</v>
      </c>
      <c r="FR30" s="83">
        <f>'Payroll Verisma'!FR12+'Payroll MRO'!FR12</f>
        <v>0</v>
      </c>
      <c r="FS30" s="83">
        <f>'Payroll Verisma'!FS12+'Payroll MRO'!FS12</f>
        <v>0</v>
      </c>
      <c r="FT30" s="83">
        <f>'Payroll Verisma'!FT12+'Payroll MRO'!FT12</f>
        <v>0</v>
      </c>
      <c r="FU30" s="83">
        <f>'Payroll Verisma'!FU12+'Payroll MRO'!FU12</f>
        <v>0</v>
      </c>
      <c r="FV30" s="83">
        <f>'Payroll Verisma'!FV12+'Payroll MRO'!FV12</f>
        <v>0</v>
      </c>
      <c r="FW30" s="83">
        <f>'Payroll Verisma'!FW12+'Payroll MRO'!FW12</f>
        <v>0</v>
      </c>
      <c r="FX30" s="83">
        <f>'Payroll Verisma'!FX12+'Payroll MRO'!FX12</f>
        <v>0</v>
      </c>
      <c r="FY30" s="83">
        <f>'Payroll Verisma'!FY12+'Payroll MRO'!FY12</f>
        <v>0</v>
      </c>
      <c r="FZ30" s="83">
        <f>'Payroll Verisma'!FZ12+'Payroll MRO'!FZ12</f>
        <v>0</v>
      </c>
      <c r="GA30" s="83">
        <f>'Payroll Verisma'!GA12+'Payroll MRO'!GA12</f>
        <v>0</v>
      </c>
      <c r="GB30" s="83">
        <f>'Payroll Verisma'!GB12+'Payroll MRO'!GB12</f>
        <v>0</v>
      </c>
      <c r="GC30" s="83">
        <f>'Payroll Verisma'!GC12+'Payroll MRO'!GC12</f>
        <v>0</v>
      </c>
      <c r="GD30" s="83">
        <f>'Payroll Verisma'!GD12+'Payroll MRO'!GD12</f>
        <v>0</v>
      </c>
      <c r="GE30" s="83">
        <f>'Payroll Verisma'!GE12+'Payroll MRO'!GE12</f>
        <v>40</v>
      </c>
      <c r="GF30" s="83">
        <f>'Payroll Verisma'!GF12+'Payroll MRO'!GF12</f>
        <v>0</v>
      </c>
      <c r="GG30" s="83">
        <f>'Payroll Verisma'!GG12+'Payroll MRO'!GG12</f>
        <v>0</v>
      </c>
      <c r="GH30" s="83">
        <f>'Payroll Verisma'!GH12+'Payroll MRO'!GH12</f>
        <v>0</v>
      </c>
      <c r="GI30" s="83">
        <f>'Payroll Verisma'!GI12+'Payroll MRO'!GI12</f>
        <v>0</v>
      </c>
      <c r="GJ30" s="83">
        <f>'Payroll Verisma'!GJ12+'Payroll MRO'!GJ12</f>
        <v>0</v>
      </c>
      <c r="GK30" s="83">
        <f>'Payroll Verisma'!GK12+'Payroll MRO'!GK12</f>
        <v>0</v>
      </c>
      <c r="GL30" s="83">
        <f>'Payroll Verisma'!GL12+'Payroll MRO'!GL12</f>
        <v>0</v>
      </c>
      <c r="GM30" s="83">
        <f>'Payroll Verisma'!GM12+'Payroll MRO'!GM12</f>
        <v>0</v>
      </c>
      <c r="GN30" s="83">
        <f>'Payroll Verisma'!GN12+'Payroll MRO'!GN12</f>
        <v>0</v>
      </c>
      <c r="GO30" s="83">
        <f>'Payroll Verisma'!GO12+'Payroll MRO'!GO12</f>
        <v>0</v>
      </c>
      <c r="GP30" s="83">
        <f>'Payroll Verisma'!GP12+'Payroll MRO'!GP12</f>
        <v>25</v>
      </c>
      <c r="GQ30" s="83">
        <f>'Payroll Verisma'!GQ12+'Payroll MRO'!GQ12</f>
        <v>0</v>
      </c>
      <c r="GR30" s="83">
        <f>'Payroll Verisma'!GR12+'Payroll MRO'!GR12</f>
        <v>0</v>
      </c>
    </row>
    <row r="31" spans="1:200" ht="15.6">
      <c r="A31" s="81">
        <f t="shared" si="83"/>
        <v>46033</v>
      </c>
      <c r="B31" s="82" t="str">
        <f t="shared" si="82"/>
        <v>Sun</v>
      </c>
      <c r="C31" s="75">
        <f t="shared" si="81"/>
        <v>512</v>
      </c>
      <c r="D31" s="83">
        <f>'Payroll Verisma'!D13+'Payroll MRO'!D13</f>
        <v>0</v>
      </c>
      <c r="E31" s="83">
        <f>'Payroll Verisma'!E13+'Payroll MRO'!E13</f>
        <v>0</v>
      </c>
      <c r="F31" s="83">
        <f>'Payroll Verisma'!F13+'Payroll MRO'!F13</f>
        <v>0</v>
      </c>
      <c r="G31" s="83">
        <f>'Payroll Verisma'!G13+'Payroll MRO'!G13</f>
        <v>0</v>
      </c>
      <c r="H31" s="83">
        <f>'Payroll Verisma'!H13+'Payroll MRO'!H13</f>
        <v>0</v>
      </c>
      <c r="I31" s="83">
        <f>'Payroll Verisma'!I13+'Payroll MRO'!I13</f>
        <v>0</v>
      </c>
      <c r="J31" s="83">
        <f>'Payroll Verisma'!J13+'Payroll MRO'!J13</f>
        <v>0</v>
      </c>
      <c r="K31" s="83">
        <f>'Payroll Verisma'!K13+'Payroll MRO'!K13</f>
        <v>0</v>
      </c>
      <c r="L31" s="83">
        <f>'Payroll Verisma'!L13+'Payroll MRO'!L13</f>
        <v>0</v>
      </c>
      <c r="M31" s="83">
        <f>'Payroll Verisma'!M13+'Payroll MRO'!M13</f>
        <v>0</v>
      </c>
      <c r="N31" s="83">
        <f>'Payroll Verisma'!N13+'Payroll MRO'!N13</f>
        <v>0</v>
      </c>
      <c r="O31" s="83">
        <f>'Payroll Verisma'!O13+'Payroll MRO'!O13</f>
        <v>0</v>
      </c>
      <c r="P31" s="83">
        <f>'Payroll Verisma'!P13+'Payroll MRO'!P13</f>
        <v>22</v>
      </c>
      <c r="Q31" s="83">
        <f>'Payroll Verisma'!Q13+'Payroll MRO'!Q13</f>
        <v>0</v>
      </c>
      <c r="R31" s="83">
        <f>'Payroll Verisma'!R13+'Payroll MRO'!R13</f>
        <v>0</v>
      </c>
      <c r="S31" s="83">
        <f>'Payroll Verisma'!S13+'Payroll MRO'!S13</f>
        <v>0</v>
      </c>
      <c r="T31" s="83">
        <f>'Payroll Verisma'!T13+'Payroll MRO'!T13</f>
        <v>0</v>
      </c>
      <c r="U31" s="83">
        <f>'Payroll Verisma'!U13+'Payroll MRO'!U13</f>
        <v>0</v>
      </c>
      <c r="V31" s="83">
        <f>'Payroll Verisma'!V13+'Payroll MRO'!V13</f>
        <v>0</v>
      </c>
      <c r="W31" s="83">
        <f>'Payroll Verisma'!W13+'Payroll MRO'!W13</f>
        <v>0</v>
      </c>
      <c r="X31" s="83">
        <f>'Payroll Verisma'!X13+'Payroll MRO'!X13</f>
        <v>0</v>
      </c>
      <c r="Y31" s="83">
        <f>'Payroll Verisma'!Y13+'Payroll MRO'!Y13</f>
        <v>72</v>
      </c>
      <c r="Z31" s="83">
        <f>'Payroll Verisma'!Z13+'Payroll MRO'!Z13</f>
        <v>6</v>
      </c>
      <c r="AA31" s="83">
        <f>'Payroll Verisma'!AA13+'Payroll MRO'!AA13</f>
        <v>0</v>
      </c>
      <c r="AB31" s="83">
        <f>'Payroll Verisma'!AB13+'Payroll MRO'!AB13</f>
        <v>0</v>
      </c>
      <c r="AC31" s="83">
        <f>'Payroll Verisma'!AC13+'Payroll MRO'!AC13</f>
        <v>0</v>
      </c>
      <c r="AD31" s="83">
        <f>'Payroll Verisma'!AD13+'Payroll MRO'!AD13</f>
        <v>0</v>
      </c>
      <c r="AE31" s="83">
        <f>'Payroll Verisma'!AE13+'Payroll MRO'!AE13</f>
        <v>0</v>
      </c>
      <c r="AF31" s="83">
        <f>'Payroll Verisma'!AF13+'Payroll MRO'!AF13</f>
        <v>0</v>
      </c>
      <c r="AG31" s="83">
        <f>'Payroll Verisma'!AG13+'Payroll MRO'!AG13</f>
        <v>0</v>
      </c>
      <c r="AH31" s="83">
        <f>'Payroll Verisma'!AH13+'Payroll MRO'!AH13</f>
        <v>0</v>
      </c>
      <c r="AI31" s="83">
        <f>'Payroll Verisma'!AI13+'Payroll MRO'!AI13</f>
        <v>0</v>
      </c>
      <c r="AJ31" s="83">
        <f>'Payroll Verisma'!AJ13+'Payroll MRO'!AJ13</f>
        <v>0</v>
      </c>
      <c r="AK31" s="83">
        <f>'Payroll Verisma'!AK13+'Payroll MRO'!AK13</f>
        <v>0</v>
      </c>
      <c r="AL31" s="83">
        <f>'Payroll Verisma'!AL13+'Payroll MRO'!AL13</f>
        <v>0</v>
      </c>
      <c r="AM31" s="83">
        <f>'Payroll Verisma'!AM13+'Payroll MRO'!AM13</f>
        <v>0</v>
      </c>
      <c r="AN31" s="83">
        <f>'Payroll Verisma'!AN13+'Payroll MRO'!AN13</f>
        <v>0</v>
      </c>
      <c r="AO31" s="83">
        <f>'Payroll Verisma'!AO13+'Payroll MRO'!AO13</f>
        <v>0</v>
      </c>
      <c r="AP31" s="83">
        <f>'Payroll Verisma'!AP13+'Payroll MRO'!AP13</f>
        <v>0</v>
      </c>
      <c r="AQ31" s="83">
        <f>'Payroll Verisma'!AQ13+'Payroll MRO'!AQ13</f>
        <v>0</v>
      </c>
      <c r="AR31" s="83">
        <f>'Payroll Verisma'!AR13+'Payroll MRO'!AR13</f>
        <v>0</v>
      </c>
      <c r="AS31" s="83">
        <f>'Payroll Verisma'!AS13+'Payroll MRO'!AS13</f>
        <v>0</v>
      </c>
      <c r="AT31" s="83">
        <f>'Payroll Verisma'!AT13+'Payroll MRO'!AT13</f>
        <v>0</v>
      </c>
      <c r="AU31" s="83">
        <f>'Payroll Verisma'!AU13+'Payroll MRO'!AU13</f>
        <v>0</v>
      </c>
      <c r="AV31" s="83">
        <f>'Payroll Verisma'!AV13+'Payroll MRO'!AV13</f>
        <v>0</v>
      </c>
      <c r="AW31" s="83">
        <f>'Payroll Verisma'!AW13+'Payroll MRO'!AW13</f>
        <v>0</v>
      </c>
      <c r="AX31" s="83">
        <f>'Payroll Verisma'!AX13+'Payroll MRO'!AX13</f>
        <v>0</v>
      </c>
      <c r="AY31" s="83">
        <f>'Payroll Verisma'!AY13+'Payroll MRO'!AY13</f>
        <v>0</v>
      </c>
      <c r="AZ31" s="83">
        <f>'Payroll Verisma'!AZ13+'Payroll MRO'!AZ13</f>
        <v>0</v>
      </c>
      <c r="BA31" s="83">
        <f>'Payroll Verisma'!BA13+'Payroll MRO'!BA13</f>
        <v>0</v>
      </c>
      <c r="BB31" s="83">
        <f>'Payroll Verisma'!BB13+'Payroll MRO'!BB13</f>
        <v>0</v>
      </c>
      <c r="BC31" s="83">
        <f>'Payroll Verisma'!BC13+'Payroll MRO'!BC13</f>
        <v>0</v>
      </c>
      <c r="BD31" s="83">
        <f>'Payroll Verisma'!BD13+'Payroll MRO'!BD13</f>
        <v>0</v>
      </c>
      <c r="BE31" s="83">
        <f>'Payroll Verisma'!BE13+'Payroll MRO'!BE13</f>
        <v>0</v>
      </c>
      <c r="BF31" s="83">
        <f>'Payroll Verisma'!BF13+'Payroll MRO'!BF13</f>
        <v>0</v>
      </c>
      <c r="BG31" s="83">
        <f>'Payroll Verisma'!BG13+'Payroll MRO'!BG13</f>
        <v>0</v>
      </c>
      <c r="BH31" s="83">
        <f>'Payroll Verisma'!BH13+'Payroll MRO'!BH13</f>
        <v>0</v>
      </c>
      <c r="BI31" s="83">
        <f>'Payroll Verisma'!BI13+'Payroll MRO'!BI13</f>
        <v>0</v>
      </c>
      <c r="BJ31" s="83">
        <f>'Payroll Verisma'!BJ13+'Payroll MRO'!BJ13</f>
        <v>0</v>
      </c>
      <c r="BK31" s="83">
        <f>'Payroll Verisma'!BK13+'Payroll MRO'!BK13</f>
        <v>0</v>
      </c>
      <c r="BL31" s="83">
        <f>'Payroll Verisma'!BL13+'Payroll MRO'!BL13</f>
        <v>0</v>
      </c>
      <c r="BM31" s="83">
        <f>'Payroll Verisma'!BM13+'Payroll MRO'!BM13</f>
        <v>0</v>
      </c>
      <c r="BN31" s="83">
        <f>'Payroll Verisma'!BN13+'Payroll MRO'!BN13</f>
        <v>0</v>
      </c>
      <c r="BO31" s="83">
        <f>'Payroll Verisma'!BO13+'Payroll MRO'!BO13</f>
        <v>0</v>
      </c>
      <c r="BP31" s="83">
        <f>'Payroll Verisma'!BP13+'Payroll MRO'!BP13</f>
        <v>0</v>
      </c>
      <c r="BQ31" s="83">
        <f>'Payroll Verisma'!BQ13+'Payroll MRO'!BQ13</f>
        <v>0</v>
      </c>
      <c r="BR31" s="83">
        <f>'Payroll Verisma'!BR13+'Payroll MRO'!BR13</f>
        <v>0</v>
      </c>
      <c r="BS31" s="83">
        <f>'Payroll Verisma'!BS13+'Payroll MRO'!BS13</f>
        <v>0</v>
      </c>
      <c r="BT31" s="83">
        <f>'Payroll Verisma'!BT13+'Payroll MRO'!BT13</f>
        <v>0</v>
      </c>
      <c r="BU31" s="83">
        <f>'Payroll Verisma'!BU13+'Payroll MRO'!BU13</f>
        <v>0</v>
      </c>
      <c r="BV31" s="83">
        <f>'Payroll Verisma'!BV13+'Payroll MRO'!BV13</f>
        <v>19</v>
      </c>
      <c r="BW31" s="83">
        <f>'Payroll Verisma'!BW13+'Payroll MRO'!BW13</f>
        <v>9</v>
      </c>
      <c r="BX31" s="83">
        <f>'Payroll Verisma'!BX13+'Payroll MRO'!BX13</f>
        <v>0</v>
      </c>
      <c r="BY31" s="83">
        <f>'Payroll Verisma'!BY13+'Payroll MRO'!BY13</f>
        <v>0</v>
      </c>
      <c r="BZ31" s="83">
        <f>'Payroll Verisma'!BZ13+'Payroll MRO'!BZ13</f>
        <v>0</v>
      </c>
      <c r="CA31" s="83">
        <f>'Payroll Verisma'!CA13+'Payroll MRO'!CA13</f>
        <v>0</v>
      </c>
      <c r="CB31" s="83">
        <f>'Payroll Verisma'!CB13+'Payroll MRO'!CB13</f>
        <v>0</v>
      </c>
      <c r="CC31" s="83">
        <f>'Payroll Verisma'!CC13+'Payroll MRO'!CC13</f>
        <v>0</v>
      </c>
      <c r="CD31" s="83">
        <f>'Payroll Verisma'!CD13+'Payroll MRO'!CD13</f>
        <v>0</v>
      </c>
      <c r="CE31" s="83">
        <f>'Payroll Verisma'!CE13+'Payroll MRO'!CE13</f>
        <v>0</v>
      </c>
      <c r="CF31" s="83">
        <f>'Payroll Verisma'!CF13+'Payroll MRO'!CF13</f>
        <v>0</v>
      </c>
      <c r="CG31" s="83">
        <f>'Payroll Verisma'!CG13+'Payroll MRO'!CG13</f>
        <v>0</v>
      </c>
      <c r="CH31" s="83">
        <f>'Payroll Verisma'!CH13+'Payroll MRO'!CH13</f>
        <v>11</v>
      </c>
      <c r="CI31" s="83">
        <f>'Payroll Verisma'!CI13+'Payroll MRO'!CI13</f>
        <v>0</v>
      </c>
      <c r="CJ31" s="83">
        <f>'Payroll Verisma'!CJ13+'Payroll MRO'!CJ13</f>
        <v>0</v>
      </c>
      <c r="CK31" s="83">
        <f>'Payroll Verisma'!CK13+'Payroll MRO'!CK13</f>
        <v>0</v>
      </c>
      <c r="CL31" s="83">
        <f>'Payroll Verisma'!CL13+'Payroll MRO'!CL13</f>
        <v>0</v>
      </c>
      <c r="CM31" s="83">
        <f>'Payroll Verisma'!CM13+'Payroll MRO'!CM13</f>
        <v>0</v>
      </c>
      <c r="CN31" s="83">
        <f>'Payroll Verisma'!CN13+'Payroll MRO'!CN13</f>
        <v>0</v>
      </c>
      <c r="CO31" s="83">
        <f>'Payroll Verisma'!CO13+'Payroll MRO'!CO13</f>
        <v>0</v>
      </c>
      <c r="CP31" s="83">
        <f>'Payroll Verisma'!CP13+'Payroll MRO'!CP13</f>
        <v>0</v>
      </c>
      <c r="CQ31" s="83">
        <f>'Payroll Verisma'!CQ13+'Payroll MRO'!CQ13</f>
        <v>0</v>
      </c>
      <c r="CR31" s="83">
        <f>'Payroll Verisma'!CR13+'Payroll MRO'!CR13</f>
        <v>0</v>
      </c>
      <c r="CS31" s="83">
        <f>'Payroll Verisma'!CS13+'Payroll MRO'!CS13</f>
        <v>0</v>
      </c>
      <c r="CT31" s="83">
        <f>'Payroll Verisma'!CT13+'Payroll MRO'!CT13</f>
        <v>0</v>
      </c>
      <c r="CU31" s="83">
        <f>'Payroll Verisma'!CU13+'Payroll MRO'!CU13</f>
        <v>0</v>
      </c>
      <c r="CV31" s="83">
        <f>'Payroll Verisma'!CV13+'Payroll MRO'!CV13</f>
        <v>0</v>
      </c>
      <c r="CW31" s="83">
        <f>'Payroll Verisma'!CW13+'Payroll MRO'!CW13</f>
        <v>0</v>
      </c>
      <c r="CX31" s="83">
        <f>'Payroll Verisma'!CX13+'Payroll MRO'!CX13</f>
        <v>0</v>
      </c>
      <c r="CY31" s="83">
        <f>'Payroll Verisma'!CY13+'Payroll MRO'!CY13</f>
        <v>47</v>
      </c>
      <c r="CZ31" s="83">
        <f>'Payroll Verisma'!CZ13+'Payroll MRO'!CZ13</f>
        <v>0</v>
      </c>
      <c r="DA31" s="83">
        <f>'Payroll Verisma'!DA13+'Payroll MRO'!DA13</f>
        <v>0</v>
      </c>
      <c r="DB31" s="83">
        <f>'Payroll Verisma'!DB13+'Payroll MRO'!DB13</f>
        <v>0</v>
      </c>
      <c r="DC31" s="83">
        <f>'Payroll Verisma'!DC13+'Payroll MRO'!DC13</f>
        <v>0</v>
      </c>
      <c r="DD31" s="83">
        <f>'Payroll Verisma'!DD13+'Payroll MRO'!DD13</f>
        <v>0</v>
      </c>
      <c r="DE31" s="83">
        <f>'Payroll Verisma'!DE13+'Payroll MRO'!DE13</f>
        <v>25</v>
      </c>
      <c r="DF31" s="83">
        <f>'Payroll Verisma'!DF13+'Payroll MRO'!DF13</f>
        <v>0</v>
      </c>
      <c r="DG31" s="83">
        <f>'Payroll Verisma'!DG13+'Payroll MRO'!DG13</f>
        <v>0</v>
      </c>
      <c r="DH31" s="83">
        <f>'Payroll Verisma'!DH13+'Payroll MRO'!DH13</f>
        <v>0</v>
      </c>
      <c r="DI31" s="83">
        <f>'Payroll Verisma'!DI13+'Payroll MRO'!DI13</f>
        <v>0</v>
      </c>
      <c r="DJ31" s="83">
        <f>'Payroll Verisma'!DJ13+'Payroll MRO'!DJ13</f>
        <v>0</v>
      </c>
      <c r="DK31" s="83">
        <f>'Payroll Verisma'!DK13+'Payroll MRO'!DK13</f>
        <v>83</v>
      </c>
      <c r="DL31" s="83">
        <f>'Payroll Verisma'!DL13+'Payroll MRO'!DL13</f>
        <v>0</v>
      </c>
      <c r="DM31" s="83">
        <f>'Payroll Verisma'!DM13+'Payroll MRO'!DM13</f>
        <v>0</v>
      </c>
      <c r="DN31" s="83">
        <f>'Payroll Verisma'!DN13+'Payroll MRO'!DN13</f>
        <v>0</v>
      </c>
      <c r="DO31" s="83">
        <f>'Payroll Verisma'!DO13+'Payroll MRO'!DO13</f>
        <v>0</v>
      </c>
      <c r="DP31" s="83">
        <f>'Payroll Verisma'!DP13+'Payroll MRO'!DP13</f>
        <v>0</v>
      </c>
      <c r="DQ31" s="83">
        <f>'Payroll Verisma'!DQ13+'Payroll MRO'!DQ13</f>
        <v>0</v>
      </c>
      <c r="DR31" s="83">
        <f>'Payroll Verisma'!DR13+'Payroll MRO'!DR13</f>
        <v>0</v>
      </c>
      <c r="DS31" s="83">
        <f>'Payroll Verisma'!DS13+'Payroll MRO'!DS13</f>
        <v>0</v>
      </c>
      <c r="DT31" s="83">
        <f>'Payroll Verisma'!DT13+'Payroll MRO'!DT13</f>
        <v>0</v>
      </c>
      <c r="DU31" s="83">
        <f>'Payroll Verisma'!DU13+'Payroll MRO'!DU13</f>
        <v>0</v>
      </c>
      <c r="DV31" s="83">
        <f>'Payroll Verisma'!DV13+'Payroll MRO'!DV13</f>
        <v>0</v>
      </c>
      <c r="DW31" s="83">
        <f>'Payroll Verisma'!DW13+'Payroll MRO'!DW13</f>
        <v>0</v>
      </c>
      <c r="DX31" s="83">
        <f>'Payroll Verisma'!DX13+'Payroll MRO'!DX13</f>
        <v>0</v>
      </c>
      <c r="DY31" s="83">
        <f>'Payroll Verisma'!DY13+'Payroll MRO'!DY13</f>
        <v>0</v>
      </c>
      <c r="DZ31" s="83">
        <f>'Payroll Verisma'!DZ13+'Payroll MRO'!DZ13</f>
        <v>0</v>
      </c>
      <c r="EA31" s="83">
        <f>'Payroll Verisma'!EA13+'Payroll MRO'!EA13</f>
        <v>0</v>
      </c>
      <c r="EB31" s="83">
        <f>'Payroll Verisma'!EB13+'Payroll MRO'!EB13</f>
        <v>0</v>
      </c>
      <c r="EC31" s="83">
        <f>'Payroll Verisma'!EC13+'Payroll MRO'!EC13</f>
        <v>0</v>
      </c>
      <c r="ED31" s="83">
        <f>'Payroll Verisma'!ED13+'Payroll MRO'!ED13</f>
        <v>0</v>
      </c>
      <c r="EE31" s="83">
        <f>'Payroll Verisma'!EE13+'Payroll MRO'!EE13</f>
        <v>0</v>
      </c>
      <c r="EF31" s="83">
        <f>'Payroll Verisma'!EF13+'Payroll MRO'!EF13</f>
        <v>0</v>
      </c>
      <c r="EG31" s="83">
        <f>'Payroll Verisma'!EG13+'Payroll MRO'!EG13</f>
        <v>0</v>
      </c>
      <c r="EH31" s="83">
        <f>'Payroll Verisma'!EH13+'Payroll MRO'!EH13</f>
        <v>0</v>
      </c>
      <c r="EI31" s="83">
        <f>'Payroll Verisma'!EI13+'Payroll MRO'!EI13</f>
        <v>0</v>
      </c>
      <c r="EJ31" s="83">
        <f>'Payroll Verisma'!EJ13+'Payroll MRO'!EJ13</f>
        <v>0</v>
      </c>
      <c r="EK31" s="83">
        <f>'Payroll Verisma'!EK13+'Payroll MRO'!EK13</f>
        <v>0</v>
      </c>
      <c r="EL31" s="83">
        <f>'Payroll Verisma'!EL13+'Payroll MRO'!EL13</f>
        <v>0</v>
      </c>
      <c r="EM31" s="83">
        <f>'Payroll Verisma'!EM13+'Payroll MRO'!EM13</f>
        <v>0</v>
      </c>
      <c r="EN31" s="83">
        <f>'Payroll Verisma'!EN13+'Payroll MRO'!EN13</f>
        <v>0</v>
      </c>
      <c r="EO31" s="83">
        <f>'Payroll Verisma'!EO13+'Payroll MRO'!EO13</f>
        <v>0</v>
      </c>
      <c r="EP31" s="83">
        <f>'Payroll Verisma'!EP13+'Payroll MRO'!EP13</f>
        <v>0</v>
      </c>
      <c r="EQ31" s="83">
        <f>'Payroll Verisma'!EQ13+'Payroll MRO'!EQ13</f>
        <v>0</v>
      </c>
      <c r="ER31" s="83">
        <f>'Payroll Verisma'!ER13+'Payroll MRO'!ER13</f>
        <v>0</v>
      </c>
      <c r="ES31" s="83">
        <f>'Payroll Verisma'!ES13+'Payroll MRO'!ES13</f>
        <v>0</v>
      </c>
      <c r="ET31" s="83">
        <f>'Payroll Verisma'!ET13+'Payroll MRO'!ET13</f>
        <v>0</v>
      </c>
      <c r="EU31" s="83">
        <f>'Payroll Verisma'!EU13+'Payroll MRO'!EU13</f>
        <v>13</v>
      </c>
      <c r="EV31" s="83">
        <f>'Payroll Verisma'!EV13+'Payroll MRO'!EV13</f>
        <v>0</v>
      </c>
      <c r="EW31" s="83">
        <f>'Payroll Verisma'!EW13+'Payroll MRO'!EW13</f>
        <v>0</v>
      </c>
      <c r="EX31" s="83">
        <f>'Payroll Verisma'!EX13+'Payroll MRO'!EX13</f>
        <v>0</v>
      </c>
      <c r="EY31" s="83">
        <f>'Payroll Verisma'!EY13+'Payroll MRO'!EY13</f>
        <v>0</v>
      </c>
      <c r="EZ31" s="83">
        <f>'Payroll Verisma'!EZ13+'Payroll MRO'!EZ13</f>
        <v>0</v>
      </c>
      <c r="FA31" s="83">
        <f>'Payroll Verisma'!FA13+'Payroll MRO'!FA13</f>
        <v>0</v>
      </c>
      <c r="FB31" s="83">
        <f>'Payroll Verisma'!FB13+'Payroll MRO'!FB13</f>
        <v>0</v>
      </c>
      <c r="FC31" s="83">
        <f>'Payroll Verisma'!FC13+'Payroll MRO'!FC13</f>
        <v>0</v>
      </c>
      <c r="FD31" s="83">
        <f>'Payroll Verisma'!FD13+'Payroll MRO'!FD13</f>
        <v>0</v>
      </c>
      <c r="FE31" s="83">
        <f>'Payroll Verisma'!FE13+'Payroll MRO'!FE13</f>
        <v>0</v>
      </c>
      <c r="FF31" s="83">
        <f>'Payroll Verisma'!FF13+'Payroll MRO'!FF13</f>
        <v>33</v>
      </c>
      <c r="FG31" s="83">
        <f>'Payroll Verisma'!FG13+'Payroll MRO'!FG13</f>
        <v>0</v>
      </c>
      <c r="FH31" s="83">
        <f>'Payroll Verisma'!FH13+'Payroll MRO'!FH13</f>
        <v>124</v>
      </c>
      <c r="FI31" s="83">
        <f>'Payroll Verisma'!FI13+'Payroll MRO'!FI13</f>
        <v>0</v>
      </c>
      <c r="FJ31" s="83">
        <f>'Payroll Verisma'!FJ13+'Payroll MRO'!FJ13</f>
        <v>0</v>
      </c>
      <c r="FK31" s="83">
        <f>'Payroll Verisma'!FK13+'Payroll MRO'!FK13</f>
        <v>0</v>
      </c>
      <c r="FL31" s="83">
        <f>'Payroll Verisma'!FL13+'Payroll MRO'!FL13</f>
        <v>0</v>
      </c>
      <c r="FM31" s="83">
        <f>'Payroll Verisma'!FM13+'Payroll MRO'!FM13</f>
        <v>0</v>
      </c>
      <c r="FN31" s="83">
        <f>'Payroll Verisma'!FN13+'Payroll MRO'!FN13</f>
        <v>0</v>
      </c>
      <c r="FO31" s="83">
        <f>'Payroll Verisma'!FO13+'Payroll MRO'!FO13</f>
        <v>0</v>
      </c>
      <c r="FP31" s="83">
        <f>'Payroll Verisma'!FP13+'Payroll MRO'!FP13</f>
        <v>7</v>
      </c>
      <c r="FQ31" s="83">
        <f>'Payroll Verisma'!FQ13+'Payroll MRO'!FQ13</f>
        <v>1</v>
      </c>
      <c r="FR31" s="83">
        <f>'Payroll Verisma'!FR13+'Payroll MRO'!FR13</f>
        <v>0</v>
      </c>
      <c r="FS31" s="83">
        <f>'Payroll Verisma'!FS13+'Payroll MRO'!FS13</f>
        <v>0</v>
      </c>
      <c r="FT31" s="83">
        <f>'Payroll Verisma'!FT13+'Payroll MRO'!FT13</f>
        <v>0</v>
      </c>
      <c r="FU31" s="83">
        <f>'Payroll Verisma'!FU13+'Payroll MRO'!FU13</f>
        <v>0</v>
      </c>
      <c r="FV31" s="83">
        <f>'Payroll Verisma'!FV13+'Payroll MRO'!FV13</f>
        <v>0</v>
      </c>
      <c r="FW31" s="83">
        <f>'Payroll Verisma'!FW13+'Payroll MRO'!FW13</f>
        <v>0</v>
      </c>
      <c r="FX31" s="83">
        <f>'Payroll Verisma'!FX13+'Payroll MRO'!FX13</f>
        <v>0</v>
      </c>
      <c r="FY31" s="83">
        <f>'Payroll Verisma'!FY13+'Payroll MRO'!FY13</f>
        <v>0</v>
      </c>
      <c r="FZ31" s="83">
        <f>'Payroll Verisma'!FZ13+'Payroll MRO'!FZ13</f>
        <v>0</v>
      </c>
      <c r="GA31" s="83">
        <f>'Payroll Verisma'!GA13+'Payroll MRO'!GA13</f>
        <v>0</v>
      </c>
      <c r="GB31" s="83">
        <f>'Payroll Verisma'!GB13+'Payroll MRO'!GB13</f>
        <v>0</v>
      </c>
      <c r="GC31" s="83">
        <f>'Payroll Verisma'!GC13+'Payroll MRO'!GC13</f>
        <v>0</v>
      </c>
      <c r="GD31" s="83">
        <f>'Payroll Verisma'!GD13+'Payroll MRO'!GD13</f>
        <v>0</v>
      </c>
      <c r="GE31" s="83">
        <f>'Payroll Verisma'!GE13+'Payroll MRO'!GE13</f>
        <v>1</v>
      </c>
      <c r="GF31" s="83">
        <f>'Payroll Verisma'!GF13+'Payroll MRO'!GF13</f>
        <v>0</v>
      </c>
      <c r="GG31" s="83">
        <f>'Payroll Verisma'!GG13+'Payroll MRO'!GG13</f>
        <v>0</v>
      </c>
      <c r="GH31" s="83">
        <f>'Payroll Verisma'!GH13+'Payroll MRO'!GH13</f>
        <v>0</v>
      </c>
      <c r="GI31" s="83">
        <f>'Payroll Verisma'!GI13+'Payroll MRO'!GI13</f>
        <v>0</v>
      </c>
      <c r="GJ31" s="83">
        <f>'Payroll Verisma'!GJ13+'Payroll MRO'!GJ13</f>
        <v>0</v>
      </c>
      <c r="GK31" s="83">
        <f>'Payroll Verisma'!GK13+'Payroll MRO'!GK13</f>
        <v>0</v>
      </c>
      <c r="GL31" s="83">
        <f>'Payroll Verisma'!GL13+'Payroll MRO'!GL13</f>
        <v>0</v>
      </c>
      <c r="GM31" s="83">
        <f>'Payroll Verisma'!GM13+'Payroll MRO'!GM13</f>
        <v>0</v>
      </c>
      <c r="GN31" s="83">
        <f>'Payroll Verisma'!GN13+'Payroll MRO'!GN13</f>
        <v>29</v>
      </c>
      <c r="GO31" s="83">
        <f>'Payroll Verisma'!GO13+'Payroll MRO'!GO13</f>
        <v>0</v>
      </c>
      <c r="GP31" s="83">
        <f>'Payroll Verisma'!GP13+'Payroll MRO'!GP13</f>
        <v>0</v>
      </c>
      <c r="GQ31" s="83">
        <f>'Payroll Verisma'!GQ13+'Payroll MRO'!GQ13</f>
        <v>0</v>
      </c>
      <c r="GR31" s="83">
        <f>'Payroll Verisma'!GR13+'Payroll MRO'!GR13</f>
        <v>10</v>
      </c>
    </row>
    <row r="32" spans="1:200" ht="15.6">
      <c r="A32" s="81">
        <f t="shared" si="83"/>
        <v>46034</v>
      </c>
      <c r="B32" s="82" t="str">
        <f t="shared" si="82"/>
        <v>Mon</v>
      </c>
      <c r="C32" s="75">
        <f t="shared" si="81"/>
        <v>5877</v>
      </c>
      <c r="D32" s="83">
        <f>'Payroll Verisma'!D14+'Payroll MRO'!D14</f>
        <v>0</v>
      </c>
      <c r="E32" s="83">
        <f>'Payroll Verisma'!E14+'Payroll MRO'!E14</f>
        <v>49</v>
      </c>
      <c r="F32" s="83">
        <f>'Payroll Verisma'!F14+'Payroll MRO'!F14</f>
        <v>0</v>
      </c>
      <c r="G32" s="83">
        <f>'Payroll Verisma'!G14+'Payroll MRO'!G14</f>
        <v>0</v>
      </c>
      <c r="H32" s="83">
        <f>'Payroll Verisma'!H14+'Payroll MRO'!H14</f>
        <v>58</v>
      </c>
      <c r="I32" s="83">
        <f>'Payroll Verisma'!I14+'Payroll MRO'!I14</f>
        <v>51</v>
      </c>
      <c r="J32" s="83">
        <f>'Payroll Verisma'!J14+'Payroll MRO'!J14</f>
        <v>0</v>
      </c>
      <c r="K32" s="83">
        <f>'Payroll Verisma'!K14+'Payroll MRO'!K14</f>
        <v>0</v>
      </c>
      <c r="L32" s="83">
        <f>'Payroll Verisma'!L14+'Payroll MRO'!L14</f>
        <v>0</v>
      </c>
      <c r="M32" s="83">
        <f>'Payroll Verisma'!M14+'Payroll MRO'!M14</f>
        <v>0</v>
      </c>
      <c r="N32" s="83">
        <f>'Payroll Verisma'!N14+'Payroll MRO'!N14</f>
        <v>30</v>
      </c>
      <c r="O32" s="83">
        <f>'Payroll Verisma'!O14+'Payroll MRO'!O14</f>
        <v>65</v>
      </c>
      <c r="P32" s="83">
        <f>'Payroll Verisma'!P14+'Payroll MRO'!P14</f>
        <v>50</v>
      </c>
      <c r="Q32" s="83">
        <f>'Payroll Verisma'!Q14+'Payroll MRO'!Q14</f>
        <v>25</v>
      </c>
      <c r="R32" s="83">
        <f>'Payroll Verisma'!R14+'Payroll MRO'!R14</f>
        <v>65</v>
      </c>
      <c r="S32" s="83">
        <f>'Payroll Verisma'!S14+'Payroll MRO'!S14</f>
        <v>55</v>
      </c>
      <c r="T32" s="83">
        <f>'Payroll Verisma'!T14+'Payroll MRO'!T14</f>
        <v>128</v>
      </c>
      <c r="U32" s="83">
        <f>'Payroll Verisma'!U14+'Payroll MRO'!U14</f>
        <v>28</v>
      </c>
      <c r="V32" s="83">
        <f>'Payroll Verisma'!V14+'Payroll MRO'!V14</f>
        <v>52</v>
      </c>
      <c r="W32" s="83">
        <f>'Payroll Verisma'!W14+'Payroll MRO'!W14</f>
        <v>0</v>
      </c>
      <c r="X32" s="83">
        <f>'Payroll Verisma'!X14+'Payroll MRO'!X14</f>
        <v>0</v>
      </c>
      <c r="Y32" s="83">
        <f>'Payroll Verisma'!Y14+'Payroll MRO'!Y14</f>
        <v>70</v>
      </c>
      <c r="Z32" s="83">
        <f>'Payroll Verisma'!Z14+'Payroll MRO'!Z14</f>
        <v>74</v>
      </c>
      <c r="AA32" s="83">
        <f>'Payroll Verisma'!AA14+'Payroll MRO'!AA14</f>
        <v>28</v>
      </c>
      <c r="AB32" s="83">
        <f>'Payroll Verisma'!AB14+'Payroll MRO'!AB14</f>
        <v>0</v>
      </c>
      <c r="AC32" s="83">
        <f>'Payroll Verisma'!AC14+'Payroll MRO'!AC14</f>
        <v>0</v>
      </c>
      <c r="AD32" s="83">
        <f>'Payroll Verisma'!AD14+'Payroll MRO'!AD14</f>
        <v>74</v>
      </c>
      <c r="AE32" s="83">
        <f>'Payroll Verisma'!AE14+'Payroll MRO'!AE14</f>
        <v>0</v>
      </c>
      <c r="AF32" s="83">
        <f>'Payroll Verisma'!AF14+'Payroll MRO'!AF14</f>
        <v>0</v>
      </c>
      <c r="AG32" s="83">
        <f>'Payroll Verisma'!AG14+'Payroll MRO'!AG14</f>
        <v>42</v>
      </c>
      <c r="AH32" s="83">
        <f>'Payroll Verisma'!AH14+'Payroll MRO'!AH14</f>
        <v>0</v>
      </c>
      <c r="AI32" s="83">
        <f>'Payroll Verisma'!AI14+'Payroll MRO'!AI14</f>
        <v>0</v>
      </c>
      <c r="AJ32" s="83">
        <f>'Payroll Verisma'!AJ14+'Payroll MRO'!AJ14</f>
        <v>0</v>
      </c>
      <c r="AK32" s="83">
        <f>'Payroll Verisma'!AK14+'Payroll MRO'!AK14</f>
        <v>23</v>
      </c>
      <c r="AL32" s="83">
        <f>'Payroll Verisma'!AL14+'Payroll MRO'!AL14</f>
        <v>5</v>
      </c>
      <c r="AM32" s="83">
        <f>'Payroll Verisma'!AM14+'Payroll MRO'!AM14</f>
        <v>0</v>
      </c>
      <c r="AN32" s="83">
        <f>'Payroll Verisma'!AN14+'Payroll MRO'!AN14</f>
        <v>19</v>
      </c>
      <c r="AO32" s="83">
        <f>'Payroll Verisma'!AO14+'Payroll MRO'!AO14</f>
        <v>0</v>
      </c>
      <c r="AP32" s="83">
        <f>'Payroll Verisma'!AP14+'Payroll MRO'!AP14</f>
        <v>11</v>
      </c>
      <c r="AQ32" s="83">
        <f>'Payroll Verisma'!AQ14+'Payroll MRO'!AQ14</f>
        <v>23</v>
      </c>
      <c r="AR32" s="83">
        <f>'Payroll Verisma'!AR14+'Payroll MRO'!AR14</f>
        <v>52</v>
      </c>
      <c r="AS32" s="83">
        <f>'Payroll Verisma'!AS14+'Payroll MRO'!AS14</f>
        <v>0</v>
      </c>
      <c r="AT32" s="83">
        <f>'Payroll Verisma'!AT14+'Payroll MRO'!AT14</f>
        <v>29</v>
      </c>
      <c r="AU32" s="83">
        <f>'Payroll Verisma'!AU14+'Payroll MRO'!AU14</f>
        <v>0</v>
      </c>
      <c r="AV32" s="83">
        <f>'Payroll Verisma'!AV14+'Payroll MRO'!AV14</f>
        <v>0</v>
      </c>
      <c r="AW32" s="83">
        <f>'Payroll Verisma'!AW14+'Payroll MRO'!AW14</f>
        <v>45</v>
      </c>
      <c r="AX32" s="83">
        <f>'Payroll Verisma'!AX14+'Payroll MRO'!AX14</f>
        <v>59</v>
      </c>
      <c r="AY32" s="83">
        <f>'Payroll Verisma'!AY14+'Payroll MRO'!AY14</f>
        <v>0</v>
      </c>
      <c r="AZ32" s="83">
        <f>'Payroll Verisma'!AZ14+'Payroll MRO'!AZ14</f>
        <v>60</v>
      </c>
      <c r="BA32" s="83">
        <f>'Payroll Verisma'!BA14+'Payroll MRO'!BA14</f>
        <v>94</v>
      </c>
      <c r="BB32" s="83">
        <f>'Payroll Verisma'!BB14+'Payroll MRO'!BB14</f>
        <v>42</v>
      </c>
      <c r="BC32" s="83">
        <f>'Payroll Verisma'!BC14+'Payroll MRO'!BC14</f>
        <v>0</v>
      </c>
      <c r="BD32" s="83">
        <f>'Payroll Verisma'!BD14+'Payroll MRO'!BD14</f>
        <v>89</v>
      </c>
      <c r="BE32" s="83">
        <f>'Payroll Verisma'!BE14+'Payroll MRO'!BE14</f>
        <v>33</v>
      </c>
      <c r="BF32" s="83">
        <f>'Payroll Verisma'!BF14+'Payroll MRO'!BF14</f>
        <v>0</v>
      </c>
      <c r="BG32" s="83">
        <f>'Payroll Verisma'!BG14+'Payroll MRO'!BG14</f>
        <v>47</v>
      </c>
      <c r="BH32" s="83">
        <f>'Payroll Verisma'!BH14+'Payroll MRO'!BH14</f>
        <v>17</v>
      </c>
      <c r="BI32" s="83">
        <f>'Payroll Verisma'!BI14+'Payroll MRO'!BI14</f>
        <v>44</v>
      </c>
      <c r="BJ32" s="83">
        <f>'Payroll Verisma'!BJ14+'Payroll MRO'!BJ14</f>
        <v>14</v>
      </c>
      <c r="BK32" s="83">
        <f>'Payroll Verisma'!BK14+'Payroll MRO'!BK14</f>
        <v>0</v>
      </c>
      <c r="BL32" s="83">
        <f>'Payroll Verisma'!BL14+'Payroll MRO'!BL14</f>
        <v>0</v>
      </c>
      <c r="BM32" s="83">
        <f>'Payroll Verisma'!BM14+'Payroll MRO'!BM14</f>
        <v>0</v>
      </c>
      <c r="BN32" s="83">
        <f>'Payroll Verisma'!BN14+'Payroll MRO'!BN14</f>
        <v>0</v>
      </c>
      <c r="BO32" s="83">
        <f>'Payroll Verisma'!BO14+'Payroll MRO'!BO14</f>
        <v>24</v>
      </c>
      <c r="BP32" s="83">
        <f>'Payroll Verisma'!BP14+'Payroll MRO'!BP14</f>
        <v>51</v>
      </c>
      <c r="BQ32" s="83">
        <f>'Payroll Verisma'!BQ14+'Payroll MRO'!BQ14</f>
        <v>0</v>
      </c>
      <c r="BR32" s="83">
        <f>'Payroll Verisma'!BR14+'Payroll MRO'!BR14</f>
        <v>0</v>
      </c>
      <c r="BS32" s="83">
        <f>'Payroll Verisma'!BS14+'Payroll MRO'!BS14</f>
        <v>30</v>
      </c>
      <c r="BT32" s="83">
        <f>'Payroll Verisma'!BT14+'Payroll MRO'!BT14</f>
        <v>0</v>
      </c>
      <c r="BU32" s="83">
        <f>'Payroll Verisma'!BU14+'Payroll MRO'!BU14</f>
        <v>31</v>
      </c>
      <c r="BV32" s="83">
        <f>'Payroll Verisma'!BV14+'Payroll MRO'!BV14</f>
        <v>9</v>
      </c>
      <c r="BW32" s="83">
        <f>'Payroll Verisma'!BW14+'Payroll MRO'!BW14</f>
        <v>22</v>
      </c>
      <c r="BX32" s="83">
        <f>'Payroll Verisma'!BX14+'Payroll MRO'!BX14</f>
        <v>0</v>
      </c>
      <c r="BY32" s="83">
        <f>'Payroll Verisma'!BY14+'Payroll MRO'!BY14</f>
        <v>0</v>
      </c>
      <c r="BZ32" s="83">
        <f>'Payroll Verisma'!BZ14+'Payroll MRO'!BZ14</f>
        <v>61</v>
      </c>
      <c r="CA32" s="83">
        <f>'Payroll Verisma'!CA14+'Payroll MRO'!CA14</f>
        <v>45</v>
      </c>
      <c r="CB32" s="83">
        <f>'Payroll Verisma'!CB14+'Payroll MRO'!CB14</f>
        <v>48</v>
      </c>
      <c r="CC32" s="83">
        <f>'Payroll Verisma'!CC14+'Payroll MRO'!CC14</f>
        <v>29</v>
      </c>
      <c r="CD32" s="83">
        <f>'Payroll Verisma'!CD14+'Payroll MRO'!CD14</f>
        <v>244</v>
      </c>
      <c r="CE32" s="83">
        <f>'Payroll Verisma'!CE14+'Payroll MRO'!CE14</f>
        <v>15</v>
      </c>
      <c r="CF32" s="83">
        <f>'Payroll Verisma'!CF14+'Payroll MRO'!CF14</f>
        <v>18</v>
      </c>
      <c r="CG32" s="83">
        <f>'Payroll Verisma'!CG14+'Payroll MRO'!CG14</f>
        <v>0</v>
      </c>
      <c r="CH32" s="83">
        <f>'Payroll Verisma'!CH14+'Payroll MRO'!CH14</f>
        <v>56</v>
      </c>
      <c r="CI32" s="83">
        <f>'Payroll Verisma'!CI14+'Payroll MRO'!CI14</f>
        <v>0</v>
      </c>
      <c r="CJ32" s="83">
        <f>'Payroll Verisma'!CJ14+'Payroll MRO'!CJ14</f>
        <v>183</v>
      </c>
      <c r="CK32" s="83">
        <f>'Payroll Verisma'!CK14+'Payroll MRO'!CK14</f>
        <v>0</v>
      </c>
      <c r="CL32" s="83">
        <f>'Payroll Verisma'!CL14+'Payroll MRO'!CL14</f>
        <v>50</v>
      </c>
      <c r="CM32" s="83">
        <f>'Payroll Verisma'!CM14+'Payroll MRO'!CM14</f>
        <v>0</v>
      </c>
      <c r="CN32" s="83">
        <f>'Payroll Verisma'!CN14+'Payroll MRO'!CN14</f>
        <v>54</v>
      </c>
      <c r="CO32" s="83">
        <f>'Payroll Verisma'!CO14+'Payroll MRO'!CO14</f>
        <v>0</v>
      </c>
      <c r="CP32" s="83">
        <f>'Payroll Verisma'!CP14+'Payroll MRO'!CP14</f>
        <v>0</v>
      </c>
      <c r="CQ32" s="83">
        <f>'Payroll Verisma'!CQ14+'Payroll MRO'!CQ14</f>
        <v>0</v>
      </c>
      <c r="CR32" s="83">
        <f>'Payroll Verisma'!CR14+'Payroll MRO'!CR14</f>
        <v>0</v>
      </c>
      <c r="CS32" s="83">
        <f>'Payroll Verisma'!CS14+'Payroll MRO'!CS14</f>
        <v>20</v>
      </c>
      <c r="CT32" s="83">
        <f>'Payroll Verisma'!CT14+'Payroll MRO'!CT14</f>
        <v>23</v>
      </c>
      <c r="CU32" s="83">
        <f>'Payroll Verisma'!CU14+'Payroll MRO'!CU14</f>
        <v>49</v>
      </c>
      <c r="CV32" s="83">
        <f>'Payroll Verisma'!CV14+'Payroll MRO'!CV14</f>
        <v>0</v>
      </c>
      <c r="CW32" s="83">
        <f>'Payroll Verisma'!CW14+'Payroll MRO'!CW14</f>
        <v>0</v>
      </c>
      <c r="CX32" s="83">
        <f>'Payroll Verisma'!CX14+'Payroll MRO'!CX14</f>
        <v>0</v>
      </c>
      <c r="CY32" s="83">
        <f>'Payroll Verisma'!CY14+'Payroll MRO'!CY14</f>
        <v>96</v>
      </c>
      <c r="CZ32" s="83">
        <f>'Payroll Verisma'!CZ14+'Payroll MRO'!CZ14</f>
        <v>11</v>
      </c>
      <c r="DA32" s="83">
        <f>'Payroll Verisma'!DA14+'Payroll MRO'!DA14</f>
        <v>52</v>
      </c>
      <c r="DB32" s="83">
        <f>'Payroll Verisma'!DB14+'Payroll MRO'!DB14</f>
        <v>0</v>
      </c>
      <c r="DC32" s="83">
        <f>'Payroll Verisma'!DC14+'Payroll MRO'!DC14</f>
        <v>0</v>
      </c>
      <c r="DD32" s="83">
        <f>'Payroll Verisma'!DD14+'Payroll MRO'!DD14</f>
        <v>74</v>
      </c>
      <c r="DE32" s="83">
        <f>'Payroll Verisma'!DE14+'Payroll MRO'!DE14</f>
        <v>45</v>
      </c>
      <c r="DF32" s="83">
        <f>'Payroll Verisma'!DF14+'Payroll MRO'!DF14</f>
        <v>0</v>
      </c>
      <c r="DG32" s="83">
        <f>'Payroll Verisma'!DG14+'Payroll MRO'!DG14</f>
        <v>4</v>
      </c>
      <c r="DH32" s="83">
        <f>'Payroll Verisma'!DH14+'Payroll MRO'!DH14</f>
        <v>17</v>
      </c>
      <c r="DI32" s="83">
        <f>'Payroll Verisma'!DI14+'Payroll MRO'!DI14</f>
        <v>45</v>
      </c>
      <c r="DJ32" s="83">
        <f>'Payroll Verisma'!DJ14+'Payroll MRO'!DJ14</f>
        <v>0</v>
      </c>
      <c r="DK32" s="83">
        <f>'Payroll Verisma'!DK14+'Payroll MRO'!DK14</f>
        <v>237</v>
      </c>
      <c r="DL32" s="83">
        <f>'Payroll Verisma'!DL14+'Payroll MRO'!DL14</f>
        <v>19</v>
      </c>
      <c r="DM32" s="83">
        <f>'Payroll Verisma'!DM14+'Payroll MRO'!DM14</f>
        <v>50</v>
      </c>
      <c r="DN32" s="83">
        <f>'Payroll Verisma'!DN14+'Payroll MRO'!DN14</f>
        <v>67</v>
      </c>
      <c r="DO32" s="83">
        <f>'Payroll Verisma'!DO14+'Payroll MRO'!DO14</f>
        <v>21</v>
      </c>
      <c r="DP32" s="83">
        <f>'Payroll Verisma'!DP14+'Payroll MRO'!DP14</f>
        <v>0</v>
      </c>
      <c r="DQ32" s="83">
        <f>'Payroll Verisma'!DQ14+'Payroll MRO'!DQ14</f>
        <v>14</v>
      </c>
      <c r="DR32" s="83">
        <f>'Payroll Verisma'!DR14+'Payroll MRO'!DR14</f>
        <v>70</v>
      </c>
      <c r="DS32" s="83">
        <f>'Payroll Verisma'!DS14+'Payroll MRO'!DS14</f>
        <v>30</v>
      </c>
      <c r="DT32" s="83">
        <f>'Payroll Verisma'!DT14+'Payroll MRO'!DT14</f>
        <v>62</v>
      </c>
      <c r="DU32" s="83">
        <f>'Payroll Verisma'!DU14+'Payroll MRO'!DU14</f>
        <v>33</v>
      </c>
      <c r="DV32" s="83">
        <f>'Payroll Verisma'!DV14+'Payroll MRO'!DV14</f>
        <v>0</v>
      </c>
      <c r="DW32" s="83">
        <f>'Payroll Verisma'!DW14+'Payroll MRO'!DW14</f>
        <v>0</v>
      </c>
      <c r="DX32" s="83">
        <f>'Payroll Verisma'!DX14+'Payroll MRO'!DX14</f>
        <v>45</v>
      </c>
      <c r="DY32" s="83">
        <f>'Payroll Verisma'!DY14+'Payroll MRO'!DY14</f>
        <v>78</v>
      </c>
      <c r="DZ32" s="83">
        <f>'Payroll Verisma'!DZ14+'Payroll MRO'!DZ14</f>
        <v>92</v>
      </c>
      <c r="EA32" s="83">
        <f>'Payroll Verisma'!EA14+'Payroll MRO'!EA14</f>
        <v>0</v>
      </c>
      <c r="EB32" s="83">
        <f>'Payroll Verisma'!EB14+'Payroll MRO'!EB14</f>
        <v>50</v>
      </c>
      <c r="EC32" s="83">
        <f>'Payroll Verisma'!EC14+'Payroll MRO'!EC14</f>
        <v>0</v>
      </c>
      <c r="ED32" s="83">
        <f>'Payroll Verisma'!ED14+'Payroll MRO'!ED14</f>
        <v>57</v>
      </c>
      <c r="EE32" s="83">
        <f>'Payroll Verisma'!EE14+'Payroll MRO'!EE14</f>
        <v>2</v>
      </c>
      <c r="EF32" s="83">
        <f>'Payroll Verisma'!EF14+'Payroll MRO'!EF14</f>
        <v>62</v>
      </c>
      <c r="EG32" s="83">
        <f>'Payroll Verisma'!EG14+'Payroll MRO'!EG14</f>
        <v>0</v>
      </c>
      <c r="EH32" s="83">
        <f>'Payroll Verisma'!EH14+'Payroll MRO'!EH14</f>
        <v>12</v>
      </c>
      <c r="EI32" s="83">
        <f>'Payroll Verisma'!EI14+'Payroll MRO'!EI14</f>
        <v>71</v>
      </c>
      <c r="EJ32" s="83">
        <f>'Payroll Verisma'!EJ14+'Payroll MRO'!EJ14</f>
        <v>40</v>
      </c>
      <c r="EK32" s="83">
        <f>'Payroll Verisma'!EK14+'Payroll MRO'!EK14</f>
        <v>38</v>
      </c>
      <c r="EL32" s="83">
        <f>'Payroll Verisma'!EL14+'Payroll MRO'!EL14</f>
        <v>54</v>
      </c>
      <c r="EM32" s="83">
        <f>'Payroll Verisma'!EM14+'Payroll MRO'!EM14</f>
        <v>22</v>
      </c>
      <c r="EN32" s="83">
        <f>'Payroll Verisma'!EN14+'Payroll MRO'!EN14</f>
        <v>0</v>
      </c>
      <c r="EO32" s="83">
        <f>'Payroll Verisma'!EO14+'Payroll MRO'!EO14</f>
        <v>47</v>
      </c>
      <c r="EP32" s="83">
        <f>'Payroll Verisma'!EP14+'Payroll MRO'!EP14</f>
        <v>0</v>
      </c>
      <c r="EQ32" s="83">
        <f>'Payroll Verisma'!EQ14+'Payroll MRO'!EQ14</f>
        <v>20</v>
      </c>
      <c r="ER32" s="83">
        <f>'Payroll Verisma'!ER14+'Payroll MRO'!ER14</f>
        <v>10</v>
      </c>
      <c r="ES32" s="83">
        <f>'Payroll Verisma'!ES14+'Payroll MRO'!ES14</f>
        <v>10</v>
      </c>
      <c r="ET32" s="83">
        <f>'Payroll Verisma'!ET14+'Payroll MRO'!ET14</f>
        <v>16</v>
      </c>
      <c r="EU32" s="83">
        <f>'Payroll Verisma'!EU14+'Payroll MRO'!EU14</f>
        <v>43</v>
      </c>
      <c r="EV32" s="83">
        <f>'Payroll Verisma'!EV14+'Payroll MRO'!EV14</f>
        <v>57</v>
      </c>
      <c r="EW32" s="83">
        <f>'Payroll Verisma'!EW14+'Payroll MRO'!EW14</f>
        <v>15</v>
      </c>
      <c r="EX32" s="83">
        <f>'Payroll Verisma'!EX14+'Payroll MRO'!EX14</f>
        <v>34</v>
      </c>
      <c r="EY32" s="83">
        <f>'Payroll Verisma'!EY14+'Payroll MRO'!EY14</f>
        <v>46</v>
      </c>
      <c r="EZ32" s="83">
        <f>'Payroll Verisma'!EZ14+'Payroll MRO'!EZ14</f>
        <v>19</v>
      </c>
      <c r="FA32" s="83">
        <f>'Payroll Verisma'!FA14+'Payroll MRO'!FA14</f>
        <v>0</v>
      </c>
      <c r="FB32" s="83">
        <f>'Payroll Verisma'!FB14+'Payroll MRO'!FB14</f>
        <v>10</v>
      </c>
      <c r="FC32" s="83">
        <f>'Payroll Verisma'!FC14+'Payroll MRO'!FC14</f>
        <v>0</v>
      </c>
      <c r="FD32" s="83">
        <f>'Payroll Verisma'!FD14+'Payroll MRO'!FD14</f>
        <v>18</v>
      </c>
      <c r="FE32" s="83">
        <f>'Payroll Verisma'!FE14+'Payroll MRO'!FE14</f>
        <v>0</v>
      </c>
      <c r="FF32" s="83">
        <f>'Payroll Verisma'!FF14+'Payroll MRO'!FF14</f>
        <v>23</v>
      </c>
      <c r="FG32" s="83">
        <f>'Payroll Verisma'!FG14+'Payroll MRO'!FG14</f>
        <v>0</v>
      </c>
      <c r="FH32" s="83">
        <f>'Payroll Verisma'!FH14+'Payroll MRO'!FH14</f>
        <v>126</v>
      </c>
      <c r="FI32" s="83">
        <f>'Payroll Verisma'!FI14+'Payroll MRO'!FI14</f>
        <v>28</v>
      </c>
      <c r="FJ32" s="83">
        <f>'Payroll Verisma'!FJ14+'Payroll MRO'!FJ14</f>
        <v>0</v>
      </c>
      <c r="FK32" s="83">
        <f>'Payroll Verisma'!FK14+'Payroll MRO'!FK14</f>
        <v>61</v>
      </c>
      <c r="FL32" s="83">
        <f>'Payroll Verisma'!FL14+'Payroll MRO'!FL14</f>
        <v>0</v>
      </c>
      <c r="FM32" s="83">
        <f>'Payroll Verisma'!FM14+'Payroll MRO'!FM14</f>
        <v>31</v>
      </c>
      <c r="FN32" s="83">
        <f>'Payroll Verisma'!FN14+'Payroll MRO'!FN14</f>
        <v>11</v>
      </c>
      <c r="FO32" s="83">
        <f>'Payroll Verisma'!FO14+'Payroll MRO'!FO14</f>
        <v>49</v>
      </c>
      <c r="FP32" s="83">
        <f>'Payroll Verisma'!FP14+'Payroll MRO'!FP14</f>
        <v>34</v>
      </c>
      <c r="FQ32" s="83">
        <f>'Payroll Verisma'!FQ14+'Payroll MRO'!FQ14</f>
        <v>58</v>
      </c>
      <c r="FR32" s="83">
        <f>'Payroll Verisma'!FR14+'Payroll MRO'!FR14</f>
        <v>0</v>
      </c>
      <c r="FS32" s="83">
        <f>'Payroll Verisma'!FS14+'Payroll MRO'!FS14</f>
        <v>58</v>
      </c>
      <c r="FT32" s="83">
        <f>'Payroll Verisma'!FT14+'Payroll MRO'!FT14</f>
        <v>47</v>
      </c>
      <c r="FU32" s="83">
        <f>'Payroll Verisma'!FU14+'Payroll MRO'!FU14</f>
        <v>0</v>
      </c>
      <c r="FV32" s="83">
        <f>'Payroll Verisma'!FV14+'Payroll MRO'!FV14</f>
        <v>0</v>
      </c>
      <c r="FW32" s="83">
        <f>'Payroll Verisma'!FW14+'Payroll MRO'!FW14</f>
        <v>0</v>
      </c>
      <c r="FX32" s="83">
        <f>'Payroll Verisma'!FX14+'Payroll MRO'!FX14</f>
        <v>0</v>
      </c>
      <c r="FY32" s="83">
        <f>'Payroll Verisma'!FY14+'Payroll MRO'!FY14</f>
        <v>16</v>
      </c>
      <c r="FZ32" s="83">
        <f>'Payroll Verisma'!FZ14+'Payroll MRO'!FZ14</f>
        <v>49</v>
      </c>
      <c r="GA32" s="83">
        <f>'Payroll Verisma'!GA14+'Payroll MRO'!GA14</f>
        <v>0</v>
      </c>
      <c r="GB32" s="83">
        <f>'Payroll Verisma'!GB14+'Payroll MRO'!GB14</f>
        <v>69</v>
      </c>
      <c r="GC32" s="83">
        <f>'Payroll Verisma'!GC14+'Payroll MRO'!GC14</f>
        <v>0</v>
      </c>
      <c r="GD32" s="83">
        <f>'Payroll Verisma'!GD14+'Payroll MRO'!GD14</f>
        <v>47</v>
      </c>
      <c r="GE32" s="83">
        <f>'Payroll Verisma'!GE14+'Payroll MRO'!GE14</f>
        <v>45</v>
      </c>
      <c r="GF32" s="83">
        <f>'Payroll Verisma'!GF14+'Payroll MRO'!GF14</f>
        <v>64</v>
      </c>
      <c r="GG32" s="83">
        <f>'Payroll Verisma'!GG14+'Payroll MRO'!GG14</f>
        <v>68</v>
      </c>
      <c r="GH32" s="83">
        <f>'Payroll Verisma'!GH14+'Payroll MRO'!GH14</f>
        <v>9</v>
      </c>
      <c r="GI32" s="83">
        <f>'Payroll Verisma'!GI14+'Payroll MRO'!GI14</f>
        <v>0</v>
      </c>
      <c r="GJ32" s="83">
        <f>'Payroll Verisma'!GJ14+'Payroll MRO'!GJ14</f>
        <v>37</v>
      </c>
      <c r="GK32" s="83">
        <f>'Payroll Verisma'!GK14+'Payroll MRO'!GK14</f>
        <v>72</v>
      </c>
      <c r="GL32" s="83">
        <f>'Payroll Verisma'!GL14+'Payroll MRO'!GL14</f>
        <v>72</v>
      </c>
      <c r="GM32" s="83">
        <f>'Payroll Verisma'!GM14+'Payroll MRO'!GM14</f>
        <v>48</v>
      </c>
      <c r="GN32" s="83">
        <f>'Payroll Verisma'!GN14+'Payroll MRO'!GN14</f>
        <v>32</v>
      </c>
      <c r="GO32" s="83">
        <f>'Payroll Verisma'!GO14+'Payroll MRO'!GO14</f>
        <v>30</v>
      </c>
      <c r="GP32" s="83">
        <f>'Payroll Verisma'!GP14+'Payroll MRO'!GP14</f>
        <v>34</v>
      </c>
      <c r="GQ32" s="83">
        <f>'Payroll Verisma'!GQ14+'Payroll MRO'!GQ14</f>
        <v>0</v>
      </c>
      <c r="GR32" s="83">
        <f>'Payroll Verisma'!GR14+'Payroll MRO'!GR14</f>
        <v>32</v>
      </c>
    </row>
    <row r="33" spans="1:200" ht="15.6">
      <c r="A33" s="81">
        <f t="shared" si="83"/>
        <v>46035</v>
      </c>
      <c r="B33" s="82" t="str">
        <f t="shared" si="82"/>
        <v>Tue</v>
      </c>
      <c r="C33" s="75">
        <f t="shared" si="81"/>
        <v>5014</v>
      </c>
      <c r="D33" s="83">
        <f>'Payroll Verisma'!D15+'Payroll MRO'!D15</f>
        <v>0</v>
      </c>
      <c r="E33" s="83">
        <f>'Payroll Verisma'!E15+'Payroll MRO'!E15</f>
        <v>17</v>
      </c>
      <c r="F33" s="83">
        <f>'Payroll Verisma'!F15+'Payroll MRO'!F15</f>
        <v>0</v>
      </c>
      <c r="G33" s="83">
        <f>'Payroll Verisma'!G15+'Payroll MRO'!G15</f>
        <v>0</v>
      </c>
      <c r="H33" s="83">
        <f>'Payroll Verisma'!H15+'Payroll MRO'!H15</f>
        <v>28</v>
      </c>
      <c r="I33" s="83">
        <f>'Payroll Verisma'!I15+'Payroll MRO'!I15</f>
        <v>89</v>
      </c>
      <c r="J33" s="83">
        <f>'Payroll Verisma'!J15+'Payroll MRO'!J15</f>
        <v>0</v>
      </c>
      <c r="K33" s="83">
        <f>'Payroll Verisma'!K15+'Payroll MRO'!K15</f>
        <v>0</v>
      </c>
      <c r="L33" s="83">
        <f>'Payroll Verisma'!L15+'Payroll MRO'!L15</f>
        <v>0</v>
      </c>
      <c r="M33" s="83">
        <f>'Payroll Verisma'!M15+'Payroll MRO'!M15</f>
        <v>0</v>
      </c>
      <c r="N33" s="83">
        <f>'Payroll Verisma'!N15+'Payroll MRO'!N15</f>
        <v>19</v>
      </c>
      <c r="O33" s="83">
        <f>'Payroll Verisma'!O15+'Payroll MRO'!O15</f>
        <v>64</v>
      </c>
      <c r="P33" s="83">
        <f>'Payroll Verisma'!P15+'Payroll MRO'!P15</f>
        <v>41</v>
      </c>
      <c r="Q33" s="83">
        <f>'Payroll Verisma'!Q15+'Payroll MRO'!Q15</f>
        <v>43</v>
      </c>
      <c r="R33" s="83">
        <f>'Payroll Verisma'!R15+'Payroll MRO'!R15</f>
        <v>86</v>
      </c>
      <c r="S33" s="83">
        <f>'Payroll Verisma'!S15+'Payroll MRO'!S15</f>
        <v>57</v>
      </c>
      <c r="T33" s="83">
        <f>'Payroll Verisma'!T15+'Payroll MRO'!T15</f>
        <v>118</v>
      </c>
      <c r="U33" s="83">
        <f>'Payroll Verisma'!U15+'Payroll MRO'!U15</f>
        <v>10</v>
      </c>
      <c r="V33" s="83">
        <f>'Payroll Verisma'!V15+'Payroll MRO'!V15</f>
        <v>40</v>
      </c>
      <c r="W33" s="83">
        <f>'Payroll Verisma'!W15+'Payroll MRO'!W15</f>
        <v>0</v>
      </c>
      <c r="X33" s="83">
        <f>'Payroll Verisma'!X15+'Payroll MRO'!X15</f>
        <v>0</v>
      </c>
      <c r="Y33" s="83">
        <f>'Payroll Verisma'!Y15+'Payroll MRO'!Y15</f>
        <v>69</v>
      </c>
      <c r="Z33" s="83">
        <f>'Payroll Verisma'!Z15+'Payroll MRO'!Z15</f>
        <v>72</v>
      </c>
      <c r="AA33" s="83">
        <f>'Payroll Verisma'!AA15+'Payroll MRO'!AA15</f>
        <v>17</v>
      </c>
      <c r="AB33" s="83">
        <f>'Payroll Verisma'!AB15+'Payroll MRO'!AB15</f>
        <v>14</v>
      </c>
      <c r="AC33" s="83">
        <f>'Payroll Verisma'!AC15+'Payroll MRO'!AC15</f>
        <v>0</v>
      </c>
      <c r="AD33" s="83">
        <f>'Payroll Verisma'!AD15+'Payroll MRO'!AD15</f>
        <v>78</v>
      </c>
      <c r="AE33" s="83">
        <f>'Payroll Verisma'!AE15+'Payroll MRO'!AE15</f>
        <v>0</v>
      </c>
      <c r="AF33" s="83">
        <f>'Payroll Verisma'!AF15+'Payroll MRO'!AF15</f>
        <v>0</v>
      </c>
      <c r="AG33" s="83">
        <f>'Payroll Verisma'!AG15+'Payroll MRO'!AG15</f>
        <v>51</v>
      </c>
      <c r="AH33" s="83">
        <f>'Payroll Verisma'!AH15+'Payroll MRO'!AH15</f>
        <v>0</v>
      </c>
      <c r="AI33" s="83">
        <f>'Payroll Verisma'!AI15+'Payroll MRO'!AI15</f>
        <v>0</v>
      </c>
      <c r="AJ33" s="83">
        <f>'Payroll Verisma'!AJ15+'Payroll MRO'!AJ15</f>
        <v>0</v>
      </c>
      <c r="AK33" s="83">
        <f>'Payroll Verisma'!AK15+'Payroll MRO'!AK15</f>
        <v>2</v>
      </c>
      <c r="AL33" s="83">
        <f>'Payroll Verisma'!AL15+'Payroll MRO'!AL15</f>
        <v>44</v>
      </c>
      <c r="AM33" s="83">
        <f>'Payroll Verisma'!AM15+'Payroll MRO'!AM15</f>
        <v>0</v>
      </c>
      <c r="AN33" s="83">
        <f>'Payroll Verisma'!AN15+'Payroll MRO'!AN15</f>
        <v>10</v>
      </c>
      <c r="AO33" s="83">
        <f>'Payroll Verisma'!AO15+'Payroll MRO'!AO15</f>
        <v>0</v>
      </c>
      <c r="AP33" s="83">
        <f>'Payroll Verisma'!AP15+'Payroll MRO'!AP15</f>
        <v>16</v>
      </c>
      <c r="AQ33" s="83">
        <f>'Payroll Verisma'!AQ15+'Payroll MRO'!AQ15</f>
        <v>10</v>
      </c>
      <c r="AR33" s="83">
        <f>'Payroll Verisma'!AR15+'Payroll MRO'!AR15</f>
        <v>13</v>
      </c>
      <c r="AS33" s="83">
        <f>'Payroll Verisma'!AS15+'Payroll MRO'!AS15</f>
        <v>0</v>
      </c>
      <c r="AT33" s="83">
        <f>'Payroll Verisma'!AT15+'Payroll MRO'!AT15</f>
        <v>13</v>
      </c>
      <c r="AU33" s="83">
        <f>'Payroll Verisma'!AU15+'Payroll MRO'!AU15</f>
        <v>0</v>
      </c>
      <c r="AV33" s="83">
        <f>'Payroll Verisma'!AV15+'Payroll MRO'!AV15</f>
        <v>0</v>
      </c>
      <c r="AW33" s="83">
        <f>'Payroll Verisma'!AW15+'Payroll MRO'!AW15</f>
        <v>33</v>
      </c>
      <c r="AX33" s="83">
        <f>'Payroll Verisma'!AX15+'Payroll MRO'!AX15</f>
        <v>56</v>
      </c>
      <c r="AY33" s="83">
        <f>'Payroll Verisma'!AY15+'Payroll MRO'!AY15</f>
        <v>0</v>
      </c>
      <c r="AZ33" s="83">
        <f>'Payroll Verisma'!AZ15+'Payroll MRO'!AZ15</f>
        <v>32</v>
      </c>
      <c r="BA33" s="83">
        <f>'Payroll Verisma'!BA15+'Payroll MRO'!BA15</f>
        <v>75</v>
      </c>
      <c r="BB33" s="83">
        <f>'Payroll Verisma'!BB15+'Payroll MRO'!BB15</f>
        <v>44</v>
      </c>
      <c r="BC33" s="83">
        <f>'Payroll Verisma'!BC15+'Payroll MRO'!BC15</f>
        <v>0</v>
      </c>
      <c r="BD33" s="83">
        <f>'Payroll Verisma'!BD15+'Payroll MRO'!BD15</f>
        <v>78</v>
      </c>
      <c r="BE33" s="83">
        <f>'Payroll Verisma'!BE15+'Payroll MRO'!BE15</f>
        <v>33</v>
      </c>
      <c r="BF33" s="83">
        <f>'Payroll Verisma'!BF15+'Payroll MRO'!BF15</f>
        <v>0</v>
      </c>
      <c r="BG33" s="83">
        <f>'Payroll Verisma'!BG15+'Payroll MRO'!BG15</f>
        <v>59</v>
      </c>
      <c r="BH33" s="83">
        <f>'Payroll Verisma'!BH15+'Payroll MRO'!BH15</f>
        <v>15</v>
      </c>
      <c r="BI33" s="83">
        <f>'Payroll Verisma'!BI15+'Payroll MRO'!BI15</f>
        <v>47</v>
      </c>
      <c r="BJ33" s="83">
        <f>'Payroll Verisma'!BJ15+'Payroll MRO'!BJ15</f>
        <v>20</v>
      </c>
      <c r="BK33" s="83">
        <f>'Payroll Verisma'!BK15+'Payroll MRO'!BK15</f>
        <v>0</v>
      </c>
      <c r="BL33" s="83">
        <f>'Payroll Verisma'!BL15+'Payroll MRO'!BL15</f>
        <v>0</v>
      </c>
      <c r="BM33" s="83">
        <f>'Payroll Verisma'!BM15+'Payroll MRO'!BM15</f>
        <v>0</v>
      </c>
      <c r="BN33" s="83">
        <f>'Payroll Verisma'!BN15+'Payroll MRO'!BN15</f>
        <v>0</v>
      </c>
      <c r="BO33" s="83">
        <f>'Payroll Verisma'!BO15+'Payroll MRO'!BO15</f>
        <v>15</v>
      </c>
      <c r="BP33" s="83">
        <f>'Payroll Verisma'!BP15+'Payroll MRO'!BP15</f>
        <v>49</v>
      </c>
      <c r="BQ33" s="83">
        <f>'Payroll Verisma'!BQ15+'Payroll MRO'!BQ15</f>
        <v>0</v>
      </c>
      <c r="BR33" s="83">
        <f>'Payroll Verisma'!BR15+'Payroll MRO'!BR15</f>
        <v>0</v>
      </c>
      <c r="BS33" s="83">
        <f>'Payroll Verisma'!BS15+'Payroll MRO'!BS15</f>
        <v>33</v>
      </c>
      <c r="BT33" s="83">
        <f>'Payroll Verisma'!BT15+'Payroll MRO'!BT15</f>
        <v>0</v>
      </c>
      <c r="BU33" s="83">
        <f>'Payroll Verisma'!BU15+'Payroll MRO'!BU15</f>
        <v>45</v>
      </c>
      <c r="BV33" s="83">
        <f>'Payroll Verisma'!BV15+'Payroll MRO'!BV15</f>
        <v>29</v>
      </c>
      <c r="BW33" s="83">
        <f>'Payroll Verisma'!BW15+'Payroll MRO'!BW15</f>
        <v>69</v>
      </c>
      <c r="BX33" s="83">
        <f>'Payroll Verisma'!BX15+'Payroll MRO'!BX15</f>
        <v>0</v>
      </c>
      <c r="BY33" s="83">
        <f>'Payroll Verisma'!BY15+'Payroll MRO'!BY15</f>
        <v>0</v>
      </c>
      <c r="BZ33" s="83">
        <f>'Payroll Verisma'!BZ15+'Payroll MRO'!BZ15</f>
        <v>72</v>
      </c>
      <c r="CA33" s="83">
        <f>'Payroll Verisma'!CA15+'Payroll MRO'!CA15</f>
        <v>29</v>
      </c>
      <c r="CB33" s="83">
        <f>'Payroll Verisma'!CB15+'Payroll MRO'!CB15</f>
        <v>58</v>
      </c>
      <c r="CC33" s="83">
        <f>'Payroll Verisma'!CC15+'Payroll MRO'!CC15</f>
        <v>0</v>
      </c>
      <c r="CD33" s="83">
        <f>'Payroll Verisma'!CD15+'Payroll MRO'!CD15</f>
        <v>36</v>
      </c>
      <c r="CE33" s="83">
        <f>'Payroll Verisma'!CE15+'Payroll MRO'!CE15</f>
        <v>7</v>
      </c>
      <c r="CF33" s="83">
        <f>'Payroll Verisma'!CF15+'Payroll MRO'!CF15</f>
        <v>2</v>
      </c>
      <c r="CG33" s="83">
        <f>'Payroll Verisma'!CG15+'Payroll MRO'!CG15</f>
        <v>0</v>
      </c>
      <c r="CH33" s="83">
        <f>'Payroll Verisma'!CH15+'Payroll MRO'!CH15</f>
        <v>53</v>
      </c>
      <c r="CI33" s="83">
        <f>'Payroll Verisma'!CI15+'Payroll MRO'!CI15</f>
        <v>0</v>
      </c>
      <c r="CJ33" s="83">
        <f>'Payroll Verisma'!CJ15+'Payroll MRO'!CJ15</f>
        <v>139</v>
      </c>
      <c r="CK33" s="83">
        <f>'Payroll Verisma'!CK15+'Payroll MRO'!CK15</f>
        <v>0</v>
      </c>
      <c r="CL33" s="83">
        <f>'Payroll Verisma'!CL15+'Payroll MRO'!CL15</f>
        <v>50</v>
      </c>
      <c r="CM33" s="83">
        <f>'Payroll Verisma'!CM15+'Payroll MRO'!CM15</f>
        <v>0</v>
      </c>
      <c r="CN33" s="83">
        <f>'Payroll Verisma'!CN15+'Payroll MRO'!CN15</f>
        <v>16</v>
      </c>
      <c r="CO33" s="83">
        <f>'Payroll Verisma'!CO15+'Payroll MRO'!CO15</f>
        <v>0</v>
      </c>
      <c r="CP33" s="83">
        <f>'Payroll Verisma'!CP15+'Payroll MRO'!CP15</f>
        <v>0</v>
      </c>
      <c r="CQ33" s="83">
        <f>'Payroll Verisma'!CQ15+'Payroll MRO'!CQ15</f>
        <v>0</v>
      </c>
      <c r="CR33" s="83">
        <f>'Payroll Verisma'!CR15+'Payroll MRO'!CR15</f>
        <v>0</v>
      </c>
      <c r="CS33" s="83">
        <f>'Payroll Verisma'!CS15+'Payroll MRO'!CS15</f>
        <v>9</v>
      </c>
      <c r="CT33" s="83">
        <f>'Payroll Verisma'!CT15+'Payroll MRO'!CT15</f>
        <v>24</v>
      </c>
      <c r="CU33" s="83">
        <f>'Payroll Verisma'!CU15+'Payroll MRO'!CU15</f>
        <v>50</v>
      </c>
      <c r="CV33" s="83">
        <f>'Payroll Verisma'!CV15+'Payroll MRO'!CV15</f>
        <v>0</v>
      </c>
      <c r="CW33" s="83">
        <f>'Payroll Verisma'!CW15+'Payroll MRO'!CW15</f>
        <v>0</v>
      </c>
      <c r="CX33" s="83">
        <f>'Payroll Verisma'!CX15+'Payroll MRO'!CX15</f>
        <v>0</v>
      </c>
      <c r="CY33" s="83">
        <f>'Payroll Verisma'!CY15+'Payroll MRO'!CY15</f>
        <v>69</v>
      </c>
      <c r="CZ33" s="83">
        <f>'Payroll Verisma'!CZ15+'Payroll MRO'!CZ15</f>
        <v>32</v>
      </c>
      <c r="DA33" s="83">
        <f>'Payroll Verisma'!DA15+'Payroll MRO'!DA15</f>
        <v>25</v>
      </c>
      <c r="DB33" s="83">
        <f>'Payroll Verisma'!DB15+'Payroll MRO'!DB15</f>
        <v>0</v>
      </c>
      <c r="DC33" s="83">
        <f>'Payroll Verisma'!DC15+'Payroll MRO'!DC15</f>
        <v>0</v>
      </c>
      <c r="DD33" s="83">
        <f>'Payroll Verisma'!DD15+'Payroll MRO'!DD15</f>
        <v>35</v>
      </c>
      <c r="DE33" s="83">
        <f>'Payroll Verisma'!DE15+'Payroll MRO'!DE15</f>
        <v>40</v>
      </c>
      <c r="DF33" s="83">
        <f>'Payroll Verisma'!DF15+'Payroll MRO'!DF15</f>
        <v>0</v>
      </c>
      <c r="DG33" s="83">
        <f>'Payroll Verisma'!DG15+'Payroll MRO'!DG15</f>
        <v>41</v>
      </c>
      <c r="DH33" s="83">
        <f>'Payroll Verisma'!DH15+'Payroll MRO'!DH15</f>
        <v>17</v>
      </c>
      <c r="DI33" s="83">
        <f>'Payroll Verisma'!DI15+'Payroll MRO'!DI15</f>
        <v>64</v>
      </c>
      <c r="DJ33" s="83">
        <f>'Payroll Verisma'!DJ15+'Payroll MRO'!DJ15</f>
        <v>0</v>
      </c>
      <c r="DK33" s="83">
        <f>'Payroll Verisma'!DK15+'Payroll MRO'!DK15</f>
        <v>224</v>
      </c>
      <c r="DL33" s="83">
        <f>'Payroll Verisma'!DL15+'Payroll MRO'!DL15</f>
        <v>11</v>
      </c>
      <c r="DM33" s="83">
        <f>'Payroll Verisma'!DM15+'Payroll MRO'!DM15</f>
        <v>78</v>
      </c>
      <c r="DN33" s="83">
        <f>'Payroll Verisma'!DN15+'Payroll MRO'!DN15</f>
        <v>52</v>
      </c>
      <c r="DO33" s="83">
        <f>'Payroll Verisma'!DO15+'Payroll MRO'!DO15</f>
        <v>21</v>
      </c>
      <c r="DP33" s="83">
        <f>'Payroll Verisma'!DP15+'Payroll MRO'!DP15</f>
        <v>0</v>
      </c>
      <c r="DQ33" s="83">
        <f>'Payroll Verisma'!DQ15+'Payroll MRO'!DQ15</f>
        <v>18</v>
      </c>
      <c r="DR33" s="83">
        <f>'Payroll Verisma'!DR15+'Payroll MRO'!DR15</f>
        <v>44</v>
      </c>
      <c r="DS33" s="83">
        <f>'Payroll Verisma'!DS15+'Payroll MRO'!DS15</f>
        <v>32</v>
      </c>
      <c r="DT33" s="83">
        <f>'Payroll Verisma'!DT15+'Payroll MRO'!DT15</f>
        <v>57</v>
      </c>
      <c r="DU33" s="83">
        <f>'Payroll Verisma'!DU15+'Payroll MRO'!DU15</f>
        <v>10</v>
      </c>
      <c r="DV33" s="83">
        <f>'Payroll Verisma'!DV15+'Payroll MRO'!DV15</f>
        <v>0</v>
      </c>
      <c r="DW33" s="83">
        <f>'Payroll Verisma'!DW15+'Payroll MRO'!DW15</f>
        <v>0</v>
      </c>
      <c r="DX33" s="83">
        <f>'Payroll Verisma'!DX15+'Payroll MRO'!DX15</f>
        <v>20</v>
      </c>
      <c r="DY33" s="83">
        <f>'Payroll Verisma'!DY15+'Payroll MRO'!DY15</f>
        <v>46</v>
      </c>
      <c r="DZ33" s="83">
        <f>'Payroll Verisma'!DZ15+'Payroll MRO'!DZ15</f>
        <v>108</v>
      </c>
      <c r="EA33" s="83">
        <f>'Payroll Verisma'!EA15+'Payroll MRO'!EA15</f>
        <v>0</v>
      </c>
      <c r="EB33" s="83">
        <f>'Payroll Verisma'!EB15+'Payroll MRO'!EB15</f>
        <v>30</v>
      </c>
      <c r="EC33" s="83">
        <f>'Payroll Verisma'!EC15+'Payroll MRO'!EC15</f>
        <v>3</v>
      </c>
      <c r="ED33" s="83">
        <f>'Payroll Verisma'!ED15+'Payroll MRO'!ED15</f>
        <v>39</v>
      </c>
      <c r="EE33" s="83">
        <f>'Payroll Verisma'!EE15+'Payroll MRO'!EE15</f>
        <v>0</v>
      </c>
      <c r="EF33" s="83">
        <f>'Payroll Verisma'!EF15+'Payroll MRO'!EF15</f>
        <v>50</v>
      </c>
      <c r="EG33" s="83">
        <f>'Payroll Verisma'!EG15+'Payroll MRO'!EG15</f>
        <v>0</v>
      </c>
      <c r="EH33" s="83">
        <f>'Payroll Verisma'!EH15+'Payroll MRO'!EH15</f>
        <v>0</v>
      </c>
      <c r="EI33" s="83">
        <f>'Payroll Verisma'!EI15+'Payroll MRO'!EI15</f>
        <v>0</v>
      </c>
      <c r="EJ33" s="83">
        <f>'Payroll Verisma'!EJ15+'Payroll MRO'!EJ15</f>
        <v>24</v>
      </c>
      <c r="EK33" s="83">
        <f>'Payroll Verisma'!EK15+'Payroll MRO'!EK15</f>
        <v>60</v>
      </c>
      <c r="EL33" s="83">
        <f>'Payroll Verisma'!EL15+'Payroll MRO'!EL15</f>
        <v>25</v>
      </c>
      <c r="EM33" s="83">
        <f>'Payroll Verisma'!EM15+'Payroll MRO'!EM15</f>
        <v>0</v>
      </c>
      <c r="EN33" s="83">
        <f>'Payroll Verisma'!EN15+'Payroll MRO'!EN15</f>
        <v>0</v>
      </c>
      <c r="EO33" s="83">
        <f>'Payroll Verisma'!EO15+'Payroll MRO'!EO15</f>
        <v>40</v>
      </c>
      <c r="EP33" s="83">
        <f>'Payroll Verisma'!EP15+'Payroll MRO'!EP15</f>
        <v>25</v>
      </c>
      <c r="EQ33" s="83">
        <f>'Payroll Verisma'!EQ15+'Payroll MRO'!EQ15</f>
        <v>5</v>
      </c>
      <c r="ER33" s="83">
        <f>'Payroll Verisma'!ER15+'Payroll MRO'!ER15</f>
        <v>0</v>
      </c>
      <c r="ES33" s="83">
        <f>'Payroll Verisma'!ES15+'Payroll MRO'!ES15</f>
        <v>10</v>
      </c>
      <c r="ET33" s="83">
        <f>'Payroll Verisma'!ET15+'Payroll MRO'!ET15</f>
        <v>51</v>
      </c>
      <c r="EU33" s="83">
        <f>'Payroll Verisma'!EU15+'Payroll MRO'!EU15</f>
        <v>36</v>
      </c>
      <c r="EV33" s="83">
        <f>'Payroll Verisma'!EV15+'Payroll MRO'!EV15</f>
        <v>92</v>
      </c>
      <c r="EW33" s="83">
        <f>'Payroll Verisma'!EW15+'Payroll MRO'!EW15</f>
        <v>26</v>
      </c>
      <c r="EX33" s="83">
        <f>'Payroll Verisma'!EX15+'Payroll MRO'!EX15</f>
        <v>29</v>
      </c>
      <c r="EY33" s="83">
        <f>'Payroll Verisma'!EY15+'Payroll MRO'!EY15</f>
        <v>41</v>
      </c>
      <c r="EZ33" s="83">
        <f>'Payroll Verisma'!EZ15+'Payroll MRO'!EZ15</f>
        <v>21</v>
      </c>
      <c r="FA33" s="83">
        <f>'Payroll Verisma'!FA15+'Payroll MRO'!FA15</f>
        <v>0</v>
      </c>
      <c r="FB33" s="83">
        <f>'Payroll Verisma'!FB15+'Payroll MRO'!FB15</f>
        <v>0</v>
      </c>
      <c r="FC33" s="83">
        <f>'Payroll Verisma'!FC15+'Payroll MRO'!FC15</f>
        <v>0</v>
      </c>
      <c r="FD33" s="83">
        <f>'Payroll Verisma'!FD15+'Payroll MRO'!FD15</f>
        <v>9</v>
      </c>
      <c r="FE33" s="83">
        <f>'Payroll Verisma'!FE15+'Payroll MRO'!FE15</f>
        <v>0</v>
      </c>
      <c r="FF33" s="83">
        <f>'Payroll Verisma'!FF15+'Payroll MRO'!FF15</f>
        <v>14</v>
      </c>
      <c r="FG33" s="83">
        <f>'Payroll Verisma'!FG15+'Payroll MRO'!FG15</f>
        <v>0</v>
      </c>
      <c r="FH33" s="83">
        <f>'Payroll Verisma'!FH15+'Payroll MRO'!FH15</f>
        <v>80</v>
      </c>
      <c r="FI33" s="83">
        <f>'Payroll Verisma'!FI15+'Payroll MRO'!FI15</f>
        <v>50</v>
      </c>
      <c r="FJ33" s="83">
        <f>'Payroll Verisma'!FJ15+'Payroll MRO'!FJ15</f>
        <v>0</v>
      </c>
      <c r="FK33" s="83">
        <f>'Payroll Verisma'!FK15+'Payroll MRO'!FK15</f>
        <v>26</v>
      </c>
      <c r="FL33" s="83">
        <f>'Payroll Verisma'!FL15+'Payroll MRO'!FL15</f>
        <v>0</v>
      </c>
      <c r="FM33" s="83">
        <f>'Payroll Verisma'!FM15+'Payroll MRO'!FM15</f>
        <v>0</v>
      </c>
      <c r="FN33" s="83">
        <f>'Payroll Verisma'!FN15+'Payroll MRO'!FN15</f>
        <v>0</v>
      </c>
      <c r="FO33" s="83">
        <f>'Payroll Verisma'!FO15+'Payroll MRO'!FO15</f>
        <v>49</v>
      </c>
      <c r="FP33" s="83">
        <f>'Payroll Verisma'!FP15+'Payroll MRO'!FP15</f>
        <v>15</v>
      </c>
      <c r="FQ33" s="83">
        <f>'Payroll Verisma'!FQ15+'Payroll MRO'!FQ15</f>
        <v>39</v>
      </c>
      <c r="FR33" s="83">
        <f>'Payroll Verisma'!FR15+'Payroll MRO'!FR15</f>
        <v>0</v>
      </c>
      <c r="FS33" s="83">
        <f>'Payroll Verisma'!FS15+'Payroll MRO'!FS15</f>
        <v>57</v>
      </c>
      <c r="FT33" s="83">
        <f>'Payroll Verisma'!FT15+'Payroll MRO'!FT15</f>
        <v>30</v>
      </c>
      <c r="FU33" s="83">
        <f>'Payroll Verisma'!FU15+'Payroll MRO'!FU15</f>
        <v>0</v>
      </c>
      <c r="FV33" s="83">
        <f>'Payroll Verisma'!FV15+'Payroll MRO'!FV15</f>
        <v>0</v>
      </c>
      <c r="FW33" s="83">
        <f>'Payroll Verisma'!FW15+'Payroll MRO'!FW15</f>
        <v>0</v>
      </c>
      <c r="FX33" s="83">
        <f>'Payroll Verisma'!FX15+'Payroll MRO'!FX15</f>
        <v>0</v>
      </c>
      <c r="FY33" s="83">
        <f>'Payroll Verisma'!FY15+'Payroll MRO'!FY15</f>
        <v>26</v>
      </c>
      <c r="FZ33" s="83">
        <f>'Payroll Verisma'!FZ15+'Payroll MRO'!FZ15</f>
        <v>29</v>
      </c>
      <c r="GA33" s="83">
        <f>'Payroll Verisma'!GA15+'Payroll MRO'!GA15</f>
        <v>0</v>
      </c>
      <c r="GB33" s="83">
        <f>'Payroll Verisma'!GB15+'Payroll MRO'!GB15</f>
        <v>42</v>
      </c>
      <c r="GC33" s="83">
        <f>'Payroll Verisma'!GC15+'Payroll MRO'!GC15</f>
        <v>0</v>
      </c>
      <c r="GD33" s="83">
        <f>'Payroll Verisma'!GD15+'Payroll MRO'!GD15</f>
        <v>0</v>
      </c>
      <c r="GE33" s="83">
        <f>'Payroll Verisma'!GE15+'Payroll MRO'!GE15</f>
        <v>78</v>
      </c>
      <c r="GF33" s="83">
        <f>'Payroll Verisma'!GF15+'Payroll MRO'!GF15</f>
        <v>36</v>
      </c>
      <c r="GG33" s="83">
        <f>'Payroll Verisma'!GG15+'Payroll MRO'!GG15</f>
        <v>58</v>
      </c>
      <c r="GH33" s="83">
        <f>'Payroll Verisma'!GH15+'Payroll MRO'!GH15</f>
        <v>13</v>
      </c>
      <c r="GI33" s="83">
        <f>'Payroll Verisma'!GI15+'Payroll MRO'!GI15</f>
        <v>0</v>
      </c>
      <c r="GJ33" s="83">
        <f>'Payroll Verisma'!GJ15+'Payroll MRO'!GJ15</f>
        <v>58</v>
      </c>
      <c r="GK33" s="83">
        <f>'Payroll Verisma'!GK15+'Payroll MRO'!GK15</f>
        <v>84</v>
      </c>
      <c r="GL33" s="83">
        <f>'Payroll Verisma'!GL15+'Payroll MRO'!GL15</f>
        <v>60</v>
      </c>
      <c r="GM33" s="83">
        <f>'Payroll Verisma'!GM15+'Payroll MRO'!GM15</f>
        <v>88</v>
      </c>
      <c r="GN33" s="83">
        <f>'Payroll Verisma'!GN15+'Payroll MRO'!GN15</f>
        <v>15</v>
      </c>
      <c r="GO33" s="83">
        <f>'Payroll Verisma'!GO15+'Payroll MRO'!GO15</f>
        <v>54</v>
      </c>
      <c r="GP33" s="83">
        <f>'Payroll Verisma'!GP15+'Payroll MRO'!GP15</f>
        <v>31</v>
      </c>
      <c r="GQ33" s="83">
        <f>'Payroll Verisma'!GQ15+'Payroll MRO'!GQ15</f>
        <v>0</v>
      </c>
      <c r="GR33" s="83">
        <f>'Payroll Verisma'!GR15+'Payroll MRO'!GR15</f>
        <v>24</v>
      </c>
    </row>
    <row r="34" spans="1:200" ht="15.6">
      <c r="A34" s="81">
        <f t="shared" si="83"/>
        <v>46036</v>
      </c>
      <c r="B34" s="82" t="str">
        <f t="shared" si="82"/>
        <v>Wed</v>
      </c>
      <c r="C34" s="75">
        <f t="shared" si="81"/>
        <v>4687</v>
      </c>
      <c r="D34" s="83">
        <f>'Payroll Verisma'!D16+'Payroll MRO'!D16</f>
        <v>0</v>
      </c>
      <c r="E34" s="83">
        <f>'Payroll Verisma'!E16+'Payroll MRO'!E16</f>
        <v>27</v>
      </c>
      <c r="F34" s="83">
        <f>'Payroll Verisma'!F16+'Payroll MRO'!F16</f>
        <v>0</v>
      </c>
      <c r="G34" s="83">
        <f>'Payroll Verisma'!G16+'Payroll MRO'!G16</f>
        <v>5</v>
      </c>
      <c r="H34" s="83">
        <f>'Payroll Verisma'!H16+'Payroll MRO'!H16</f>
        <v>37</v>
      </c>
      <c r="I34" s="83">
        <f>'Payroll Verisma'!I16+'Payroll MRO'!I16</f>
        <v>72</v>
      </c>
      <c r="J34" s="83">
        <f>'Payroll Verisma'!J16+'Payroll MRO'!J16</f>
        <v>0</v>
      </c>
      <c r="K34" s="83">
        <f>'Payroll Verisma'!K16+'Payroll MRO'!K16</f>
        <v>0</v>
      </c>
      <c r="L34" s="83">
        <f>'Payroll Verisma'!L16+'Payroll MRO'!L16</f>
        <v>0</v>
      </c>
      <c r="M34" s="83">
        <f>'Payroll Verisma'!M16+'Payroll MRO'!M16</f>
        <v>0</v>
      </c>
      <c r="N34" s="83">
        <f>'Payroll Verisma'!N16+'Payroll MRO'!N16</f>
        <v>73</v>
      </c>
      <c r="O34" s="83">
        <f>'Payroll Verisma'!O16+'Payroll MRO'!O16</f>
        <v>58</v>
      </c>
      <c r="P34" s="83">
        <f>'Payroll Verisma'!P16+'Payroll MRO'!P16</f>
        <v>25</v>
      </c>
      <c r="Q34" s="83">
        <f>'Payroll Verisma'!Q16+'Payroll MRO'!Q16</f>
        <v>46</v>
      </c>
      <c r="R34" s="83">
        <f>'Payroll Verisma'!R16+'Payroll MRO'!R16</f>
        <v>103</v>
      </c>
      <c r="S34" s="83">
        <f>'Payroll Verisma'!S16+'Payroll MRO'!S16</f>
        <v>61</v>
      </c>
      <c r="T34" s="83">
        <f>'Payroll Verisma'!T16+'Payroll MRO'!T16</f>
        <v>181</v>
      </c>
      <c r="U34" s="83">
        <f>'Payroll Verisma'!U16+'Payroll MRO'!U16</f>
        <v>16</v>
      </c>
      <c r="V34" s="83">
        <f>'Payroll Verisma'!V16+'Payroll MRO'!V16</f>
        <v>20</v>
      </c>
      <c r="W34" s="83">
        <f>'Payroll Verisma'!W16+'Payroll MRO'!W16</f>
        <v>0</v>
      </c>
      <c r="X34" s="83">
        <f>'Payroll Verisma'!X16+'Payroll MRO'!X16</f>
        <v>0</v>
      </c>
      <c r="Y34" s="83">
        <f>'Payroll Verisma'!Y16+'Payroll MRO'!Y16</f>
        <v>39</v>
      </c>
      <c r="Z34" s="83">
        <f>'Payroll Verisma'!Z16+'Payroll MRO'!Z16</f>
        <v>70</v>
      </c>
      <c r="AA34" s="83">
        <f>'Payroll Verisma'!AA16+'Payroll MRO'!AA16</f>
        <v>22</v>
      </c>
      <c r="AB34" s="83">
        <f>'Payroll Verisma'!AB16+'Payroll MRO'!AB16</f>
        <v>10</v>
      </c>
      <c r="AC34" s="83">
        <f>'Payroll Verisma'!AC16+'Payroll MRO'!AC16</f>
        <v>0</v>
      </c>
      <c r="AD34" s="83">
        <f>'Payroll Verisma'!AD16+'Payroll MRO'!AD16</f>
        <v>41</v>
      </c>
      <c r="AE34" s="83">
        <f>'Payroll Verisma'!AE16+'Payroll MRO'!AE16</f>
        <v>0</v>
      </c>
      <c r="AF34" s="83">
        <f>'Payroll Verisma'!AF16+'Payroll MRO'!AF16</f>
        <v>0</v>
      </c>
      <c r="AG34" s="83">
        <f>'Payroll Verisma'!AG16+'Payroll MRO'!AG16</f>
        <v>50</v>
      </c>
      <c r="AH34" s="83">
        <f>'Payroll Verisma'!AH16+'Payroll MRO'!AH16</f>
        <v>47</v>
      </c>
      <c r="AI34" s="83">
        <f>'Payroll Verisma'!AI16+'Payroll MRO'!AI16</f>
        <v>0</v>
      </c>
      <c r="AJ34" s="83">
        <f>'Payroll Verisma'!AJ16+'Payroll MRO'!AJ16</f>
        <v>0</v>
      </c>
      <c r="AK34" s="83">
        <f>'Payroll Verisma'!AK16+'Payroll MRO'!AK16</f>
        <v>15</v>
      </c>
      <c r="AL34" s="83">
        <f>'Payroll Verisma'!AL16+'Payroll MRO'!AL16</f>
        <v>26</v>
      </c>
      <c r="AM34" s="83">
        <f>'Payroll Verisma'!AM16+'Payroll MRO'!AM16</f>
        <v>0</v>
      </c>
      <c r="AN34" s="83">
        <f>'Payroll Verisma'!AN16+'Payroll MRO'!AN16</f>
        <v>14</v>
      </c>
      <c r="AO34" s="83">
        <f>'Payroll Verisma'!AO16+'Payroll MRO'!AO16</f>
        <v>0</v>
      </c>
      <c r="AP34" s="83">
        <f>'Payroll Verisma'!AP16+'Payroll MRO'!AP16</f>
        <v>11</v>
      </c>
      <c r="AQ34" s="83">
        <f>'Payroll Verisma'!AQ16+'Payroll MRO'!AQ16</f>
        <v>10</v>
      </c>
      <c r="AR34" s="83">
        <f>'Payroll Verisma'!AR16+'Payroll MRO'!AR16</f>
        <v>40</v>
      </c>
      <c r="AS34" s="83">
        <f>'Payroll Verisma'!AS16+'Payroll MRO'!AS16</f>
        <v>0</v>
      </c>
      <c r="AT34" s="83">
        <f>'Payroll Verisma'!AT16+'Payroll MRO'!AT16</f>
        <v>16</v>
      </c>
      <c r="AU34" s="83">
        <f>'Payroll Verisma'!AU16+'Payroll MRO'!AU16</f>
        <v>0</v>
      </c>
      <c r="AV34" s="83">
        <f>'Payroll Verisma'!AV16+'Payroll MRO'!AV16</f>
        <v>0</v>
      </c>
      <c r="AW34" s="83">
        <f>'Payroll Verisma'!AW16+'Payroll MRO'!AW16</f>
        <v>51</v>
      </c>
      <c r="AX34" s="83">
        <f>'Payroll Verisma'!AX16+'Payroll MRO'!AX16</f>
        <v>74</v>
      </c>
      <c r="AY34" s="83">
        <f>'Payroll Verisma'!AY16+'Payroll MRO'!AY16</f>
        <v>0</v>
      </c>
      <c r="AZ34" s="83">
        <f>'Payroll Verisma'!AZ16+'Payroll MRO'!AZ16</f>
        <v>30</v>
      </c>
      <c r="BA34" s="83">
        <f>'Payroll Verisma'!BA16+'Payroll MRO'!BA16</f>
        <v>62</v>
      </c>
      <c r="BB34" s="83">
        <f>'Payroll Verisma'!BB16+'Payroll MRO'!BB16</f>
        <v>36</v>
      </c>
      <c r="BC34" s="83">
        <f>'Payroll Verisma'!BC16+'Payroll MRO'!BC16</f>
        <v>36</v>
      </c>
      <c r="BD34" s="83">
        <f>'Payroll Verisma'!BD16+'Payroll MRO'!BD16</f>
        <v>58</v>
      </c>
      <c r="BE34" s="83">
        <f>'Payroll Verisma'!BE16+'Payroll MRO'!BE16</f>
        <v>34</v>
      </c>
      <c r="BF34" s="83">
        <f>'Payroll Verisma'!BF16+'Payroll MRO'!BF16</f>
        <v>0</v>
      </c>
      <c r="BG34" s="83">
        <f>'Payroll Verisma'!BG16+'Payroll MRO'!BG16</f>
        <v>43</v>
      </c>
      <c r="BH34" s="83">
        <f>'Payroll Verisma'!BH16+'Payroll MRO'!BH16</f>
        <v>10</v>
      </c>
      <c r="BI34" s="83">
        <f>'Payroll Verisma'!BI16+'Payroll MRO'!BI16</f>
        <v>7</v>
      </c>
      <c r="BJ34" s="83">
        <f>'Payroll Verisma'!BJ16+'Payroll MRO'!BJ16</f>
        <v>17</v>
      </c>
      <c r="BK34" s="83">
        <f>'Payroll Verisma'!BK16+'Payroll MRO'!BK16</f>
        <v>0</v>
      </c>
      <c r="BL34" s="83">
        <f>'Payroll Verisma'!BL16+'Payroll MRO'!BL16</f>
        <v>0</v>
      </c>
      <c r="BM34" s="83">
        <f>'Payroll Verisma'!BM16+'Payroll MRO'!BM16</f>
        <v>0</v>
      </c>
      <c r="BN34" s="83">
        <f>'Payroll Verisma'!BN16+'Payroll MRO'!BN16</f>
        <v>5</v>
      </c>
      <c r="BO34" s="83">
        <f>'Payroll Verisma'!BO16+'Payroll MRO'!BO16</f>
        <v>25</v>
      </c>
      <c r="BP34" s="83">
        <f>'Payroll Verisma'!BP16+'Payroll MRO'!BP16</f>
        <v>0</v>
      </c>
      <c r="BQ34" s="83">
        <f>'Payroll Verisma'!BQ16+'Payroll MRO'!BQ16</f>
        <v>0</v>
      </c>
      <c r="BR34" s="83">
        <f>'Payroll Verisma'!BR16+'Payroll MRO'!BR16</f>
        <v>0</v>
      </c>
      <c r="BS34" s="83">
        <f>'Payroll Verisma'!BS16+'Payroll MRO'!BS16</f>
        <v>0</v>
      </c>
      <c r="BT34" s="83">
        <f>'Payroll Verisma'!BT16+'Payroll MRO'!BT16</f>
        <v>0</v>
      </c>
      <c r="BU34" s="83">
        <f>'Payroll Verisma'!BU16+'Payroll MRO'!BU16</f>
        <v>31</v>
      </c>
      <c r="BV34" s="83">
        <f>'Payroll Verisma'!BV16+'Payroll MRO'!BV16</f>
        <v>17</v>
      </c>
      <c r="BW34" s="83">
        <f>'Payroll Verisma'!BW16+'Payroll MRO'!BW16</f>
        <v>0</v>
      </c>
      <c r="BX34" s="83">
        <f>'Payroll Verisma'!BX16+'Payroll MRO'!BX16</f>
        <v>0</v>
      </c>
      <c r="BY34" s="83">
        <f>'Payroll Verisma'!BY16+'Payroll MRO'!BY16</f>
        <v>0</v>
      </c>
      <c r="BZ34" s="83">
        <f>'Payroll Verisma'!BZ16+'Payroll MRO'!BZ16</f>
        <v>23</v>
      </c>
      <c r="CA34" s="83">
        <f>'Payroll Verisma'!CA16+'Payroll MRO'!CA16</f>
        <v>30</v>
      </c>
      <c r="CB34" s="83">
        <f>'Payroll Verisma'!CB16+'Payroll MRO'!CB16</f>
        <v>46</v>
      </c>
      <c r="CC34" s="83">
        <f>'Payroll Verisma'!CC16+'Payroll MRO'!CC16</f>
        <v>11</v>
      </c>
      <c r="CD34" s="83">
        <f>'Payroll Verisma'!CD16+'Payroll MRO'!CD16</f>
        <v>97</v>
      </c>
      <c r="CE34" s="83">
        <f>'Payroll Verisma'!CE16+'Payroll MRO'!CE16</f>
        <v>14</v>
      </c>
      <c r="CF34" s="83">
        <f>'Payroll Verisma'!CF16+'Payroll MRO'!CF16</f>
        <v>7</v>
      </c>
      <c r="CG34" s="83">
        <f>'Payroll Verisma'!CG16+'Payroll MRO'!CG16</f>
        <v>0</v>
      </c>
      <c r="CH34" s="83">
        <f>'Payroll Verisma'!CH16+'Payroll MRO'!CH16</f>
        <v>38</v>
      </c>
      <c r="CI34" s="83">
        <f>'Payroll Verisma'!CI16+'Payroll MRO'!CI16</f>
        <v>0</v>
      </c>
      <c r="CJ34" s="83">
        <f>'Payroll Verisma'!CJ16+'Payroll MRO'!CJ16</f>
        <v>144</v>
      </c>
      <c r="CK34" s="83">
        <f>'Payroll Verisma'!CK16+'Payroll MRO'!CK16</f>
        <v>0</v>
      </c>
      <c r="CL34" s="83">
        <f>'Payroll Verisma'!CL16+'Payroll MRO'!CL16</f>
        <v>30</v>
      </c>
      <c r="CM34" s="83">
        <f>'Payroll Verisma'!CM16+'Payroll MRO'!CM16</f>
        <v>0</v>
      </c>
      <c r="CN34" s="83">
        <f>'Payroll Verisma'!CN16+'Payroll MRO'!CN16</f>
        <v>40</v>
      </c>
      <c r="CO34" s="83">
        <f>'Payroll Verisma'!CO16+'Payroll MRO'!CO16</f>
        <v>1</v>
      </c>
      <c r="CP34" s="83">
        <f>'Payroll Verisma'!CP16+'Payroll MRO'!CP16</f>
        <v>0</v>
      </c>
      <c r="CQ34" s="83">
        <f>'Payroll Verisma'!CQ16+'Payroll MRO'!CQ16</f>
        <v>0</v>
      </c>
      <c r="CR34" s="83">
        <f>'Payroll Verisma'!CR16+'Payroll MRO'!CR16</f>
        <v>0</v>
      </c>
      <c r="CS34" s="83">
        <f>'Payroll Verisma'!CS16+'Payroll MRO'!CS16</f>
        <v>0</v>
      </c>
      <c r="CT34" s="83">
        <f>'Payroll Verisma'!CT16+'Payroll MRO'!CT16</f>
        <v>38</v>
      </c>
      <c r="CU34" s="83">
        <f>'Payroll Verisma'!CU16+'Payroll MRO'!CU16</f>
        <v>0</v>
      </c>
      <c r="CV34" s="83">
        <f>'Payroll Verisma'!CV16+'Payroll MRO'!CV16</f>
        <v>0</v>
      </c>
      <c r="CW34" s="83">
        <f>'Payroll Verisma'!CW16+'Payroll MRO'!CW16</f>
        <v>0</v>
      </c>
      <c r="CX34" s="83">
        <f>'Payroll Verisma'!CX16+'Payroll MRO'!CX16</f>
        <v>0</v>
      </c>
      <c r="CY34" s="83">
        <f>'Payroll Verisma'!CY16+'Payroll MRO'!CY16</f>
        <v>35</v>
      </c>
      <c r="CZ34" s="83">
        <f>'Payroll Verisma'!CZ16+'Payroll MRO'!CZ16</f>
        <v>0</v>
      </c>
      <c r="DA34" s="83">
        <f>'Payroll Verisma'!DA16+'Payroll MRO'!DA16</f>
        <v>23</v>
      </c>
      <c r="DB34" s="83">
        <f>'Payroll Verisma'!DB16+'Payroll MRO'!DB16</f>
        <v>0</v>
      </c>
      <c r="DC34" s="83">
        <f>'Payroll Verisma'!DC16+'Payroll MRO'!DC16</f>
        <v>0</v>
      </c>
      <c r="DD34" s="83">
        <f>'Payroll Verisma'!DD16+'Payroll MRO'!DD16</f>
        <v>39</v>
      </c>
      <c r="DE34" s="83">
        <f>'Payroll Verisma'!DE16+'Payroll MRO'!DE16</f>
        <v>0</v>
      </c>
      <c r="DF34" s="83">
        <f>'Payroll Verisma'!DF16+'Payroll MRO'!DF16</f>
        <v>0</v>
      </c>
      <c r="DG34" s="83">
        <f>'Payroll Verisma'!DG16+'Payroll MRO'!DG16</f>
        <v>14</v>
      </c>
      <c r="DH34" s="83">
        <f>'Payroll Verisma'!DH16+'Payroll MRO'!DH16</f>
        <v>24</v>
      </c>
      <c r="DI34" s="83">
        <f>'Payroll Verisma'!DI16+'Payroll MRO'!DI16</f>
        <v>102</v>
      </c>
      <c r="DJ34" s="83">
        <f>'Payroll Verisma'!DJ16+'Payroll MRO'!DJ16</f>
        <v>0</v>
      </c>
      <c r="DK34" s="83">
        <f>'Payroll Verisma'!DK16+'Payroll MRO'!DK16</f>
        <v>138</v>
      </c>
      <c r="DL34" s="83">
        <f>'Payroll Verisma'!DL16+'Payroll MRO'!DL16</f>
        <v>12</v>
      </c>
      <c r="DM34" s="83">
        <f>'Payroll Verisma'!DM16+'Payroll MRO'!DM16</f>
        <v>52</v>
      </c>
      <c r="DN34" s="83">
        <f>'Payroll Verisma'!DN16+'Payroll MRO'!DN16</f>
        <v>24</v>
      </c>
      <c r="DO34" s="83">
        <f>'Payroll Verisma'!DO16+'Payroll MRO'!DO16</f>
        <v>6</v>
      </c>
      <c r="DP34" s="83">
        <f>'Payroll Verisma'!DP16+'Payroll MRO'!DP16</f>
        <v>0</v>
      </c>
      <c r="DQ34" s="83">
        <f>'Payroll Verisma'!DQ16+'Payroll MRO'!DQ16</f>
        <v>32</v>
      </c>
      <c r="DR34" s="83">
        <f>'Payroll Verisma'!DR16+'Payroll MRO'!DR16</f>
        <v>76</v>
      </c>
      <c r="DS34" s="83">
        <f>'Payroll Verisma'!DS16+'Payroll MRO'!DS16</f>
        <v>51</v>
      </c>
      <c r="DT34" s="83">
        <f>'Payroll Verisma'!DT16+'Payroll MRO'!DT16</f>
        <v>0</v>
      </c>
      <c r="DU34" s="83">
        <f>'Payroll Verisma'!DU16+'Payroll MRO'!DU16</f>
        <v>20</v>
      </c>
      <c r="DV34" s="83">
        <f>'Payroll Verisma'!DV16+'Payroll MRO'!DV16</f>
        <v>0</v>
      </c>
      <c r="DW34" s="83">
        <f>'Payroll Verisma'!DW16+'Payroll MRO'!DW16</f>
        <v>0</v>
      </c>
      <c r="DX34" s="83">
        <f>'Payroll Verisma'!DX16+'Payroll MRO'!DX16</f>
        <v>21</v>
      </c>
      <c r="DY34" s="83">
        <f>'Payroll Verisma'!DY16+'Payroll MRO'!DY16</f>
        <v>60</v>
      </c>
      <c r="DZ34" s="83">
        <f>'Payroll Verisma'!DZ16+'Payroll MRO'!DZ16</f>
        <v>52</v>
      </c>
      <c r="EA34" s="83">
        <f>'Payroll Verisma'!EA16+'Payroll MRO'!EA16</f>
        <v>0</v>
      </c>
      <c r="EB34" s="83">
        <f>'Payroll Verisma'!EB16+'Payroll MRO'!EB16</f>
        <v>52</v>
      </c>
      <c r="EC34" s="83">
        <f>'Payroll Verisma'!EC16+'Payroll MRO'!EC16</f>
        <v>24</v>
      </c>
      <c r="ED34" s="83">
        <f>'Payroll Verisma'!ED16+'Payroll MRO'!ED16</f>
        <v>78</v>
      </c>
      <c r="EE34" s="83">
        <f>'Payroll Verisma'!EE16+'Payroll MRO'!EE16</f>
        <v>12</v>
      </c>
      <c r="EF34" s="83">
        <f>'Payroll Verisma'!EF16+'Payroll MRO'!EF16</f>
        <v>49</v>
      </c>
      <c r="EG34" s="83">
        <f>'Payroll Verisma'!EG16+'Payroll MRO'!EG16</f>
        <v>0</v>
      </c>
      <c r="EH34" s="83">
        <f>'Payroll Verisma'!EH16+'Payroll MRO'!EH16</f>
        <v>0</v>
      </c>
      <c r="EI34" s="83">
        <f>'Payroll Verisma'!EI16+'Payroll MRO'!EI16</f>
        <v>0</v>
      </c>
      <c r="EJ34" s="83">
        <f>'Payroll Verisma'!EJ16+'Payroll MRO'!EJ16</f>
        <v>25</v>
      </c>
      <c r="EK34" s="83">
        <f>'Payroll Verisma'!EK16+'Payroll MRO'!EK16</f>
        <v>67</v>
      </c>
      <c r="EL34" s="83">
        <f>'Payroll Verisma'!EL16+'Payroll MRO'!EL16</f>
        <v>0</v>
      </c>
      <c r="EM34" s="83">
        <f>'Payroll Verisma'!EM16+'Payroll MRO'!EM16</f>
        <v>0</v>
      </c>
      <c r="EN34" s="83">
        <f>'Payroll Verisma'!EN16+'Payroll MRO'!EN16</f>
        <v>0</v>
      </c>
      <c r="EO34" s="83">
        <f>'Payroll Verisma'!EO16+'Payroll MRO'!EO16</f>
        <v>22</v>
      </c>
      <c r="EP34" s="83">
        <f>'Payroll Verisma'!EP16+'Payroll MRO'!EP16</f>
        <v>20</v>
      </c>
      <c r="EQ34" s="83">
        <f>'Payroll Verisma'!EQ16+'Payroll MRO'!EQ16</f>
        <v>10</v>
      </c>
      <c r="ER34" s="83">
        <f>'Payroll Verisma'!ER16+'Payroll MRO'!ER16</f>
        <v>29</v>
      </c>
      <c r="ES34" s="83">
        <f>'Payroll Verisma'!ES16+'Payroll MRO'!ES16</f>
        <v>6</v>
      </c>
      <c r="ET34" s="83">
        <f>'Payroll Verisma'!ET16+'Payroll MRO'!ET16</f>
        <v>68</v>
      </c>
      <c r="EU34" s="83">
        <f>'Payroll Verisma'!EU16+'Payroll MRO'!EU16</f>
        <v>35</v>
      </c>
      <c r="EV34" s="83">
        <f>'Payroll Verisma'!EV16+'Payroll MRO'!EV16</f>
        <v>57</v>
      </c>
      <c r="EW34" s="83">
        <f>'Payroll Verisma'!EW16+'Payroll MRO'!EW16</f>
        <v>40</v>
      </c>
      <c r="EX34" s="83">
        <f>'Payroll Verisma'!EX16+'Payroll MRO'!EX16</f>
        <v>5</v>
      </c>
      <c r="EY34" s="83">
        <f>'Payroll Verisma'!EY16+'Payroll MRO'!EY16</f>
        <v>45</v>
      </c>
      <c r="EZ34" s="83">
        <f>'Payroll Verisma'!EZ16+'Payroll MRO'!EZ16</f>
        <v>5</v>
      </c>
      <c r="FA34" s="83">
        <f>'Payroll Verisma'!FA16+'Payroll MRO'!FA16</f>
        <v>0</v>
      </c>
      <c r="FB34" s="83">
        <f>'Payroll Verisma'!FB16+'Payroll MRO'!FB16</f>
        <v>0</v>
      </c>
      <c r="FC34" s="83">
        <f>'Payroll Verisma'!FC16+'Payroll MRO'!FC16</f>
        <v>0</v>
      </c>
      <c r="FD34" s="83">
        <f>'Payroll Verisma'!FD16+'Payroll MRO'!FD16</f>
        <v>0</v>
      </c>
      <c r="FE34" s="83">
        <f>'Payroll Verisma'!FE16+'Payroll MRO'!FE16</f>
        <v>0</v>
      </c>
      <c r="FF34" s="83">
        <f>'Payroll Verisma'!FF16+'Payroll MRO'!FF16</f>
        <v>10</v>
      </c>
      <c r="FG34" s="83">
        <f>'Payroll Verisma'!FG16+'Payroll MRO'!FG16</f>
        <v>0</v>
      </c>
      <c r="FH34" s="83">
        <f>'Payroll Verisma'!FH16+'Payroll MRO'!FH16</f>
        <v>120</v>
      </c>
      <c r="FI34" s="83">
        <f>'Payroll Verisma'!FI16+'Payroll MRO'!FI16</f>
        <v>40</v>
      </c>
      <c r="FJ34" s="83">
        <f>'Payroll Verisma'!FJ16+'Payroll MRO'!FJ16</f>
        <v>0</v>
      </c>
      <c r="FK34" s="83">
        <f>'Payroll Verisma'!FK16+'Payroll MRO'!FK16</f>
        <v>15</v>
      </c>
      <c r="FL34" s="83">
        <f>'Payroll Verisma'!FL16+'Payroll MRO'!FL16</f>
        <v>0</v>
      </c>
      <c r="FM34" s="83">
        <f>'Payroll Verisma'!FM16+'Payroll MRO'!FM16</f>
        <v>0</v>
      </c>
      <c r="FN34" s="83">
        <f>'Payroll Verisma'!FN16+'Payroll MRO'!FN16</f>
        <v>0</v>
      </c>
      <c r="FO34" s="83">
        <f>'Payroll Verisma'!FO16+'Payroll MRO'!FO16</f>
        <v>31</v>
      </c>
      <c r="FP34" s="83">
        <f>'Payroll Verisma'!FP16+'Payroll MRO'!FP16</f>
        <v>30</v>
      </c>
      <c r="FQ34" s="83">
        <f>'Payroll Verisma'!FQ16+'Payroll MRO'!FQ16</f>
        <v>46</v>
      </c>
      <c r="FR34" s="83">
        <f>'Payroll Verisma'!FR16+'Payroll MRO'!FR16</f>
        <v>0</v>
      </c>
      <c r="FS34" s="83">
        <f>'Payroll Verisma'!FS16+'Payroll MRO'!FS16</f>
        <v>72</v>
      </c>
      <c r="FT34" s="83">
        <f>'Payroll Verisma'!FT16+'Payroll MRO'!FT16</f>
        <v>22</v>
      </c>
      <c r="FU34" s="83">
        <f>'Payroll Verisma'!FU16+'Payroll MRO'!FU16</f>
        <v>0</v>
      </c>
      <c r="FV34" s="83">
        <f>'Payroll Verisma'!FV16+'Payroll MRO'!FV16</f>
        <v>0</v>
      </c>
      <c r="FW34" s="83">
        <f>'Payroll Verisma'!FW16+'Payroll MRO'!FW16</f>
        <v>0</v>
      </c>
      <c r="FX34" s="83">
        <f>'Payroll Verisma'!FX16+'Payroll MRO'!FX16</f>
        <v>0</v>
      </c>
      <c r="FY34" s="83">
        <f>'Payroll Verisma'!FY16+'Payroll MRO'!FY16</f>
        <v>29</v>
      </c>
      <c r="FZ34" s="83">
        <f>'Payroll Verisma'!FZ16+'Payroll MRO'!FZ16</f>
        <v>39</v>
      </c>
      <c r="GA34" s="83">
        <f>'Payroll Verisma'!GA16+'Payroll MRO'!GA16</f>
        <v>0</v>
      </c>
      <c r="GB34" s="83">
        <f>'Payroll Verisma'!GB16+'Payroll MRO'!GB16</f>
        <v>45</v>
      </c>
      <c r="GC34" s="83">
        <f>'Payroll Verisma'!GC16+'Payroll MRO'!GC16</f>
        <v>0</v>
      </c>
      <c r="GD34" s="83">
        <f>'Payroll Verisma'!GD16+'Payroll MRO'!GD16</f>
        <v>30</v>
      </c>
      <c r="GE34" s="83">
        <f>'Payroll Verisma'!GE16+'Payroll MRO'!GE16</f>
        <v>83</v>
      </c>
      <c r="GF34" s="83">
        <f>'Payroll Verisma'!GF16+'Payroll MRO'!GF16</f>
        <v>0</v>
      </c>
      <c r="GG34" s="83">
        <f>'Payroll Verisma'!GG16+'Payroll MRO'!GG16</f>
        <v>53</v>
      </c>
      <c r="GH34" s="83">
        <f>'Payroll Verisma'!GH16+'Payroll MRO'!GH16</f>
        <v>12</v>
      </c>
      <c r="GI34" s="83">
        <f>'Payroll Verisma'!GI16+'Payroll MRO'!GI16</f>
        <v>0</v>
      </c>
      <c r="GJ34" s="83">
        <f>'Payroll Verisma'!GJ16+'Payroll MRO'!GJ16</f>
        <v>50</v>
      </c>
      <c r="GK34" s="83">
        <f>'Payroll Verisma'!GK16+'Payroll MRO'!GK16</f>
        <v>80</v>
      </c>
      <c r="GL34" s="83">
        <f>'Payroll Verisma'!GL16+'Payroll MRO'!GL16</f>
        <v>20</v>
      </c>
      <c r="GM34" s="83">
        <f>'Payroll Verisma'!GM16+'Payroll MRO'!GM16</f>
        <v>101</v>
      </c>
      <c r="GN34" s="83">
        <f>'Payroll Verisma'!GN16+'Payroll MRO'!GN16</f>
        <v>39</v>
      </c>
      <c r="GO34" s="83">
        <f>'Payroll Verisma'!GO16+'Payroll MRO'!GO16</f>
        <v>51</v>
      </c>
      <c r="GP34" s="83">
        <f>'Payroll Verisma'!GP16+'Payroll MRO'!GP16</f>
        <v>20</v>
      </c>
      <c r="GQ34" s="83">
        <f>'Payroll Verisma'!GQ16+'Payroll MRO'!GQ16</f>
        <v>0</v>
      </c>
      <c r="GR34" s="83">
        <f>'Payroll Verisma'!GR16+'Payroll MRO'!GR16</f>
        <v>29</v>
      </c>
    </row>
    <row r="35" spans="1:200" ht="15.6">
      <c r="A35" s="81">
        <f t="shared" si="83"/>
        <v>46037</v>
      </c>
      <c r="B35" s="82" t="str">
        <f t="shared" si="82"/>
        <v>Thu</v>
      </c>
      <c r="C35" s="75">
        <f t="shared" si="81"/>
        <v>5174</v>
      </c>
      <c r="D35" s="83">
        <f>'Payroll Verisma'!D17+'Payroll MRO'!D17</f>
        <v>0</v>
      </c>
      <c r="E35" s="83">
        <f>'Payroll Verisma'!E17+'Payroll MRO'!E17</f>
        <v>52</v>
      </c>
      <c r="F35" s="83">
        <f>'Payroll Verisma'!F17+'Payroll MRO'!F17</f>
        <v>0</v>
      </c>
      <c r="G35" s="83">
        <f>'Payroll Verisma'!G17+'Payroll MRO'!G17</f>
        <v>5</v>
      </c>
      <c r="H35" s="83">
        <f>'Payroll Verisma'!H17+'Payroll MRO'!H17</f>
        <v>37</v>
      </c>
      <c r="I35" s="83">
        <f>'Payroll Verisma'!I17+'Payroll MRO'!I17</f>
        <v>72</v>
      </c>
      <c r="J35" s="83">
        <f>'Payroll Verisma'!J17+'Payroll MRO'!J17</f>
        <v>0</v>
      </c>
      <c r="K35" s="83">
        <f>'Payroll Verisma'!K17+'Payroll MRO'!K17</f>
        <v>0</v>
      </c>
      <c r="L35" s="83">
        <f>'Payroll Verisma'!L17+'Payroll MRO'!L17</f>
        <v>0</v>
      </c>
      <c r="M35" s="83">
        <f>'Payroll Verisma'!M17+'Payroll MRO'!M17</f>
        <v>0</v>
      </c>
      <c r="N35" s="83">
        <f>'Payroll Verisma'!N17+'Payroll MRO'!N17</f>
        <v>47</v>
      </c>
      <c r="O35" s="83">
        <f>'Payroll Verisma'!O17+'Payroll MRO'!O17</f>
        <v>62</v>
      </c>
      <c r="P35" s="83">
        <f>'Payroll Verisma'!P17+'Payroll MRO'!P17</f>
        <v>24</v>
      </c>
      <c r="Q35" s="83">
        <f>'Payroll Verisma'!Q17+'Payroll MRO'!Q17</f>
        <v>41</v>
      </c>
      <c r="R35" s="83">
        <f>'Payroll Verisma'!R17+'Payroll MRO'!R17</f>
        <v>86</v>
      </c>
      <c r="S35" s="83">
        <f>'Payroll Verisma'!S17+'Payroll MRO'!S17</f>
        <v>53</v>
      </c>
      <c r="T35" s="83">
        <f>'Payroll Verisma'!T17+'Payroll MRO'!T17</f>
        <v>173</v>
      </c>
      <c r="U35" s="83">
        <f>'Payroll Verisma'!U17+'Payroll MRO'!U17</f>
        <v>28</v>
      </c>
      <c r="V35" s="83">
        <f>'Payroll Verisma'!V17+'Payroll MRO'!V17</f>
        <v>23</v>
      </c>
      <c r="W35" s="83">
        <f>'Payroll Verisma'!W17+'Payroll MRO'!W17</f>
        <v>0</v>
      </c>
      <c r="X35" s="83">
        <f>'Payroll Verisma'!X17+'Payroll MRO'!X17</f>
        <v>0</v>
      </c>
      <c r="Y35" s="83">
        <f>'Payroll Verisma'!Y17+'Payroll MRO'!Y17</f>
        <v>61</v>
      </c>
      <c r="Z35" s="83">
        <f>'Payroll Verisma'!Z17+'Payroll MRO'!Z17</f>
        <v>50</v>
      </c>
      <c r="AA35" s="83">
        <f>'Payroll Verisma'!AA17+'Payroll MRO'!AA17</f>
        <v>37</v>
      </c>
      <c r="AB35" s="83">
        <f>'Payroll Verisma'!AB17+'Payroll MRO'!AB17</f>
        <v>28</v>
      </c>
      <c r="AC35" s="83">
        <f>'Payroll Verisma'!AC17+'Payroll MRO'!AC17</f>
        <v>0</v>
      </c>
      <c r="AD35" s="83">
        <f>'Payroll Verisma'!AD17+'Payroll MRO'!AD17</f>
        <v>57</v>
      </c>
      <c r="AE35" s="83">
        <f>'Payroll Verisma'!AE17+'Payroll MRO'!AE17</f>
        <v>3</v>
      </c>
      <c r="AF35" s="83">
        <f>'Payroll Verisma'!AF17+'Payroll MRO'!AF17</f>
        <v>0</v>
      </c>
      <c r="AG35" s="83">
        <f>'Payroll Verisma'!AG17+'Payroll MRO'!AG17</f>
        <v>24</v>
      </c>
      <c r="AH35" s="83">
        <f>'Payroll Verisma'!AH17+'Payroll MRO'!AH17</f>
        <v>0</v>
      </c>
      <c r="AI35" s="83">
        <f>'Payroll Verisma'!AI17+'Payroll MRO'!AI17</f>
        <v>0</v>
      </c>
      <c r="AJ35" s="83">
        <f>'Payroll Verisma'!AJ17+'Payroll MRO'!AJ17</f>
        <v>0</v>
      </c>
      <c r="AK35" s="83">
        <f>'Payroll Verisma'!AK17+'Payroll MRO'!AK17</f>
        <v>0</v>
      </c>
      <c r="AL35" s="83">
        <f>'Payroll Verisma'!AL17+'Payroll MRO'!AL17</f>
        <v>30</v>
      </c>
      <c r="AM35" s="83">
        <f>'Payroll Verisma'!AM17+'Payroll MRO'!AM17</f>
        <v>0</v>
      </c>
      <c r="AN35" s="83">
        <f>'Payroll Verisma'!AN17+'Payroll MRO'!AN17</f>
        <v>18</v>
      </c>
      <c r="AO35" s="83">
        <f>'Payroll Verisma'!AO17+'Payroll MRO'!AO17</f>
        <v>0</v>
      </c>
      <c r="AP35" s="83">
        <f>'Payroll Verisma'!AP17+'Payroll MRO'!AP17</f>
        <v>13</v>
      </c>
      <c r="AQ35" s="83">
        <f>'Payroll Verisma'!AQ17+'Payroll MRO'!AQ17</f>
        <v>0</v>
      </c>
      <c r="AR35" s="83">
        <f>'Payroll Verisma'!AR17+'Payroll MRO'!AR17</f>
        <v>35</v>
      </c>
      <c r="AS35" s="83">
        <f>'Payroll Verisma'!AS17+'Payroll MRO'!AS17</f>
        <v>0</v>
      </c>
      <c r="AT35" s="83">
        <f>'Payroll Verisma'!AT17+'Payroll MRO'!AT17</f>
        <v>24</v>
      </c>
      <c r="AU35" s="83">
        <f>'Payroll Verisma'!AU17+'Payroll MRO'!AU17</f>
        <v>0</v>
      </c>
      <c r="AV35" s="83">
        <f>'Payroll Verisma'!AV17+'Payroll MRO'!AV17</f>
        <v>0</v>
      </c>
      <c r="AW35" s="83">
        <f>'Payroll Verisma'!AW17+'Payroll MRO'!AW17</f>
        <v>46</v>
      </c>
      <c r="AX35" s="83">
        <f>'Payroll Verisma'!AX17+'Payroll MRO'!AX17</f>
        <v>71</v>
      </c>
      <c r="AY35" s="83">
        <f>'Payroll Verisma'!AY17+'Payroll MRO'!AY17</f>
        <v>0</v>
      </c>
      <c r="AZ35" s="83">
        <f>'Payroll Verisma'!AZ17+'Payroll MRO'!AZ17</f>
        <v>16</v>
      </c>
      <c r="BA35" s="83">
        <f>'Payroll Verisma'!BA17+'Payroll MRO'!BA17</f>
        <v>32</v>
      </c>
      <c r="BB35" s="83">
        <f>'Payroll Verisma'!BB17+'Payroll MRO'!BB17</f>
        <v>60</v>
      </c>
      <c r="BC35" s="83">
        <f>'Payroll Verisma'!BC17+'Payroll MRO'!BC17</f>
        <v>14</v>
      </c>
      <c r="BD35" s="83">
        <f>'Payroll Verisma'!BD17+'Payroll MRO'!BD17</f>
        <v>73</v>
      </c>
      <c r="BE35" s="83">
        <f>'Payroll Verisma'!BE17+'Payroll MRO'!BE17</f>
        <v>22</v>
      </c>
      <c r="BF35" s="83">
        <f>'Payroll Verisma'!BF17+'Payroll MRO'!BF17</f>
        <v>0</v>
      </c>
      <c r="BG35" s="83">
        <f>'Payroll Verisma'!BG17+'Payroll MRO'!BG17</f>
        <v>13</v>
      </c>
      <c r="BH35" s="83">
        <f>'Payroll Verisma'!BH17+'Payroll MRO'!BH17</f>
        <v>9</v>
      </c>
      <c r="BI35" s="83">
        <f>'Payroll Verisma'!BI17+'Payroll MRO'!BI17</f>
        <v>35</v>
      </c>
      <c r="BJ35" s="83">
        <f>'Payroll Verisma'!BJ17+'Payroll MRO'!BJ17</f>
        <v>20</v>
      </c>
      <c r="BK35" s="83">
        <f>'Payroll Verisma'!BK17+'Payroll MRO'!BK17</f>
        <v>0</v>
      </c>
      <c r="BL35" s="83">
        <f>'Payroll Verisma'!BL17+'Payroll MRO'!BL17</f>
        <v>45</v>
      </c>
      <c r="BM35" s="83">
        <f>'Payroll Verisma'!BM17+'Payroll MRO'!BM17</f>
        <v>0</v>
      </c>
      <c r="BN35" s="83">
        <f>'Payroll Verisma'!BN17+'Payroll MRO'!BN17</f>
        <v>35</v>
      </c>
      <c r="BO35" s="83">
        <f>'Payroll Verisma'!BO17+'Payroll MRO'!BO17</f>
        <v>46</v>
      </c>
      <c r="BP35" s="83">
        <f>'Payroll Verisma'!BP17+'Payroll MRO'!BP17</f>
        <v>0</v>
      </c>
      <c r="BQ35" s="83">
        <f>'Payroll Verisma'!BQ17+'Payroll MRO'!BQ17</f>
        <v>57</v>
      </c>
      <c r="BR35" s="83">
        <f>'Payroll Verisma'!BR17+'Payroll MRO'!BR17</f>
        <v>0</v>
      </c>
      <c r="BS35" s="83">
        <f>'Payroll Verisma'!BS17+'Payroll MRO'!BS17</f>
        <v>0</v>
      </c>
      <c r="BT35" s="83">
        <f>'Payroll Verisma'!BT17+'Payroll MRO'!BT17</f>
        <v>0</v>
      </c>
      <c r="BU35" s="83">
        <f>'Payroll Verisma'!BU17+'Payroll MRO'!BU17</f>
        <v>50</v>
      </c>
      <c r="BV35" s="83">
        <f>'Payroll Verisma'!BV17+'Payroll MRO'!BV17</f>
        <v>4</v>
      </c>
      <c r="BW35" s="83">
        <f>'Payroll Verisma'!BW17+'Payroll MRO'!BW17</f>
        <v>59</v>
      </c>
      <c r="BX35" s="83">
        <f>'Payroll Verisma'!BX17+'Payroll MRO'!BX17</f>
        <v>0</v>
      </c>
      <c r="BY35" s="83">
        <f>'Payroll Verisma'!BY17+'Payroll MRO'!BY17</f>
        <v>0</v>
      </c>
      <c r="BZ35" s="83">
        <f>'Payroll Verisma'!BZ17+'Payroll MRO'!BZ17</f>
        <v>91</v>
      </c>
      <c r="CA35" s="83">
        <f>'Payroll Verisma'!CA17+'Payroll MRO'!CA17</f>
        <v>53</v>
      </c>
      <c r="CB35" s="83">
        <f>'Payroll Verisma'!CB17+'Payroll MRO'!CB17</f>
        <v>64</v>
      </c>
      <c r="CC35" s="83">
        <f>'Payroll Verisma'!CC17+'Payroll MRO'!CC17</f>
        <v>46</v>
      </c>
      <c r="CD35" s="83">
        <f>'Payroll Verisma'!CD17+'Payroll MRO'!CD17</f>
        <v>58</v>
      </c>
      <c r="CE35" s="83">
        <f>'Payroll Verisma'!CE17+'Payroll MRO'!CE17</f>
        <v>24</v>
      </c>
      <c r="CF35" s="83">
        <f>'Payroll Verisma'!CF17+'Payroll MRO'!CF17</f>
        <v>6</v>
      </c>
      <c r="CG35" s="83">
        <f>'Payroll Verisma'!CG17+'Payroll MRO'!CG17</f>
        <v>0</v>
      </c>
      <c r="CH35" s="83">
        <f>'Payroll Verisma'!CH17+'Payroll MRO'!CH17</f>
        <v>37</v>
      </c>
      <c r="CI35" s="83">
        <f>'Payroll Verisma'!CI17+'Payroll MRO'!CI17</f>
        <v>0</v>
      </c>
      <c r="CJ35" s="83">
        <f>'Payroll Verisma'!CJ17+'Payroll MRO'!CJ17</f>
        <v>98</v>
      </c>
      <c r="CK35" s="83">
        <f>'Payroll Verisma'!CK17+'Payroll MRO'!CK17</f>
        <v>0</v>
      </c>
      <c r="CL35" s="83">
        <f>'Payroll Verisma'!CL17+'Payroll MRO'!CL17</f>
        <v>40</v>
      </c>
      <c r="CM35" s="83">
        <f>'Payroll Verisma'!CM17+'Payroll MRO'!CM17</f>
        <v>0</v>
      </c>
      <c r="CN35" s="83">
        <f>'Payroll Verisma'!CN17+'Payroll MRO'!CN17</f>
        <v>49</v>
      </c>
      <c r="CO35" s="83">
        <f>'Payroll Verisma'!CO17+'Payroll MRO'!CO17</f>
        <v>4</v>
      </c>
      <c r="CP35" s="83">
        <f>'Payroll Verisma'!CP17+'Payroll MRO'!CP17</f>
        <v>0</v>
      </c>
      <c r="CQ35" s="83">
        <f>'Payroll Verisma'!CQ17+'Payroll MRO'!CQ17</f>
        <v>0</v>
      </c>
      <c r="CR35" s="83">
        <f>'Payroll Verisma'!CR17+'Payroll MRO'!CR17</f>
        <v>0</v>
      </c>
      <c r="CS35" s="83">
        <f>'Payroll Verisma'!CS17+'Payroll MRO'!CS17</f>
        <v>5</v>
      </c>
      <c r="CT35" s="83">
        <f>'Payroll Verisma'!CT17+'Payroll MRO'!CT17</f>
        <v>45</v>
      </c>
      <c r="CU35" s="83">
        <f>'Payroll Verisma'!CU17+'Payroll MRO'!CU17</f>
        <v>0</v>
      </c>
      <c r="CV35" s="83">
        <f>'Payroll Verisma'!CV17+'Payroll MRO'!CV17</f>
        <v>0</v>
      </c>
      <c r="CW35" s="83">
        <f>'Payroll Verisma'!CW17+'Payroll MRO'!CW17</f>
        <v>0</v>
      </c>
      <c r="CX35" s="83">
        <f>'Payroll Verisma'!CX17+'Payroll MRO'!CX17</f>
        <v>0</v>
      </c>
      <c r="CY35" s="83">
        <f>'Payroll Verisma'!CY17+'Payroll MRO'!CY17</f>
        <v>17</v>
      </c>
      <c r="CZ35" s="83">
        <f>'Payroll Verisma'!CZ17+'Payroll MRO'!CZ17</f>
        <v>6</v>
      </c>
      <c r="DA35" s="83">
        <f>'Payroll Verisma'!DA17+'Payroll MRO'!DA17</f>
        <v>29</v>
      </c>
      <c r="DB35" s="83">
        <f>'Payroll Verisma'!DB17+'Payroll MRO'!DB17</f>
        <v>0</v>
      </c>
      <c r="DC35" s="83">
        <f>'Payroll Verisma'!DC17+'Payroll MRO'!DC17</f>
        <v>0</v>
      </c>
      <c r="DD35" s="83">
        <f>'Payroll Verisma'!DD17+'Payroll MRO'!DD17</f>
        <v>0</v>
      </c>
      <c r="DE35" s="83">
        <f>'Payroll Verisma'!DE17+'Payroll MRO'!DE17</f>
        <v>60</v>
      </c>
      <c r="DF35" s="83">
        <f>'Payroll Verisma'!DF17+'Payroll MRO'!DF17</f>
        <v>0</v>
      </c>
      <c r="DG35" s="83">
        <f>'Payroll Verisma'!DG17+'Payroll MRO'!DG17</f>
        <v>22</v>
      </c>
      <c r="DH35" s="83">
        <f>'Payroll Verisma'!DH17+'Payroll MRO'!DH17</f>
        <v>17</v>
      </c>
      <c r="DI35" s="83">
        <f>'Payroll Verisma'!DI17+'Payroll MRO'!DI17</f>
        <v>103</v>
      </c>
      <c r="DJ35" s="83">
        <f>'Payroll Verisma'!DJ17+'Payroll MRO'!DJ17</f>
        <v>0</v>
      </c>
      <c r="DK35" s="83">
        <f>'Payroll Verisma'!DK17+'Payroll MRO'!DK17</f>
        <v>86</v>
      </c>
      <c r="DL35" s="83">
        <f>'Payroll Verisma'!DL17+'Payroll MRO'!DL17</f>
        <v>25</v>
      </c>
      <c r="DM35" s="83">
        <f>'Payroll Verisma'!DM17+'Payroll MRO'!DM17</f>
        <v>15</v>
      </c>
      <c r="DN35" s="83">
        <f>'Payroll Verisma'!DN17+'Payroll MRO'!DN17</f>
        <v>46</v>
      </c>
      <c r="DO35" s="83">
        <f>'Payroll Verisma'!DO17+'Payroll MRO'!DO17</f>
        <v>16</v>
      </c>
      <c r="DP35" s="83">
        <f>'Payroll Verisma'!DP17+'Payroll MRO'!DP17</f>
        <v>0</v>
      </c>
      <c r="DQ35" s="83">
        <f>'Payroll Verisma'!DQ17+'Payroll MRO'!DQ17</f>
        <v>48</v>
      </c>
      <c r="DR35" s="83">
        <f>'Payroll Verisma'!DR17+'Payroll MRO'!DR17</f>
        <v>85</v>
      </c>
      <c r="DS35" s="83">
        <f>'Payroll Verisma'!DS17+'Payroll MRO'!DS17</f>
        <v>27</v>
      </c>
      <c r="DT35" s="83">
        <f>'Payroll Verisma'!DT17+'Payroll MRO'!DT17</f>
        <v>55</v>
      </c>
      <c r="DU35" s="83">
        <f>'Payroll Verisma'!DU17+'Payroll MRO'!DU17</f>
        <v>12</v>
      </c>
      <c r="DV35" s="83">
        <f>'Payroll Verisma'!DV17+'Payroll MRO'!DV17</f>
        <v>0</v>
      </c>
      <c r="DW35" s="83">
        <f>'Payroll Verisma'!DW17+'Payroll MRO'!DW17</f>
        <v>0</v>
      </c>
      <c r="DX35" s="83">
        <f>'Payroll Verisma'!DX17+'Payroll MRO'!DX17</f>
        <v>35</v>
      </c>
      <c r="DY35" s="83">
        <f>'Payroll Verisma'!DY17+'Payroll MRO'!DY17</f>
        <v>47</v>
      </c>
      <c r="DZ35" s="83">
        <f>'Payroll Verisma'!DZ17+'Payroll MRO'!DZ17</f>
        <v>51</v>
      </c>
      <c r="EA35" s="83">
        <f>'Payroll Verisma'!EA17+'Payroll MRO'!EA17</f>
        <v>0</v>
      </c>
      <c r="EB35" s="83">
        <f>'Payroll Verisma'!EB17+'Payroll MRO'!EB17</f>
        <v>44</v>
      </c>
      <c r="EC35" s="83">
        <f>'Payroll Verisma'!EC17+'Payroll MRO'!EC17</f>
        <v>28</v>
      </c>
      <c r="ED35" s="83">
        <f>'Payroll Verisma'!ED17+'Payroll MRO'!ED17</f>
        <v>96</v>
      </c>
      <c r="EE35" s="83">
        <f>'Payroll Verisma'!EE17+'Payroll MRO'!EE17</f>
        <v>10</v>
      </c>
      <c r="EF35" s="83">
        <f>'Payroll Verisma'!EF17+'Payroll MRO'!EF17</f>
        <v>49</v>
      </c>
      <c r="EG35" s="83">
        <f>'Payroll Verisma'!EG17+'Payroll MRO'!EG17</f>
        <v>0</v>
      </c>
      <c r="EH35" s="83">
        <f>'Payroll Verisma'!EH17+'Payroll MRO'!EH17</f>
        <v>0</v>
      </c>
      <c r="EI35" s="83">
        <f>'Payroll Verisma'!EI17+'Payroll MRO'!EI17</f>
        <v>0</v>
      </c>
      <c r="EJ35" s="83">
        <f>'Payroll Verisma'!EJ17+'Payroll MRO'!EJ17</f>
        <v>41</v>
      </c>
      <c r="EK35" s="83">
        <f>'Payroll Verisma'!EK17+'Payroll MRO'!EK17</f>
        <v>35</v>
      </c>
      <c r="EL35" s="83">
        <f>'Payroll Verisma'!EL17+'Payroll MRO'!EL17</f>
        <v>112</v>
      </c>
      <c r="EM35" s="83">
        <f>'Payroll Verisma'!EM17+'Payroll MRO'!EM17</f>
        <v>50</v>
      </c>
      <c r="EN35" s="83">
        <f>'Payroll Verisma'!EN17+'Payroll MRO'!EN17</f>
        <v>9</v>
      </c>
      <c r="EO35" s="83">
        <f>'Payroll Verisma'!EO17+'Payroll MRO'!EO17</f>
        <v>33</v>
      </c>
      <c r="EP35" s="83">
        <f>'Payroll Verisma'!EP17+'Payroll MRO'!EP17</f>
        <v>0</v>
      </c>
      <c r="EQ35" s="83">
        <f>'Payroll Verisma'!EQ17+'Payroll MRO'!EQ17</f>
        <v>0</v>
      </c>
      <c r="ER35" s="83">
        <f>'Payroll Verisma'!ER17+'Payroll MRO'!ER17</f>
        <v>25</v>
      </c>
      <c r="ES35" s="83">
        <f>'Payroll Verisma'!ES17+'Payroll MRO'!ES17</f>
        <v>9</v>
      </c>
      <c r="ET35" s="83">
        <f>'Payroll Verisma'!ET17+'Payroll MRO'!ET17</f>
        <v>0</v>
      </c>
      <c r="EU35" s="83">
        <f>'Payroll Verisma'!EU17+'Payroll MRO'!EU17</f>
        <v>49</v>
      </c>
      <c r="EV35" s="83">
        <f>'Payroll Verisma'!EV17+'Payroll MRO'!EV17</f>
        <v>66</v>
      </c>
      <c r="EW35" s="83">
        <f>'Payroll Verisma'!EW17+'Payroll MRO'!EW17</f>
        <v>49</v>
      </c>
      <c r="EX35" s="83">
        <f>'Payroll Verisma'!EX17+'Payroll MRO'!EX17</f>
        <v>27</v>
      </c>
      <c r="EY35" s="83">
        <f>'Payroll Verisma'!EY17+'Payroll MRO'!EY17</f>
        <v>21</v>
      </c>
      <c r="EZ35" s="83">
        <f>'Payroll Verisma'!EZ17+'Payroll MRO'!EZ17</f>
        <v>0</v>
      </c>
      <c r="FA35" s="83">
        <f>'Payroll Verisma'!FA17+'Payroll MRO'!FA17</f>
        <v>0</v>
      </c>
      <c r="FB35" s="83">
        <f>'Payroll Verisma'!FB17+'Payroll MRO'!FB17</f>
        <v>0</v>
      </c>
      <c r="FC35" s="83">
        <f>'Payroll Verisma'!FC17+'Payroll MRO'!FC17</f>
        <v>0</v>
      </c>
      <c r="FD35" s="83">
        <f>'Payroll Verisma'!FD17+'Payroll MRO'!FD17</f>
        <v>0</v>
      </c>
      <c r="FE35" s="83">
        <f>'Payroll Verisma'!FE17+'Payroll MRO'!FE17</f>
        <v>0</v>
      </c>
      <c r="FF35" s="83">
        <f>'Payroll Verisma'!FF17+'Payroll MRO'!FF17</f>
        <v>19</v>
      </c>
      <c r="FG35" s="83">
        <f>'Payroll Verisma'!FG17+'Payroll MRO'!FG17</f>
        <v>0</v>
      </c>
      <c r="FH35" s="83">
        <f>'Payroll Verisma'!FH17+'Payroll MRO'!FH17</f>
        <v>120</v>
      </c>
      <c r="FI35" s="83">
        <f>'Payroll Verisma'!FI17+'Payroll MRO'!FI17</f>
        <v>25</v>
      </c>
      <c r="FJ35" s="83">
        <f>'Payroll Verisma'!FJ17+'Payroll MRO'!FJ17</f>
        <v>0</v>
      </c>
      <c r="FK35" s="83">
        <f>'Payroll Verisma'!FK17+'Payroll MRO'!FK17</f>
        <v>33</v>
      </c>
      <c r="FL35" s="83">
        <f>'Payroll Verisma'!FL17+'Payroll MRO'!FL17</f>
        <v>0</v>
      </c>
      <c r="FM35" s="83">
        <f>'Payroll Verisma'!FM17+'Payroll MRO'!FM17</f>
        <v>0</v>
      </c>
      <c r="FN35" s="83">
        <f>'Payroll Verisma'!FN17+'Payroll MRO'!FN17</f>
        <v>45</v>
      </c>
      <c r="FO35" s="83">
        <f>'Payroll Verisma'!FO17+'Payroll MRO'!FO17</f>
        <v>44</v>
      </c>
      <c r="FP35" s="83">
        <f>'Payroll Verisma'!FP17+'Payroll MRO'!FP17</f>
        <v>54</v>
      </c>
      <c r="FQ35" s="83">
        <f>'Payroll Verisma'!FQ17+'Payroll MRO'!FQ17</f>
        <v>68</v>
      </c>
      <c r="FR35" s="83">
        <f>'Payroll Verisma'!FR17+'Payroll MRO'!FR17</f>
        <v>0</v>
      </c>
      <c r="FS35" s="83">
        <f>'Payroll Verisma'!FS17+'Payroll MRO'!FS17</f>
        <v>29</v>
      </c>
      <c r="FT35" s="83">
        <f>'Payroll Verisma'!FT17+'Payroll MRO'!FT17</f>
        <v>38</v>
      </c>
      <c r="FU35" s="83">
        <f>'Payroll Verisma'!FU17+'Payroll MRO'!FU17</f>
        <v>0</v>
      </c>
      <c r="FV35" s="83">
        <f>'Payroll Verisma'!FV17+'Payroll MRO'!FV17</f>
        <v>0</v>
      </c>
      <c r="FW35" s="83">
        <f>'Payroll Verisma'!FW17+'Payroll MRO'!FW17</f>
        <v>0</v>
      </c>
      <c r="FX35" s="83">
        <f>'Payroll Verisma'!FX17+'Payroll MRO'!FX17</f>
        <v>0</v>
      </c>
      <c r="FY35" s="83">
        <f>'Payroll Verisma'!FY17+'Payroll MRO'!FY17</f>
        <v>30</v>
      </c>
      <c r="FZ35" s="83">
        <f>'Payroll Verisma'!FZ17+'Payroll MRO'!FZ17</f>
        <v>43</v>
      </c>
      <c r="GA35" s="83">
        <f>'Payroll Verisma'!GA17+'Payroll MRO'!GA17</f>
        <v>17</v>
      </c>
      <c r="GB35" s="83">
        <f>'Payroll Verisma'!GB17+'Payroll MRO'!GB17</f>
        <v>24</v>
      </c>
      <c r="GC35" s="83">
        <f>'Payroll Verisma'!GC17+'Payroll MRO'!GC17</f>
        <v>0</v>
      </c>
      <c r="GD35" s="83">
        <f>'Payroll Verisma'!GD17+'Payroll MRO'!GD17</f>
        <v>47</v>
      </c>
      <c r="GE35" s="83">
        <f>'Payroll Verisma'!GE17+'Payroll MRO'!GE17</f>
        <v>85</v>
      </c>
      <c r="GF35" s="83">
        <f>'Payroll Verisma'!GF17+'Payroll MRO'!GF17</f>
        <v>44</v>
      </c>
      <c r="GG35" s="83">
        <f>'Payroll Verisma'!GG17+'Payroll MRO'!GG17</f>
        <v>0</v>
      </c>
      <c r="GH35" s="83">
        <f>'Payroll Verisma'!GH17+'Payroll MRO'!GH17</f>
        <v>25</v>
      </c>
      <c r="GI35" s="83">
        <f>'Payroll Verisma'!GI17+'Payroll MRO'!GI17</f>
        <v>0</v>
      </c>
      <c r="GJ35" s="83">
        <f>'Payroll Verisma'!GJ17+'Payroll MRO'!GJ17</f>
        <v>56</v>
      </c>
      <c r="GK35" s="83">
        <f>'Payroll Verisma'!GK17+'Payroll MRO'!GK17</f>
        <v>72</v>
      </c>
      <c r="GL35" s="83">
        <f>'Payroll Verisma'!GL17+'Payroll MRO'!GL17</f>
        <v>45</v>
      </c>
      <c r="GM35" s="83">
        <f>'Payroll Verisma'!GM17+'Payroll MRO'!GM17</f>
        <v>105</v>
      </c>
      <c r="GN35" s="83">
        <f>'Payroll Verisma'!GN17+'Payroll MRO'!GN17</f>
        <v>40</v>
      </c>
      <c r="GO35" s="83">
        <f>'Payroll Verisma'!GO17+'Payroll MRO'!GO17</f>
        <v>47</v>
      </c>
      <c r="GP35" s="83">
        <f>'Payroll Verisma'!GP17+'Payroll MRO'!GP17</f>
        <v>10</v>
      </c>
      <c r="GQ35" s="83">
        <f>'Payroll Verisma'!GQ17+'Payroll MRO'!GQ17</f>
        <v>0</v>
      </c>
      <c r="GR35" s="83">
        <f>'Payroll Verisma'!GR17+'Payroll MRO'!GR17</f>
        <v>44</v>
      </c>
    </row>
    <row r="36" spans="1:200" ht="15.6">
      <c r="A36" s="81">
        <f t="shared" si="83"/>
        <v>46038</v>
      </c>
      <c r="B36" s="82" t="str">
        <f t="shared" si="82"/>
        <v>Fri</v>
      </c>
      <c r="C36" s="75">
        <f t="shared" si="81"/>
        <v>4688</v>
      </c>
      <c r="D36" s="83">
        <f>'Payroll Verisma'!D18+'Payroll MRO'!D18</f>
        <v>0</v>
      </c>
      <c r="E36" s="83">
        <f>'Payroll Verisma'!E18+'Payroll MRO'!E18</f>
        <v>16</v>
      </c>
      <c r="F36" s="83">
        <f>'Payroll Verisma'!F18+'Payroll MRO'!F18</f>
        <v>0</v>
      </c>
      <c r="G36" s="83">
        <f>'Payroll Verisma'!G18+'Payroll MRO'!G18</f>
        <v>0</v>
      </c>
      <c r="H36" s="83">
        <f>'Payroll Verisma'!H18+'Payroll MRO'!H18</f>
        <v>38</v>
      </c>
      <c r="I36" s="83">
        <f>'Payroll Verisma'!I18+'Payroll MRO'!I18</f>
        <v>90</v>
      </c>
      <c r="J36" s="83">
        <f>'Payroll Verisma'!J18+'Payroll MRO'!J18</f>
        <v>0</v>
      </c>
      <c r="K36" s="83">
        <f>'Payroll Verisma'!K18+'Payroll MRO'!K18</f>
        <v>0</v>
      </c>
      <c r="L36" s="83">
        <f>'Payroll Verisma'!L18+'Payroll MRO'!L18</f>
        <v>0</v>
      </c>
      <c r="M36" s="83">
        <f>'Payroll Verisma'!M18+'Payroll MRO'!M18</f>
        <v>0</v>
      </c>
      <c r="N36" s="83">
        <f>'Payroll Verisma'!N18+'Payroll MRO'!N18</f>
        <v>52</v>
      </c>
      <c r="O36" s="83">
        <f>'Payroll Verisma'!O18+'Payroll MRO'!O18</f>
        <v>75</v>
      </c>
      <c r="P36" s="83">
        <f>'Payroll Verisma'!P18+'Payroll MRO'!P18</f>
        <v>24</v>
      </c>
      <c r="Q36" s="83">
        <f>'Payroll Verisma'!Q18+'Payroll MRO'!Q18</f>
        <v>27</v>
      </c>
      <c r="R36" s="83">
        <f>'Payroll Verisma'!R18+'Payroll MRO'!R18</f>
        <v>104</v>
      </c>
      <c r="S36" s="83">
        <f>'Payroll Verisma'!S18+'Payroll MRO'!S18</f>
        <v>56</v>
      </c>
      <c r="T36" s="83">
        <f>'Payroll Verisma'!T18+'Payroll MRO'!T18</f>
        <v>106</v>
      </c>
      <c r="U36" s="83">
        <f>'Payroll Verisma'!U18+'Payroll MRO'!U18</f>
        <v>14</v>
      </c>
      <c r="V36" s="83">
        <f>'Payroll Verisma'!V18+'Payroll MRO'!V18</f>
        <v>0</v>
      </c>
      <c r="W36" s="83">
        <f>'Payroll Verisma'!W18+'Payroll MRO'!W18</f>
        <v>0</v>
      </c>
      <c r="X36" s="83">
        <f>'Payroll Verisma'!X18+'Payroll MRO'!X18</f>
        <v>0</v>
      </c>
      <c r="Y36" s="83">
        <f>'Payroll Verisma'!Y18+'Payroll MRO'!Y18</f>
        <v>68</v>
      </c>
      <c r="Z36" s="83">
        <f>'Payroll Verisma'!Z18+'Payroll MRO'!Z18</f>
        <v>53</v>
      </c>
      <c r="AA36" s="83">
        <f>'Payroll Verisma'!AA18+'Payroll MRO'!AA18</f>
        <v>17</v>
      </c>
      <c r="AB36" s="83">
        <f>'Payroll Verisma'!AB18+'Payroll MRO'!AB18</f>
        <v>28</v>
      </c>
      <c r="AC36" s="83">
        <f>'Payroll Verisma'!AC18+'Payroll MRO'!AC18</f>
        <v>0</v>
      </c>
      <c r="AD36" s="83">
        <f>'Payroll Verisma'!AD18+'Payroll MRO'!AD18</f>
        <v>49</v>
      </c>
      <c r="AE36" s="83">
        <f>'Payroll Verisma'!AE18+'Payroll MRO'!AE18</f>
        <v>26</v>
      </c>
      <c r="AF36" s="83">
        <f>'Payroll Verisma'!AF18+'Payroll MRO'!AF18</f>
        <v>0</v>
      </c>
      <c r="AG36" s="83">
        <f>'Payroll Verisma'!AG18+'Payroll MRO'!AG18</f>
        <v>78</v>
      </c>
      <c r="AH36" s="83">
        <f>'Payroll Verisma'!AH18+'Payroll MRO'!AH18</f>
        <v>0</v>
      </c>
      <c r="AI36" s="83">
        <f>'Payroll Verisma'!AI18+'Payroll MRO'!AI18</f>
        <v>0</v>
      </c>
      <c r="AJ36" s="83">
        <f>'Payroll Verisma'!AJ18+'Payroll MRO'!AJ18</f>
        <v>0</v>
      </c>
      <c r="AK36" s="83">
        <f>'Payroll Verisma'!AK18+'Payroll MRO'!AK18</f>
        <v>0</v>
      </c>
      <c r="AL36" s="83">
        <f>'Payroll Verisma'!AL18+'Payroll MRO'!AL18</f>
        <v>0</v>
      </c>
      <c r="AM36" s="83">
        <f>'Payroll Verisma'!AM18+'Payroll MRO'!AM18</f>
        <v>0</v>
      </c>
      <c r="AN36" s="83">
        <f>'Payroll Verisma'!AN18+'Payroll MRO'!AN18</f>
        <v>2</v>
      </c>
      <c r="AO36" s="83">
        <f>'Payroll Verisma'!AO18+'Payroll MRO'!AO18</f>
        <v>0</v>
      </c>
      <c r="AP36" s="83">
        <f>'Payroll Verisma'!AP18+'Payroll MRO'!AP18</f>
        <v>16</v>
      </c>
      <c r="AQ36" s="83">
        <f>'Payroll Verisma'!AQ18+'Payroll MRO'!AQ18</f>
        <v>7</v>
      </c>
      <c r="AR36" s="83">
        <f>'Payroll Verisma'!AR18+'Payroll MRO'!AR18</f>
        <v>66</v>
      </c>
      <c r="AS36" s="83">
        <f>'Payroll Verisma'!AS18+'Payroll MRO'!AS18</f>
        <v>0</v>
      </c>
      <c r="AT36" s="83">
        <f>'Payroll Verisma'!AT18+'Payroll MRO'!AT18</f>
        <v>0</v>
      </c>
      <c r="AU36" s="83">
        <f>'Payroll Verisma'!AU18+'Payroll MRO'!AU18</f>
        <v>0</v>
      </c>
      <c r="AV36" s="83">
        <f>'Payroll Verisma'!AV18+'Payroll MRO'!AV18</f>
        <v>0</v>
      </c>
      <c r="AW36" s="83">
        <f>'Payroll Verisma'!AW18+'Payroll MRO'!AW18</f>
        <v>50</v>
      </c>
      <c r="AX36" s="83">
        <f>'Payroll Verisma'!AX18+'Payroll MRO'!AX18</f>
        <v>77</v>
      </c>
      <c r="AY36" s="83">
        <f>'Payroll Verisma'!AY18+'Payroll MRO'!AY18</f>
        <v>0</v>
      </c>
      <c r="AZ36" s="83">
        <f>'Payroll Verisma'!AZ18+'Payroll MRO'!AZ18</f>
        <v>0</v>
      </c>
      <c r="BA36" s="83">
        <f>'Payroll Verisma'!BA18+'Payroll MRO'!BA18</f>
        <v>74</v>
      </c>
      <c r="BB36" s="83">
        <f>'Payroll Verisma'!BB18+'Payroll MRO'!BB18</f>
        <v>46</v>
      </c>
      <c r="BC36" s="83">
        <f>'Payroll Verisma'!BC18+'Payroll MRO'!BC18</f>
        <v>0</v>
      </c>
      <c r="BD36" s="83">
        <f>'Payroll Verisma'!BD18+'Payroll MRO'!BD18</f>
        <v>105</v>
      </c>
      <c r="BE36" s="83">
        <f>'Payroll Verisma'!BE18+'Payroll MRO'!BE18</f>
        <v>46</v>
      </c>
      <c r="BF36" s="83">
        <f>'Payroll Verisma'!BF18+'Payroll MRO'!BF18</f>
        <v>0</v>
      </c>
      <c r="BG36" s="83">
        <f>'Payroll Verisma'!BG18+'Payroll MRO'!BG18</f>
        <v>33</v>
      </c>
      <c r="BH36" s="83">
        <f>'Payroll Verisma'!BH18+'Payroll MRO'!BH18</f>
        <v>0</v>
      </c>
      <c r="BI36" s="83">
        <f>'Payroll Verisma'!BI18+'Payroll MRO'!BI18</f>
        <v>0</v>
      </c>
      <c r="BJ36" s="83">
        <f>'Payroll Verisma'!BJ18+'Payroll MRO'!BJ18</f>
        <v>28</v>
      </c>
      <c r="BK36" s="83">
        <f>'Payroll Verisma'!BK18+'Payroll MRO'!BK18</f>
        <v>0</v>
      </c>
      <c r="BL36" s="83">
        <f>'Payroll Verisma'!BL18+'Payroll MRO'!BL18</f>
        <v>66</v>
      </c>
      <c r="BM36" s="83">
        <f>'Payroll Verisma'!BM18+'Payroll MRO'!BM18</f>
        <v>0</v>
      </c>
      <c r="BN36" s="83">
        <f>'Payroll Verisma'!BN18+'Payroll MRO'!BN18</f>
        <v>33</v>
      </c>
      <c r="BO36" s="83">
        <f>'Payroll Verisma'!BO18+'Payroll MRO'!BO18</f>
        <v>21</v>
      </c>
      <c r="BP36" s="83">
        <f>'Payroll Verisma'!BP18+'Payroll MRO'!BP18</f>
        <v>0</v>
      </c>
      <c r="BQ36" s="83">
        <f>'Payroll Verisma'!BQ18+'Payroll MRO'!BQ18</f>
        <v>68</v>
      </c>
      <c r="BR36" s="83">
        <f>'Payroll Verisma'!BR18+'Payroll MRO'!BR18</f>
        <v>0</v>
      </c>
      <c r="BS36" s="83">
        <f>'Payroll Verisma'!BS18+'Payroll MRO'!BS18</f>
        <v>26</v>
      </c>
      <c r="BT36" s="83">
        <f>'Payroll Verisma'!BT18+'Payroll MRO'!BT18</f>
        <v>0</v>
      </c>
      <c r="BU36" s="83">
        <f>'Payroll Verisma'!BU18+'Payroll MRO'!BU18</f>
        <v>47</v>
      </c>
      <c r="BV36" s="83">
        <f>'Payroll Verisma'!BV18+'Payroll MRO'!BV18</f>
        <v>0</v>
      </c>
      <c r="BW36" s="83">
        <f>'Payroll Verisma'!BW18+'Payroll MRO'!BW18</f>
        <v>35</v>
      </c>
      <c r="BX36" s="83">
        <f>'Payroll Verisma'!BX18+'Payroll MRO'!BX18</f>
        <v>0</v>
      </c>
      <c r="BY36" s="83">
        <f>'Payroll Verisma'!BY18+'Payroll MRO'!BY18</f>
        <v>0</v>
      </c>
      <c r="BZ36" s="83">
        <f>'Payroll Verisma'!BZ18+'Payroll MRO'!BZ18</f>
        <v>49</v>
      </c>
      <c r="CA36" s="83">
        <f>'Payroll Verisma'!CA18+'Payroll MRO'!CA18</f>
        <v>35</v>
      </c>
      <c r="CB36" s="83">
        <f>'Payroll Verisma'!CB18+'Payroll MRO'!CB18</f>
        <v>65</v>
      </c>
      <c r="CC36" s="83">
        <f>'Payroll Verisma'!CC18+'Payroll MRO'!CC18</f>
        <v>1</v>
      </c>
      <c r="CD36" s="83">
        <f>'Payroll Verisma'!CD18+'Payroll MRO'!CD18</f>
        <v>150</v>
      </c>
      <c r="CE36" s="83">
        <f>'Payroll Verisma'!CE18+'Payroll MRO'!CE18</f>
        <v>0</v>
      </c>
      <c r="CF36" s="83">
        <f>'Payroll Verisma'!CF18+'Payroll MRO'!CF18</f>
        <v>1</v>
      </c>
      <c r="CG36" s="83">
        <f>'Payroll Verisma'!CG18+'Payroll MRO'!CG18</f>
        <v>0</v>
      </c>
      <c r="CH36" s="83">
        <f>'Payroll Verisma'!CH18+'Payroll MRO'!CH18</f>
        <v>42</v>
      </c>
      <c r="CI36" s="83">
        <f>'Payroll Verisma'!CI18+'Payroll MRO'!CI18</f>
        <v>0</v>
      </c>
      <c r="CJ36" s="83">
        <f>'Payroll Verisma'!CJ18+'Payroll MRO'!CJ18</f>
        <v>173</v>
      </c>
      <c r="CK36" s="83">
        <f>'Payroll Verisma'!CK18+'Payroll MRO'!CK18</f>
        <v>0</v>
      </c>
      <c r="CL36" s="83">
        <f>'Payroll Verisma'!CL18+'Payroll MRO'!CL18</f>
        <v>22</v>
      </c>
      <c r="CM36" s="83">
        <f>'Payroll Verisma'!CM18+'Payroll MRO'!CM18</f>
        <v>0</v>
      </c>
      <c r="CN36" s="83">
        <f>'Payroll Verisma'!CN18+'Payroll MRO'!CN18</f>
        <v>41</v>
      </c>
      <c r="CO36" s="83">
        <f>'Payroll Verisma'!CO18+'Payroll MRO'!CO18</f>
        <v>9</v>
      </c>
      <c r="CP36" s="83">
        <f>'Payroll Verisma'!CP18+'Payroll MRO'!CP18</f>
        <v>0</v>
      </c>
      <c r="CQ36" s="83">
        <f>'Payroll Verisma'!CQ18+'Payroll MRO'!CQ18</f>
        <v>0</v>
      </c>
      <c r="CR36" s="83">
        <f>'Payroll Verisma'!CR18+'Payroll MRO'!CR18</f>
        <v>39</v>
      </c>
      <c r="CS36" s="83">
        <f>'Payroll Verisma'!CS18+'Payroll MRO'!CS18</f>
        <v>8</v>
      </c>
      <c r="CT36" s="83">
        <f>'Payroll Verisma'!CT18+'Payroll MRO'!CT18</f>
        <v>31</v>
      </c>
      <c r="CU36" s="83">
        <f>'Payroll Verisma'!CU18+'Payroll MRO'!CU18</f>
        <v>0</v>
      </c>
      <c r="CV36" s="83">
        <f>'Payroll Verisma'!CV18+'Payroll MRO'!CV18</f>
        <v>11</v>
      </c>
      <c r="CW36" s="83">
        <f>'Payroll Verisma'!CW18+'Payroll MRO'!CW18</f>
        <v>0</v>
      </c>
      <c r="CX36" s="83">
        <f>'Payroll Verisma'!CX18+'Payroll MRO'!CX18</f>
        <v>0</v>
      </c>
      <c r="CY36" s="83">
        <f>'Payroll Verisma'!CY18+'Payroll MRO'!CY18</f>
        <v>5</v>
      </c>
      <c r="CZ36" s="83">
        <f>'Payroll Verisma'!CZ18+'Payroll MRO'!CZ18</f>
        <v>0</v>
      </c>
      <c r="DA36" s="83">
        <f>'Payroll Verisma'!DA18+'Payroll MRO'!DA18</f>
        <v>32</v>
      </c>
      <c r="DB36" s="83">
        <f>'Payroll Verisma'!DB18+'Payroll MRO'!DB18</f>
        <v>0</v>
      </c>
      <c r="DC36" s="83">
        <f>'Payroll Verisma'!DC18+'Payroll MRO'!DC18</f>
        <v>0</v>
      </c>
      <c r="DD36" s="83">
        <f>'Payroll Verisma'!DD18+'Payroll MRO'!DD18</f>
        <v>55</v>
      </c>
      <c r="DE36" s="83">
        <f>'Payroll Verisma'!DE18+'Payroll MRO'!DE18</f>
        <v>33</v>
      </c>
      <c r="DF36" s="83">
        <f>'Payroll Verisma'!DF18+'Payroll MRO'!DF18</f>
        <v>0</v>
      </c>
      <c r="DG36" s="83">
        <f>'Payroll Verisma'!DG18+'Payroll MRO'!DG18</f>
        <v>31</v>
      </c>
      <c r="DH36" s="83">
        <f>'Payroll Verisma'!DH18+'Payroll MRO'!DH18</f>
        <v>19</v>
      </c>
      <c r="DI36" s="83">
        <f>'Payroll Verisma'!DI18+'Payroll MRO'!DI18</f>
        <v>56</v>
      </c>
      <c r="DJ36" s="83">
        <f>'Payroll Verisma'!DJ18+'Payroll MRO'!DJ18</f>
        <v>0</v>
      </c>
      <c r="DK36" s="83">
        <f>'Payroll Verisma'!DK18+'Payroll MRO'!DK18</f>
        <v>88</v>
      </c>
      <c r="DL36" s="83">
        <f>'Payroll Verisma'!DL18+'Payroll MRO'!DL18</f>
        <v>10</v>
      </c>
      <c r="DM36" s="83">
        <f>'Payroll Verisma'!DM18+'Payroll MRO'!DM18</f>
        <v>0</v>
      </c>
      <c r="DN36" s="83">
        <f>'Payroll Verisma'!DN18+'Payroll MRO'!DN18</f>
        <v>45</v>
      </c>
      <c r="DO36" s="83">
        <f>'Payroll Verisma'!DO18+'Payroll MRO'!DO18</f>
        <v>17</v>
      </c>
      <c r="DP36" s="83">
        <f>'Payroll Verisma'!DP18+'Payroll MRO'!DP18</f>
        <v>0</v>
      </c>
      <c r="DQ36" s="83">
        <f>'Payroll Verisma'!DQ18+'Payroll MRO'!DQ18</f>
        <v>83</v>
      </c>
      <c r="DR36" s="83">
        <f>'Payroll Verisma'!DR18+'Payroll MRO'!DR18</f>
        <v>69</v>
      </c>
      <c r="DS36" s="83">
        <f>'Payroll Verisma'!DS18+'Payroll MRO'!DS18</f>
        <v>31</v>
      </c>
      <c r="DT36" s="83">
        <f>'Payroll Verisma'!DT18+'Payroll MRO'!DT18</f>
        <v>31</v>
      </c>
      <c r="DU36" s="83">
        <f>'Payroll Verisma'!DU18+'Payroll MRO'!DU18</f>
        <v>28</v>
      </c>
      <c r="DV36" s="83">
        <f>'Payroll Verisma'!DV18+'Payroll MRO'!DV18</f>
        <v>0</v>
      </c>
      <c r="DW36" s="83">
        <f>'Payroll Verisma'!DW18+'Payroll MRO'!DW18</f>
        <v>0</v>
      </c>
      <c r="DX36" s="83">
        <f>'Payroll Verisma'!DX18+'Payroll MRO'!DX18</f>
        <v>12</v>
      </c>
      <c r="DY36" s="83">
        <f>'Payroll Verisma'!DY18+'Payroll MRO'!DY18</f>
        <v>0</v>
      </c>
      <c r="DZ36" s="83">
        <f>'Payroll Verisma'!DZ18+'Payroll MRO'!DZ18</f>
        <v>49</v>
      </c>
      <c r="EA36" s="83">
        <f>'Payroll Verisma'!EA18+'Payroll MRO'!EA18</f>
        <v>0</v>
      </c>
      <c r="EB36" s="83">
        <f>'Payroll Verisma'!EB18+'Payroll MRO'!EB18</f>
        <v>51</v>
      </c>
      <c r="EC36" s="83">
        <f>'Payroll Verisma'!EC18+'Payroll MRO'!EC18</f>
        <v>33</v>
      </c>
      <c r="ED36" s="83">
        <f>'Payroll Verisma'!ED18+'Payroll MRO'!ED18</f>
        <v>6</v>
      </c>
      <c r="EE36" s="83">
        <f>'Payroll Verisma'!EE18+'Payroll MRO'!EE18</f>
        <v>15</v>
      </c>
      <c r="EF36" s="83">
        <f>'Payroll Verisma'!EF18+'Payroll MRO'!EF18</f>
        <v>49</v>
      </c>
      <c r="EG36" s="83">
        <f>'Payroll Verisma'!EG18+'Payroll MRO'!EG18</f>
        <v>0</v>
      </c>
      <c r="EH36" s="83">
        <f>'Payroll Verisma'!EH18+'Payroll MRO'!EH18</f>
        <v>9</v>
      </c>
      <c r="EI36" s="83">
        <f>'Payroll Verisma'!EI18+'Payroll MRO'!EI18</f>
        <v>0</v>
      </c>
      <c r="EJ36" s="83">
        <f>'Payroll Verisma'!EJ18+'Payroll MRO'!EJ18</f>
        <v>24</v>
      </c>
      <c r="EK36" s="83">
        <f>'Payroll Verisma'!EK18+'Payroll MRO'!EK18</f>
        <v>0</v>
      </c>
      <c r="EL36" s="83">
        <f>'Payroll Verisma'!EL18+'Payroll MRO'!EL18</f>
        <v>31</v>
      </c>
      <c r="EM36" s="83">
        <f>'Payroll Verisma'!EM18+'Payroll MRO'!EM18</f>
        <v>35</v>
      </c>
      <c r="EN36" s="83">
        <f>'Payroll Verisma'!EN18+'Payroll MRO'!EN18</f>
        <v>83</v>
      </c>
      <c r="EO36" s="83">
        <f>'Payroll Verisma'!EO18+'Payroll MRO'!EO18</f>
        <v>34</v>
      </c>
      <c r="EP36" s="83">
        <f>'Payroll Verisma'!EP18+'Payroll MRO'!EP18</f>
        <v>0</v>
      </c>
      <c r="EQ36" s="83">
        <f>'Payroll Verisma'!EQ18+'Payroll MRO'!EQ18</f>
        <v>1</v>
      </c>
      <c r="ER36" s="83">
        <f>'Payroll Verisma'!ER18+'Payroll MRO'!ER18</f>
        <v>13</v>
      </c>
      <c r="ES36" s="83">
        <f>'Payroll Verisma'!ES18+'Payroll MRO'!ES18</f>
        <v>17</v>
      </c>
      <c r="ET36" s="83">
        <f>'Payroll Verisma'!ET18+'Payroll MRO'!ET18</f>
        <v>0</v>
      </c>
      <c r="EU36" s="83">
        <f>'Payroll Verisma'!EU18+'Payroll MRO'!EU18</f>
        <v>54</v>
      </c>
      <c r="EV36" s="83">
        <f>'Payroll Verisma'!EV18+'Payroll MRO'!EV18</f>
        <v>66</v>
      </c>
      <c r="EW36" s="83">
        <f>'Payroll Verisma'!EW18+'Payroll MRO'!EW18</f>
        <v>44</v>
      </c>
      <c r="EX36" s="83">
        <f>'Payroll Verisma'!EX18+'Payroll MRO'!EX18</f>
        <v>16</v>
      </c>
      <c r="EY36" s="83">
        <f>'Payroll Verisma'!EY18+'Payroll MRO'!EY18</f>
        <v>26</v>
      </c>
      <c r="EZ36" s="83">
        <f>'Payroll Verisma'!EZ18+'Payroll MRO'!EZ18</f>
        <v>9</v>
      </c>
      <c r="FA36" s="83">
        <f>'Payroll Verisma'!FA18+'Payroll MRO'!FA18</f>
        <v>0</v>
      </c>
      <c r="FB36" s="83">
        <f>'Payroll Verisma'!FB18+'Payroll MRO'!FB18</f>
        <v>0</v>
      </c>
      <c r="FC36" s="83">
        <f>'Payroll Verisma'!FC18+'Payroll MRO'!FC18</f>
        <v>0</v>
      </c>
      <c r="FD36" s="83">
        <f>'Payroll Verisma'!FD18+'Payroll MRO'!FD18</f>
        <v>0</v>
      </c>
      <c r="FE36" s="83">
        <f>'Payroll Verisma'!FE18+'Payroll MRO'!FE18</f>
        <v>0</v>
      </c>
      <c r="FF36" s="83">
        <f>'Payroll Verisma'!FF18+'Payroll MRO'!FF18</f>
        <v>10</v>
      </c>
      <c r="FG36" s="83">
        <f>'Payroll Verisma'!FG18+'Payroll MRO'!FG18</f>
        <v>0</v>
      </c>
      <c r="FH36" s="83">
        <f>'Payroll Verisma'!FH18+'Payroll MRO'!FH18</f>
        <v>100</v>
      </c>
      <c r="FI36" s="83">
        <f>'Payroll Verisma'!FI18+'Payroll MRO'!FI18</f>
        <v>26</v>
      </c>
      <c r="FJ36" s="83">
        <f>'Payroll Verisma'!FJ18+'Payroll MRO'!FJ18</f>
        <v>0</v>
      </c>
      <c r="FK36" s="83">
        <f>'Payroll Verisma'!FK18+'Payroll MRO'!FK18</f>
        <v>23</v>
      </c>
      <c r="FL36" s="83">
        <f>'Payroll Verisma'!FL18+'Payroll MRO'!FL18</f>
        <v>0</v>
      </c>
      <c r="FM36" s="83">
        <f>'Payroll Verisma'!FM18+'Payroll MRO'!FM18</f>
        <v>16</v>
      </c>
      <c r="FN36" s="83">
        <f>'Payroll Verisma'!FN18+'Payroll MRO'!FN18</f>
        <v>0</v>
      </c>
      <c r="FO36" s="83">
        <f>'Payroll Verisma'!FO18+'Payroll MRO'!FO18</f>
        <v>11</v>
      </c>
      <c r="FP36" s="83">
        <f>'Payroll Verisma'!FP18+'Payroll MRO'!FP18</f>
        <v>39</v>
      </c>
      <c r="FQ36" s="83">
        <f>'Payroll Verisma'!FQ18+'Payroll MRO'!FQ18</f>
        <v>84</v>
      </c>
      <c r="FR36" s="83">
        <f>'Payroll Verisma'!FR18+'Payroll MRO'!FR18</f>
        <v>0</v>
      </c>
      <c r="FS36" s="83">
        <f>'Payroll Verisma'!FS18+'Payroll MRO'!FS18</f>
        <v>56</v>
      </c>
      <c r="FT36" s="83">
        <f>'Payroll Verisma'!FT18+'Payroll MRO'!FT18</f>
        <v>29</v>
      </c>
      <c r="FU36" s="83">
        <f>'Payroll Verisma'!FU18+'Payroll MRO'!FU18</f>
        <v>0</v>
      </c>
      <c r="FV36" s="83">
        <f>'Payroll Verisma'!FV18+'Payroll MRO'!FV18</f>
        <v>0</v>
      </c>
      <c r="FW36" s="83">
        <f>'Payroll Verisma'!FW18+'Payroll MRO'!FW18</f>
        <v>0</v>
      </c>
      <c r="FX36" s="83">
        <f>'Payroll Verisma'!FX18+'Payroll MRO'!FX18</f>
        <v>0</v>
      </c>
      <c r="FY36" s="83">
        <f>'Payroll Verisma'!FY18+'Payroll MRO'!FY18</f>
        <v>31</v>
      </c>
      <c r="FZ36" s="83">
        <f>'Payroll Verisma'!FZ18+'Payroll MRO'!FZ18</f>
        <v>0</v>
      </c>
      <c r="GA36" s="83">
        <f>'Payroll Verisma'!GA18+'Payroll MRO'!GA18</f>
        <v>0</v>
      </c>
      <c r="GB36" s="83">
        <f>'Payroll Verisma'!GB18+'Payroll MRO'!GB18</f>
        <v>8</v>
      </c>
      <c r="GC36" s="83">
        <f>'Payroll Verisma'!GC18+'Payroll MRO'!GC18</f>
        <v>0</v>
      </c>
      <c r="GD36" s="83">
        <f>'Payroll Verisma'!GD18+'Payroll MRO'!GD18</f>
        <v>22</v>
      </c>
      <c r="GE36" s="83">
        <f>'Payroll Verisma'!GE18+'Payroll MRO'!GE18</f>
        <v>46</v>
      </c>
      <c r="GF36" s="83">
        <f>'Payroll Verisma'!GF18+'Payroll MRO'!GF18</f>
        <v>36</v>
      </c>
      <c r="GG36" s="83">
        <f>'Payroll Verisma'!GG18+'Payroll MRO'!GG18</f>
        <v>0</v>
      </c>
      <c r="GH36" s="83">
        <f>'Payroll Verisma'!GH18+'Payroll MRO'!GH18</f>
        <v>9</v>
      </c>
      <c r="GI36" s="83">
        <f>'Payroll Verisma'!GI18+'Payroll MRO'!GI18</f>
        <v>0</v>
      </c>
      <c r="GJ36" s="83">
        <f>'Payroll Verisma'!GJ18+'Payroll MRO'!GJ18</f>
        <v>76</v>
      </c>
      <c r="GK36" s="83">
        <f>'Payroll Verisma'!GK18+'Payroll MRO'!GK18</f>
        <v>58</v>
      </c>
      <c r="GL36" s="83">
        <f>'Payroll Verisma'!GL18+'Payroll MRO'!GL18</f>
        <v>9</v>
      </c>
      <c r="GM36" s="83">
        <f>'Payroll Verisma'!GM18+'Payroll MRO'!GM18</f>
        <v>88</v>
      </c>
      <c r="GN36" s="83">
        <f>'Payroll Verisma'!GN18+'Payroll MRO'!GN18</f>
        <v>20</v>
      </c>
      <c r="GO36" s="83">
        <f>'Payroll Verisma'!GO18+'Payroll MRO'!GO18</f>
        <v>33</v>
      </c>
      <c r="GP36" s="83">
        <f>'Payroll Verisma'!GP18+'Payroll MRO'!GP18</f>
        <v>67</v>
      </c>
      <c r="GQ36" s="83">
        <f>'Payroll Verisma'!GQ18+'Payroll MRO'!GQ18</f>
        <v>0</v>
      </c>
      <c r="GR36" s="83">
        <f>'Payroll Verisma'!GR18+'Payroll MRO'!GR18</f>
        <v>37</v>
      </c>
    </row>
    <row r="37" spans="1:200" ht="15.6">
      <c r="A37" s="81">
        <f t="shared" si="83"/>
        <v>46039</v>
      </c>
      <c r="B37" s="82" t="str">
        <f t="shared" si="82"/>
        <v>Sat</v>
      </c>
      <c r="C37" s="75">
        <f t="shared" si="81"/>
        <v>413</v>
      </c>
      <c r="D37" s="83">
        <f>'Payroll Verisma'!D19+'Payroll MRO'!D19</f>
        <v>0</v>
      </c>
      <c r="E37" s="83">
        <f>'Payroll Verisma'!E19+'Payroll MRO'!E19</f>
        <v>0</v>
      </c>
      <c r="F37" s="83">
        <f>'Payroll Verisma'!F19+'Payroll MRO'!F19</f>
        <v>0</v>
      </c>
      <c r="G37" s="83">
        <f>'Payroll Verisma'!G19+'Payroll MRO'!G19</f>
        <v>0</v>
      </c>
      <c r="H37" s="83">
        <f>'Payroll Verisma'!H19+'Payroll MRO'!H19</f>
        <v>0</v>
      </c>
      <c r="I37" s="83">
        <f>'Payroll Verisma'!I19+'Payroll MRO'!I19</f>
        <v>0</v>
      </c>
      <c r="J37" s="83">
        <f>'Payroll Verisma'!J19+'Payroll MRO'!J19</f>
        <v>0</v>
      </c>
      <c r="K37" s="83">
        <f>'Payroll Verisma'!K19+'Payroll MRO'!K19</f>
        <v>0</v>
      </c>
      <c r="L37" s="83">
        <f>'Payroll Verisma'!L19+'Payroll MRO'!L19</f>
        <v>0</v>
      </c>
      <c r="M37" s="83">
        <f>'Payroll Verisma'!M19+'Payroll MRO'!M19</f>
        <v>0</v>
      </c>
      <c r="N37" s="83">
        <f>'Payroll Verisma'!N19+'Payroll MRO'!N19</f>
        <v>0</v>
      </c>
      <c r="O37" s="83">
        <f>'Payroll Verisma'!O19+'Payroll MRO'!O19</f>
        <v>0</v>
      </c>
      <c r="P37" s="83">
        <f>'Payroll Verisma'!P19+'Payroll MRO'!P19</f>
        <v>0</v>
      </c>
      <c r="Q37" s="83">
        <f>'Payroll Verisma'!Q19+'Payroll MRO'!Q19</f>
        <v>0</v>
      </c>
      <c r="R37" s="83">
        <f>'Payroll Verisma'!R19+'Payroll MRO'!R19</f>
        <v>0</v>
      </c>
      <c r="S37" s="83">
        <f>'Payroll Verisma'!S19+'Payroll MRO'!S19</f>
        <v>0</v>
      </c>
      <c r="T37" s="83">
        <f>'Payroll Verisma'!T19+'Payroll MRO'!T19</f>
        <v>0</v>
      </c>
      <c r="U37" s="83">
        <f>'Payroll Verisma'!U19+'Payroll MRO'!U19</f>
        <v>0</v>
      </c>
      <c r="V37" s="83">
        <f>'Payroll Verisma'!V19+'Payroll MRO'!V19</f>
        <v>0</v>
      </c>
      <c r="W37" s="83">
        <f>'Payroll Verisma'!W19+'Payroll MRO'!W19</f>
        <v>0</v>
      </c>
      <c r="X37" s="83">
        <f>'Payroll Verisma'!X19+'Payroll MRO'!X19</f>
        <v>0</v>
      </c>
      <c r="Y37" s="83">
        <f>'Payroll Verisma'!Y19+'Payroll MRO'!Y19</f>
        <v>22</v>
      </c>
      <c r="Z37" s="83">
        <f>'Payroll Verisma'!Z19+'Payroll MRO'!Z19</f>
        <v>0</v>
      </c>
      <c r="AA37" s="83">
        <f>'Payroll Verisma'!AA19+'Payroll MRO'!AA19</f>
        <v>0</v>
      </c>
      <c r="AB37" s="83">
        <f>'Payroll Verisma'!AB19+'Payroll MRO'!AB19</f>
        <v>0</v>
      </c>
      <c r="AC37" s="83">
        <f>'Payroll Verisma'!AC19+'Payroll MRO'!AC19</f>
        <v>0</v>
      </c>
      <c r="AD37" s="83">
        <f>'Payroll Verisma'!AD19+'Payroll MRO'!AD19</f>
        <v>0</v>
      </c>
      <c r="AE37" s="83">
        <f>'Payroll Verisma'!AE19+'Payroll MRO'!AE19</f>
        <v>0</v>
      </c>
      <c r="AF37" s="83">
        <f>'Payroll Verisma'!AF19+'Payroll MRO'!AF19</f>
        <v>0</v>
      </c>
      <c r="AG37" s="83">
        <f>'Payroll Verisma'!AG19+'Payroll MRO'!AG19</f>
        <v>0</v>
      </c>
      <c r="AH37" s="83">
        <f>'Payroll Verisma'!AH19+'Payroll MRO'!AH19</f>
        <v>52</v>
      </c>
      <c r="AI37" s="83">
        <f>'Payroll Verisma'!AI19+'Payroll MRO'!AI19</f>
        <v>0</v>
      </c>
      <c r="AJ37" s="83">
        <f>'Payroll Verisma'!AJ19+'Payroll MRO'!AJ19</f>
        <v>0</v>
      </c>
      <c r="AK37" s="83">
        <f>'Payroll Verisma'!AK19+'Payroll MRO'!AK19</f>
        <v>0</v>
      </c>
      <c r="AL37" s="83">
        <f>'Payroll Verisma'!AL19+'Payroll MRO'!AL19</f>
        <v>0</v>
      </c>
      <c r="AM37" s="83">
        <f>'Payroll Verisma'!AM19+'Payroll MRO'!AM19</f>
        <v>0</v>
      </c>
      <c r="AN37" s="83">
        <f>'Payroll Verisma'!AN19+'Payroll MRO'!AN19</f>
        <v>0</v>
      </c>
      <c r="AO37" s="83">
        <f>'Payroll Verisma'!AO19+'Payroll MRO'!AO19</f>
        <v>0</v>
      </c>
      <c r="AP37" s="83">
        <f>'Payroll Verisma'!AP19+'Payroll MRO'!AP19</f>
        <v>0</v>
      </c>
      <c r="AQ37" s="83">
        <f>'Payroll Verisma'!AQ19+'Payroll MRO'!AQ19</f>
        <v>0</v>
      </c>
      <c r="AR37" s="83">
        <f>'Payroll Verisma'!AR19+'Payroll MRO'!AR19</f>
        <v>0</v>
      </c>
      <c r="AS37" s="83">
        <f>'Payroll Verisma'!AS19+'Payroll MRO'!AS19</f>
        <v>0</v>
      </c>
      <c r="AT37" s="83">
        <f>'Payroll Verisma'!AT19+'Payroll MRO'!AT19</f>
        <v>0</v>
      </c>
      <c r="AU37" s="83">
        <f>'Payroll Verisma'!AU19+'Payroll MRO'!AU19</f>
        <v>0</v>
      </c>
      <c r="AV37" s="83">
        <f>'Payroll Verisma'!AV19+'Payroll MRO'!AV19</f>
        <v>0</v>
      </c>
      <c r="AW37" s="83">
        <f>'Payroll Verisma'!AW19+'Payroll MRO'!AW19</f>
        <v>0</v>
      </c>
      <c r="AX37" s="83">
        <f>'Payroll Verisma'!AX19+'Payroll MRO'!AX19</f>
        <v>0</v>
      </c>
      <c r="AY37" s="83">
        <f>'Payroll Verisma'!AY19+'Payroll MRO'!AY19</f>
        <v>0</v>
      </c>
      <c r="AZ37" s="83">
        <f>'Payroll Verisma'!AZ19+'Payroll MRO'!AZ19</f>
        <v>0</v>
      </c>
      <c r="BA37" s="83">
        <f>'Payroll Verisma'!BA19+'Payroll MRO'!BA19</f>
        <v>0</v>
      </c>
      <c r="BB37" s="83">
        <f>'Payroll Verisma'!BB19+'Payroll MRO'!BB19</f>
        <v>0</v>
      </c>
      <c r="BC37" s="83">
        <f>'Payroll Verisma'!BC19+'Payroll MRO'!BC19</f>
        <v>0</v>
      </c>
      <c r="BD37" s="83">
        <f>'Payroll Verisma'!BD19+'Payroll MRO'!BD19</f>
        <v>0</v>
      </c>
      <c r="BE37" s="83">
        <f>'Payroll Verisma'!BE19+'Payroll MRO'!BE19</f>
        <v>0</v>
      </c>
      <c r="BF37" s="83">
        <f>'Payroll Verisma'!BF19+'Payroll MRO'!BF19</f>
        <v>0</v>
      </c>
      <c r="BG37" s="83">
        <f>'Payroll Verisma'!BG19+'Payroll MRO'!BG19</f>
        <v>0</v>
      </c>
      <c r="BH37" s="83">
        <f>'Payroll Verisma'!BH19+'Payroll MRO'!BH19</f>
        <v>0</v>
      </c>
      <c r="BI37" s="83">
        <f>'Payroll Verisma'!BI19+'Payroll MRO'!BI19</f>
        <v>0</v>
      </c>
      <c r="BJ37" s="83">
        <f>'Payroll Verisma'!BJ19+'Payroll MRO'!BJ19</f>
        <v>0</v>
      </c>
      <c r="BK37" s="83">
        <f>'Payroll Verisma'!BK19+'Payroll MRO'!BK19</f>
        <v>0</v>
      </c>
      <c r="BL37" s="83">
        <f>'Payroll Verisma'!BL19+'Payroll MRO'!BL19</f>
        <v>0</v>
      </c>
      <c r="BM37" s="83">
        <f>'Payroll Verisma'!BM19+'Payroll MRO'!BM19</f>
        <v>0</v>
      </c>
      <c r="BN37" s="83">
        <f>'Payroll Verisma'!BN19+'Payroll MRO'!BN19</f>
        <v>0</v>
      </c>
      <c r="BO37" s="83">
        <f>'Payroll Verisma'!BO19+'Payroll MRO'!BO19</f>
        <v>0</v>
      </c>
      <c r="BP37" s="83">
        <f>'Payroll Verisma'!BP19+'Payroll MRO'!BP19</f>
        <v>0</v>
      </c>
      <c r="BQ37" s="83">
        <f>'Payroll Verisma'!BQ19+'Payroll MRO'!BQ19</f>
        <v>0</v>
      </c>
      <c r="BR37" s="83">
        <f>'Payroll Verisma'!BR19+'Payroll MRO'!BR19</f>
        <v>0</v>
      </c>
      <c r="BS37" s="83">
        <f>'Payroll Verisma'!BS19+'Payroll MRO'!BS19</f>
        <v>17</v>
      </c>
      <c r="BT37" s="83">
        <f>'Payroll Verisma'!BT19+'Payroll MRO'!BT19</f>
        <v>0</v>
      </c>
      <c r="BU37" s="83">
        <f>'Payroll Verisma'!BU19+'Payroll MRO'!BU19</f>
        <v>0</v>
      </c>
      <c r="BV37" s="83">
        <f>'Payroll Verisma'!BV19+'Payroll MRO'!BV19</f>
        <v>0</v>
      </c>
      <c r="BW37" s="83">
        <f>'Payroll Verisma'!BW19+'Payroll MRO'!BW19</f>
        <v>0</v>
      </c>
      <c r="BX37" s="83">
        <f>'Payroll Verisma'!BX19+'Payroll MRO'!BX19</f>
        <v>0</v>
      </c>
      <c r="BY37" s="83">
        <f>'Payroll Verisma'!BY19+'Payroll MRO'!BY19</f>
        <v>0</v>
      </c>
      <c r="BZ37" s="83">
        <f>'Payroll Verisma'!BZ19+'Payroll MRO'!BZ19</f>
        <v>0</v>
      </c>
      <c r="CA37" s="83">
        <f>'Payroll Verisma'!CA19+'Payroll MRO'!CA19</f>
        <v>0</v>
      </c>
      <c r="CB37" s="83">
        <f>'Payroll Verisma'!CB19+'Payroll MRO'!CB19</f>
        <v>0</v>
      </c>
      <c r="CC37" s="83">
        <f>'Payroll Verisma'!CC19+'Payroll MRO'!CC19</f>
        <v>0</v>
      </c>
      <c r="CD37" s="83">
        <f>'Payroll Verisma'!CD19+'Payroll MRO'!CD19</f>
        <v>0</v>
      </c>
      <c r="CE37" s="83">
        <f>'Payroll Verisma'!CE19+'Payroll MRO'!CE19</f>
        <v>0</v>
      </c>
      <c r="CF37" s="83">
        <f>'Payroll Verisma'!CF19+'Payroll MRO'!CF19</f>
        <v>0</v>
      </c>
      <c r="CG37" s="83">
        <f>'Payroll Verisma'!CG19+'Payroll MRO'!CG19</f>
        <v>0</v>
      </c>
      <c r="CH37" s="83">
        <f>'Payroll Verisma'!CH19+'Payroll MRO'!CH19</f>
        <v>8</v>
      </c>
      <c r="CI37" s="83">
        <f>'Payroll Verisma'!CI19+'Payroll MRO'!CI19</f>
        <v>0</v>
      </c>
      <c r="CJ37" s="83">
        <f>'Payroll Verisma'!CJ19+'Payroll MRO'!CJ19</f>
        <v>108</v>
      </c>
      <c r="CK37" s="83">
        <f>'Payroll Verisma'!CK19+'Payroll MRO'!CK19</f>
        <v>0</v>
      </c>
      <c r="CL37" s="83">
        <f>'Payroll Verisma'!CL19+'Payroll MRO'!CL19</f>
        <v>0</v>
      </c>
      <c r="CM37" s="83">
        <f>'Payroll Verisma'!CM19+'Payroll MRO'!CM19</f>
        <v>0</v>
      </c>
      <c r="CN37" s="83">
        <f>'Payroll Verisma'!CN19+'Payroll MRO'!CN19</f>
        <v>0</v>
      </c>
      <c r="CO37" s="83">
        <f>'Payroll Verisma'!CO19+'Payroll MRO'!CO19</f>
        <v>2</v>
      </c>
      <c r="CP37" s="83">
        <f>'Payroll Verisma'!CP19+'Payroll MRO'!CP19</f>
        <v>0</v>
      </c>
      <c r="CQ37" s="83">
        <f>'Payroll Verisma'!CQ19+'Payroll MRO'!CQ19</f>
        <v>0</v>
      </c>
      <c r="CR37" s="83">
        <f>'Payroll Verisma'!CR19+'Payroll MRO'!CR19</f>
        <v>20</v>
      </c>
      <c r="CS37" s="83">
        <f>'Payroll Verisma'!CS19+'Payroll MRO'!CS19</f>
        <v>0</v>
      </c>
      <c r="CT37" s="83">
        <f>'Payroll Verisma'!CT19+'Payroll MRO'!CT19</f>
        <v>0</v>
      </c>
      <c r="CU37" s="83">
        <f>'Payroll Verisma'!CU19+'Payroll MRO'!CU19</f>
        <v>0</v>
      </c>
      <c r="CV37" s="83">
        <f>'Payroll Verisma'!CV19+'Payroll MRO'!CV19</f>
        <v>0</v>
      </c>
      <c r="CW37" s="83">
        <f>'Payroll Verisma'!CW19+'Payroll MRO'!CW19</f>
        <v>0</v>
      </c>
      <c r="CX37" s="83">
        <f>'Payroll Verisma'!CX19+'Payroll MRO'!CX19</f>
        <v>0</v>
      </c>
      <c r="CY37" s="83">
        <f>'Payroll Verisma'!CY19+'Payroll MRO'!CY19</f>
        <v>0</v>
      </c>
      <c r="CZ37" s="83">
        <f>'Payroll Verisma'!CZ19+'Payroll MRO'!CZ19</f>
        <v>0</v>
      </c>
      <c r="DA37" s="83">
        <f>'Payroll Verisma'!DA19+'Payroll MRO'!DA19</f>
        <v>0</v>
      </c>
      <c r="DB37" s="83">
        <f>'Payroll Verisma'!DB19+'Payroll MRO'!DB19</f>
        <v>0</v>
      </c>
      <c r="DC37" s="83">
        <f>'Payroll Verisma'!DC19+'Payroll MRO'!DC19</f>
        <v>0</v>
      </c>
      <c r="DD37" s="83">
        <f>'Payroll Verisma'!DD19+'Payroll MRO'!DD19</f>
        <v>0</v>
      </c>
      <c r="DE37" s="83">
        <f>'Payroll Verisma'!DE19+'Payroll MRO'!DE19</f>
        <v>33</v>
      </c>
      <c r="DF37" s="83">
        <f>'Payroll Verisma'!DF19+'Payroll MRO'!DF19</f>
        <v>0</v>
      </c>
      <c r="DG37" s="83">
        <f>'Payroll Verisma'!DG19+'Payroll MRO'!DG19</f>
        <v>0</v>
      </c>
      <c r="DH37" s="83">
        <f>'Payroll Verisma'!DH19+'Payroll MRO'!DH19</f>
        <v>0</v>
      </c>
      <c r="DI37" s="83">
        <f>'Payroll Verisma'!DI19+'Payroll MRO'!DI19</f>
        <v>0</v>
      </c>
      <c r="DJ37" s="83">
        <f>'Payroll Verisma'!DJ19+'Payroll MRO'!DJ19</f>
        <v>0</v>
      </c>
      <c r="DK37" s="83">
        <f>'Payroll Verisma'!DK19+'Payroll MRO'!DK19</f>
        <v>0</v>
      </c>
      <c r="DL37" s="83">
        <f>'Payroll Verisma'!DL19+'Payroll MRO'!DL19</f>
        <v>0</v>
      </c>
      <c r="DM37" s="83">
        <f>'Payroll Verisma'!DM19+'Payroll MRO'!DM19</f>
        <v>0</v>
      </c>
      <c r="DN37" s="83">
        <f>'Payroll Verisma'!DN19+'Payroll MRO'!DN19</f>
        <v>0</v>
      </c>
      <c r="DO37" s="83">
        <f>'Payroll Verisma'!DO19+'Payroll MRO'!DO19</f>
        <v>0</v>
      </c>
      <c r="DP37" s="83">
        <f>'Payroll Verisma'!DP19+'Payroll MRO'!DP19</f>
        <v>0</v>
      </c>
      <c r="DQ37" s="83">
        <f>'Payroll Verisma'!DQ19+'Payroll MRO'!DQ19</f>
        <v>0</v>
      </c>
      <c r="DR37" s="83">
        <f>'Payroll Verisma'!DR19+'Payroll MRO'!DR19</f>
        <v>0</v>
      </c>
      <c r="DS37" s="83">
        <f>'Payroll Verisma'!DS19+'Payroll MRO'!DS19</f>
        <v>0</v>
      </c>
      <c r="DT37" s="83">
        <f>'Payroll Verisma'!DT19+'Payroll MRO'!DT19</f>
        <v>0</v>
      </c>
      <c r="DU37" s="83">
        <f>'Payroll Verisma'!DU19+'Payroll MRO'!DU19</f>
        <v>0</v>
      </c>
      <c r="DV37" s="83">
        <f>'Payroll Verisma'!DV19+'Payroll MRO'!DV19</f>
        <v>0</v>
      </c>
      <c r="DW37" s="83">
        <f>'Payroll Verisma'!DW19+'Payroll MRO'!DW19</f>
        <v>0</v>
      </c>
      <c r="DX37" s="83">
        <f>'Payroll Verisma'!DX19+'Payroll MRO'!DX19</f>
        <v>0</v>
      </c>
      <c r="DY37" s="83">
        <f>'Payroll Verisma'!DY19+'Payroll MRO'!DY19</f>
        <v>0</v>
      </c>
      <c r="DZ37" s="83">
        <f>'Payroll Verisma'!DZ19+'Payroll MRO'!DZ19</f>
        <v>0</v>
      </c>
      <c r="EA37" s="83">
        <f>'Payroll Verisma'!EA19+'Payroll MRO'!EA19</f>
        <v>0</v>
      </c>
      <c r="EB37" s="83">
        <f>'Payroll Verisma'!EB19+'Payroll MRO'!EB19</f>
        <v>0</v>
      </c>
      <c r="EC37" s="83">
        <f>'Payroll Verisma'!EC19+'Payroll MRO'!EC19</f>
        <v>0</v>
      </c>
      <c r="ED37" s="83">
        <f>'Payroll Verisma'!ED19+'Payroll MRO'!ED19</f>
        <v>0</v>
      </c>
      <c r="EE37" s="83">
        <f>'Payroll Verisma'!EE19+'Payroll MRO'!EE19</f>
        <v>0</v>
      </c>
      <c r="EF37" s="83">
        <f>'Payroll Verisma'!EF19+'Payroll MRO'!EF19</f>
        <v>0</v>
      </c>
      <c r="EG37" s="83">
        <f>'Payroll Verisma'!EG19+'Payroll MRO'!EG19</f>
        <v>0</v>
      </c>
      <c r="EH37" s="83">
        <f>'Payroll Verisma'!EH19+'Payroll MRO'!EH19</f>
        <v>0</v>
      </c>
      <c r="EI37" s="83">
        <f>'Payroll Verisma'!EI19+'Payroll MRO'!EI19</f>
        <v>0</v>
      </c>
      <c r="EJ37" s="83">
        <f>'Payroll Verisma'!EJ19+'Payroll MRO'!EJ19</f>
        <v>0</v>
      </c>
      <c r="EK37" s="83">
        <f>'Payroll Verisma'!EK19+'Payroll MRO'!EK19</f>
        <v>0</v>
      </c>
      <c r="EL37" s="83">
        <f>'Payroll Verisma'!EL19+'Payroll MRO'!EL19</f>
        <v>0</v>
      </c>
      <c r="EM37" s="83">
        <f>'Payroll Verisma'!EM19+'Payroll MRO'!EM19</f>
        <v>0</v>
      </c>
      <c r="EN37" s="83">
        <f>'Payroll Verisma'!EN19+'Payroll MRO'!EN19</f>
        <v>0</v>
      </c>
      <c r="EO37" s="83">
        <f>'Payroll Verisma'!EO19+'Payroll MRO'!EO19</f>
        <v>0</v>
      </c>
      <c r="EP37" s="83">
        <f>'Payroll Verisma'!EP19+'Payroll MRO'!EP19</f>
        <v>0</v>
      </c>
      <c r="EQ37" s="83">
        <f>'Payroll Verisma'!EQ19+'Payroll MRO'!EQ19</f>
        <v>0</v>
      </c>
      <c r="ER37" s="83">
        <f>'Payroll Verisma'!ER19+'Payroll MRO'!ER19</f>
        <v>0</v>
      </c>
      <c r="ES37" s="83">
        <f>'Payroll Verisma'!ES19+'Payroll MRO'!ES19</f>
        <v>0</v>
      </c>
      <c r="ET37" s="83">
        <f>'Payroll Verisma'!ET19+'Payroll MRO'!ET19</f>
        <v>0</v>
      </c>
      <c r="EU37" s="83">
        <f>'Payroll Verisma'!EU19+'Payroll MRO'!EU19</f>
        <v>0</v>
      </c>
      <c r="EV37" s="83">
        <f>'Payroll Verisma'!EV19+'Payroll MRO'!EV19</f>
        <v>0</v>
      </c>
      <c r="EW37" s="83">
        <f>'Payroll Verisma'!EW19+'Payroll MRO'!EW19</f>
        <v>0</v>
      </c>
      <c r="EX37" s="83">
        <f>'Payroll Verisma'!EX19+'Payroll MRO'!EX19</f>
        <v>0</v>
      </c>
      <c r="EY37" s="83">
        <f>'Payroll Verisma'!EY19+'Payroll MRO'!EY19</f>
        <v>0</v>
      </c>
      <c r="EZ37" s="83">
        <f>'Payroll Verisma'!EZ19+'Payroll MRO'!EZ19</f>
        <v>0</v>
      </c>
      <c r="FA37" s="83">
        <f>'Payroll Verisma'!FA19+'Payroll MRO'!FA19</f>
        <v>0</v>
      </c>
      <c r="FB37" s="83">
        <f>'Payroll Verisma'!FB19+'Payroll MRO'!FB19</f>
        <v>0</v>
      </c>
      <c r="FC37" s="83">
        <f>'Payroll Verisma'!FC19+'Payroll MRO'!FC19</f>
        <v>0</v>
      </c>
      <c r="FD37" s="83">
        <f>'Payroll Verisma'!FD19+'Payroll MRO'!FD19</f>
        <v>0</v>
      </c>
      <c r="FE37" s="83">
        <f>'Payroll Verisma'!FE19+'Payroll MRO'!FE19</f>
        <v>0</v>
      </c>
      <c r="FF37" s="83">
        <f>'Payroll Verisma'!FF19+'Payroll MRO'!FF19</f>
        <v>0</v>
      </c>
      <c r="FG37" s="83">
        <f>'Payroll Verisma'!FG19+'Payroll MRO'!FG19</f>
        <v>0</v>
      </c>
      <c r="FH37" s="83">
        <f>'Payroll Verisma'!FH19+'Payroll MRO'!FH19</f>
        <v>17</v>
      </c>
      <c r="FI37" s="83">
        <f>'Payroll Verisma'!FI19+'Payroll MRO'!FI19</f>
        <v>0</v>
      </c>
      <c r="FJ37" s="83">
        <f>'Payroll Verisma'!FJ19+'Payroll MRO'!FJ19</f>
        <v>0</v>
      </c>
      <c r="FK37" s="83">
        <f>'Payroll Verisma'!FK19+'Payroll MRO'!FK19</f>
        <v>0</v>
      </c>
      <c r="FL37" s="83">
        <f>'Payroll Verisma'!FL19+'Payroll MRO'!FL19</f>
        <v>0</v>
      </c>
      <c r="FM37" s="83">
        <f>'Payroll Verisma'!FM19+'Payroll MRO'!FM19</f>
        <v>0</v>
      </c>
      <c r="FN37" s="83">
        <f>'Payroll Verisma'!FN19+'Payroll MRO'!FN19</f>
        <v>0</v>
      </c>
      <c r="FO37" s="83">
        <f>'Payroll Verisma'!FO19+'Payroll MRO'!FO19</f>
        <v>0</v>
      </c>
      <c r="FP37" s="83">
        <f>'Payroll Verisma'!FP19+'Payroll MRO'!FP19</f>
        <v>24</v>
      </c>
      <c r="FQ37" s="83">
        <f>'Payroll Verisma'!FQ19+'Payroll MRO'!FQ19</f>
        <v>0</v>
      </c>
      <c r="FR37" s="83">
        <f>'Payroll Verisma'!FR19+'Payroll MRO'!FR19</f>
        <v>0</v>
      </c>
      <c r="FS37" s="83">
        <f>'Payroll Verisma'!FS19+'Payroll MRO'!FS19</f>
        <v>0</v>
      </c>
      <c r="FT37" s="83">
        <f>'Payroll Verisma'!FT19+'Payroll MRO'!FT19</f>
        <v>0</v>
      </c>
      <c r="FU37" s="83">
        <f>'Payroll Verisma'!FU19+'Payroll MRO'!FU19</f>
        <v>0</v>
      </c>
      <c r="FV37" s="83">
        <f>'Payroll Verisma'!FV19+'Payroll MRO'!FV19</f>
        <v>0</v>
      </c>
      <c r="FW37" s="83">
        <f>'Payroll Verisma'!FW19+'Payroll MRO'!FW19</f>
        <v>0</v>
      </c>
      <c r="FX37" s="83">
        <f>'Payroll Verisma'!FX19+'Payroll MRO'!FX19</f>
        <v>0</v>
      </c>
      <c r="FY37" s="83">
        <f>'Payroll Verisma'!FY19+'Payroll MRO'!FY19</f>
        <v>0</v>
      </c>
      <c r="FZ37" s="83">
        <f>'Payroll Verisma'!FZ19+'Payroll MRO'!FZ19</f>
        <v>0</v>
      </c>
      <c r="GA37" s="83">
        <f>'Payroll Verisma'!GA19+'Payroll MRO'!GA19</f>
        <v>0</v>
      </c>
      <c r="GB37" s="83">
        <f>'Payroll Verisma'!GB19+'Payroll MRO'!GB19</f>
        <v>0</v>
      </c>
      <c r="GC37" s="83">
        <f>'Payroll Verisma'!GC19+'Payroll MRO'!GC19</f>
        <v>0</v>
      </c>
      <c r="GD37" s="83">
        <f>'Payroll Verisma'!GD19+'Payroll MRO'!GD19</f>
        <v>0</v>
      </c>
      <c r="GE37" s="83">
        <f>'Payroll Verisma'!GE19+'Payroll MRO'!GE19</f>
        <v>55</v>
      </c>
      <c r="GF37" s="83">
        <f>'Payroll Verisma'!GF19+'Payroll MRO'!GF19</f>
        <v>0</v>
      </c>
      <c r="GG37" s="83">
        <f>'Payroll Verisma'!GG19+'Payroll MRO'!GG19</f>
        <v>0</v>
      </c>
      <c r="GH37" s="83">
        <f>'Payroll Verisma'!GH19+'Payroll MRO'!GH19</f>
        <v>0</v>
      </c>
      <c r="GI37" s="83">
        <f>'Payroll Verisma'!GI19+'Payroll MRO'!GI19</f>
        <v>0</v>
      </c>
      <c r="GJ37" s="83">
        <f>'Payroll Verisma'!GJ19+'Payroll MRO'!GJ19</f>
        <v>55</v>
      </c>
      <c r="GK37" s="83">
        <f>'Payroll Verisma'!GK19+'Payroll MRO'!GK19</f>
        <v>0</v>
      </c>
      <c r="GL37" s="83">
        <f>'Payroll Verisma'!GL19+'Payroll MRO'!GL19</f>
        <v>0</v>
      </c>
      <c r="GM37" s="83">
        <f>'Payroll Verisma'!GM19+'Payroll MRO'!GM19</f>
        <v>0</v>
      </c>
      <c r="GN37" s="83">
        <f>'Payroll Verisma'!GN19+'Payroll MRO'!GN19</f>
        <v>0</v>
      </c>
      <c r="GO37" s="83">
        <f>'Payroll Verisma'!GO19+'Payroll MRO'!GO19</f>
        <v>0</v>
      </c>
      <c r="GP37" s="83">
        <f>'Payroll Verisma'!GP19+'Payroll MRO'!GP19</f>
        <v>0</v>
      </c>
      <c r="GQ37" s="83">
        <f>'Payroll Verisma'!GQ19+'Payroll MRO'!GQ19</f>
        <v>0</v>
      </c>
      <c r="GR37" s="83">
        <f>'Payroll Verisma'!GR19+'Payroll MRO'!GR19</f>
        <v>0</v>
      </c>
    </row>
    <row r="38" spans="1:200" ht="15.6">
      <c r="A38" s="81">
        <f t="shared" si="83"/>
        <v>46040</v>
      </c>
      <c r="B38" s="82" t="str">
        <f t="shared" si="82"/>
        <v>Sun</v>
      </c>
      <c r="C38" s="75">
        <f t="shared" si="81"/>
        <v>465</v>
      </c>
      <c r="D38" s="83">
        <f>'Payroll Verisma'!D20+'Payroll MRO'!D20</f>
        <v>0</v>
      </c>
      <c r="E38" s="83">
        <f>'Payroll Verisma'!E20+'Payroll MRO'!E20</f>
        <v>0</v>
      </c>
      <c r="F38" s="83">
        <f>'Payroll Verisma'!F20+'Payroll MRO'!F20</f>
        <v>0</v>
      </c>
      <c r="G38" s="83">
        <f>'Payroll Verisma'!G20+'Payroll MRO'!G20</f>
        <v>0</v>
      </c>
      <c r="H38" s="83">
        <f>'Payroll Verisma'!H20+'Payroll MRO'!H20</f>
        <v>0</v>
      </c>
      <c r="I38" s="83">
        <f>'Payroll Verisma'!I20+'Payroll MRO'!I20</f>
        <v>0</v>
      </c>
      <c r="J38" s="83">
        <f>'Payroll Verisma'!J20+'Payroll MRO'!J20</f>
        <v>0</v>
      </c>
      <c r="K38" s="83">
        <f>'Payroll Verisma'!K20+'Payroll MRO'!K20</f>
        <v>0</v>
      </c>
      <c r="L38" s="83">
        <f>'Payroll Verisma'!L20+'Payroll MRO'!L20</f>
        <v>0</v>
      </c>
      <c r="M38" s="83">
        <f>'Payroll Verisma'!M20+'Payroll MRO'!M20</f>
        <v>0</v>
      </c>
      <c r="N38" s="83">
        <f>'Payroll Verisma'!N20+'Payroll MRO'!N20</f>
        <v>0</v>
      </c>
      <c r="O38" s="83">
        <f>'Payroll Verisma'!O20+'Payroll MRO'!O20</f>
        <v>0</v>
      </c>
      <c r="P38" s="83">
        <f>'Payroll Verisma'!P20+'Payroll MRO'!P20</f>
        <v>10</v>
      </c>
      <c r="Q38" s="83">
        <f>'Payroll Verisma'!Q20+'Payroll MRO'!Q20</f>
        <v>0</v>
      </c>
      <c r="R38" s="83">
        <f>'Payroll Verisma'!R20+'Payroll MRO'!R20</f>
        <v>0</v>
      </c>
      <c r="S38" s="83">
        <f>'Payroll Verisma'!S20+'Payroll MRO'!S20</f>
        <v>0</v>
      </c>
      <c r="T38" s="83">
        <f>'Payroll Verisma'!T20+'Payroll MRO'!T20</f>
        <v>0</v>
      </c>
      <c r="U38" s="83">
        <f>'Payroll Verisma'!U20+'Payroll MRO'!U20</f>
        <v>0</v>
      </c>
      <c r="V38" s="83">
        <f>'Payroll Verisma'!V20+'Payroll MRO'!V20</f>
        <v>0</v>
      </c>
      <c r="W38" s="83">
        <f>'Payroll Verisma'!W20+'Payroll MRO'!W20</f>
        <v>0</v>
      </c>
      <c r="X38" s="83">
        <f>'Payroll Verisma'!X20+'Payroll MRO'!X20</f>
        <v>0</v>
      </c>
      <c r="Y38" s="83">
        <f>'Payroll Verisma'!Y20+'Payroll MRO'!Y20</f>
        <v>0</v>
      </c>
      <c r="Z38" s="83">
        <f>'Payroll Verisma'!Z20+'Payroll MRO'!Z20</f>
        <v>16</v>
      </c>
      <c r="AA38" s="83">
        <f>'Payroll Verisma'!AA20+'Payroll MRO'!AA20</f>
        <v>0</v>
      </c>
      <c r="AB38" s="83">
        <f>'Payroll Verisma'!AB20+'Payroll MRO'!AB20</f>
        <v>0</v>
      </c>
      <c r="AC38" s="83">
        <f>'Payroll Verisma'!AC20+'Payroll MRO'!AC20</f>
        <v>0</v>
      </c>
      <c r="AD38" s="83">
        <f>'Payroll Verisma'!AD20+'Payroll MRO'!AD20</f>
        <v>0</v>
      </c>
      <c r="AE38" s="83">
        <f>'Payroll Verisma'!AE20+'Payroll MRO'!AE20</f>
        <v>0</v>
      </c>
      <c r="AF38" s="83">
        <f>'Payroll Verisma'!AF20+'Payroll MRO'!AF20</f>
        <v>0</v>
      </c>
      <c r="AG38" s="83">
        <f>'Payroll Verisma'!AG20+'Payroll MRO'!AG20</f>
        <v>0</v>
      </c>
      <c r="AH38" s="83">
        <f>'Payroll Verisma'!AH20+'Payroll MRO'!AH20</f>
        <v>0</v>
      </c>
      <c r="AI38" s="83">
        <f>'Payroll Verisma'!AI20+'Payroll MRO'!AI20</f>
        <v>0</v>
      </c>
      <c r="AJ38" s="83">
        <f>'Payroll Verisma'!AJ20+'Payroll MRO'!AJ20</f>
        <v>0</v>
      </c>
      <c r="AK38" s="83">
        <f>'Payroll Verisma'!AK20+'Payroll MRO'!AK20</f>
        <v>0</v>
      </c>
      <c r="AL38" s="83">
        <f>'Payroll Verisma'!AL20+'Payroll MRO'!AL20</f>
        <v>0</v>
      </c>
      <c r="AM38" s="83">
        <f>'Payroll Verisma'!AM20+'Payroll MRO'!AM20</f>
        <v>0</v>
      </c>
      <c r="AN38" s="83">
        <f>'Payroll Verisma'!AN20+'Payroll MRO'!AN20</f>
        <v>4</v>
      </c>
      <c r="AO38" s="83">
        <f>'Payroll Verisma'!AO20+'Payroll MRO'!AO20</f>
        <v>0</v>
      </c>
      <c r="AP38" s="83">
        <f>'Payroll Verisma'!AP20+'Payroll MRO'!AP20</f>
        <v>0</v>
      </c>
      <c r="AQ38" s="83">
        <f>'Payroll Verisma'!AQ20+'Payroll MRO'!AQ20</f>
        <v>0</v>
      </c>
      <c r="AR38" s="83">
        <f>'Payroll Verisma'!AR20+'Payroll MRO'!AR20</f>
        <v>0</v>
      </c>
      <c r="AS38" s="83">
        <f>'Payroll Verisma'!AS20+'Payroll MRO'!AS20</f>
        <v>0</v>
      </c>
      <c r="AT38" s="83">
        <f>'Payroll Verisma'!AT20+'Payroll MRO'!AT20</f>
        <v>0</v>
      </c>
      <c r="AU38" s="83">
        <f>'Payroll Verisma'!AU20+'Payroll MRO'!AU20</f>
        <v>0</v>
      </c>
      <c r="AV38" s="83">
        <f>'Payroll Verisma'!AV20+'Payroll MRO'!AV20</f>
        <v>0</v>
      </c>
      <c r="AW38" s="83">
        <f>'Payroll Verisma'!AW20+'Payroll MRO'!AW20</f>
        <v>0</v>
      </c>
      <c r="AX38" s="83">
        <f>'Payroll Verisma'!AX20+'Payroll MRO'!AX20</f>
        <v>0</v>
      </c>
      <c r="AY38" s="83">
        <f>'Payroll Verisma'!AY20+'Payroll MRO'!AY20</f>
        <v>0</v>
      </c>
      <c r="AZ38" s="83">
        <f>'Payroll Verisma'!AZ20+'Payroll MRO'!AZ20</f>
        <v>0</v>
      </c>
      <c r="BA38" s="83">
        <f>'Payroll Verisma'!BA20+'Payroll MRO'!BA20</f>
        <v>0</v>
      </c>
      <c r="BB38" s="83">
        <f>'Payroll Verisma'!BB20+'Payroll MRO'!BB20</f>
        <v>0</v>
      </c>
      <c r="BC38" s="83">
        <f>'Payroll Verisma'!BC20+'Payroll MRO'!BC20</f>
        <v>0</v>
      </c>
      <c r="BD38" s="83">
        <f>'Payroll Verisma'!BD20+'Payroll MRO'!BD20</f>
        <v>0</v>
      </c>
      <c r="BE38" s="83">
        <f>'Payroll Verisma'!BE20+'Payroll MRO'!BE20</f>
        <v>17</v>
      </c>
      <c r="BF38" s="83">
        <f>'Payroll Verisma'!BF20+'Payroll MRO'!BF20</f>
        <v>0</v>
      </c>
      <c r="BG38" s="83">
        <f>'Payroll Verisma'!BG20+'Payroll MRO'!BG20</f>
        <v>0</v>
      </c>
      <c r="BH38" s="83">
        <f>'Payroll Verisma'!BH20+'Payroll MRO'!BH20</f>
        <v>0</v>
      </c>
      <c r="BI38" s="83">
        <f>'Payroll Verisma'!BI20+'Payroll MRO'!BI20</f>
        <v>0</v>
      </c>
      <c r="BJ38" s="83">
        <f>'Payroll Verisma'!BJ20+'Payroll MRO'!BJ20</f>
        <v>0</v>
      </c>
      <c r="BK38" s="83">
        <f>'Payroll Verisma'!BK20+'Payroll MRO'!BK20</f>
        <v>0</v>
      </c>
      <c r="BL38" s="83">
        <f>'Payroll Verisma'!BL20+'Payroll MRO'!BL20</f>
        <v>0</v>
      </c>
      <c r="BM38" s="83">
        <f>'Payroll Verisma'!BM20+'Payroll MRO'!BM20</f>
        <v>0</v>
      </c>
      <c r="BN38" s="83">
        <f>'Payroll Verisma'!BN20+'Payroll MRO'!BN20</f>
        <v>0</v>
      </c>
      <c r="BO38" s="83">
        <f>'Payroll Verisma'!BO20+'Payroll MRO'!BO20</f>
        <v>0</v>
      </c>
      <c r="BP38" s="83">
        <f>'Payroll Verisma'!BP20+'Payroll MRO'!BP20</f>
        <v>0</v>
      </c>
      <c r="BQ38" s="83">
        <f>'Payroll Verisma'!BQ20+'Payroll MRO'!BQ20</f>
        <v>0</v>
      </c>
      <c r="BR38" s="83">
        <f>'Payroll Verisma'!BR20+'Payroll MRO'!BR20</f>
        <v>0</v>
      </c>
      <c r="BS38" s="83">
        <f>'Payroll Verisma'!BS20+'Payroll MRO'!BS20</f>
        <v>0</v>
      </c>
      <c r="BT38" s="83">
        <f>'Payroll Verisma'!BT20+'Payroll MRO'!BT20</f>
        <v>0</v>
      </c>
      <c r="BU38" s="83">
        <f>'Payroll Verisma'!BU20+'Payroll MRO'!BU20</f>
        <v>0</v>
      </c>
      <c r="BV38" s="83">
        <f>'Payroll Verisma'!BV20+'Payroll MRO'!BV20</f>
        <v>0</v>
      </c>
      <c r="BW38" s="83">
        <f>'Payroll Verisma'!BW20+'Payroll MRO'!BW20</f>
        <v>0</v>
      </c>
      <c r="BX38" s="83">
        <f>'Payroll Verisma'!BX20+'Payroll MRO'!BX20</f>
        <v>0</v>
      </c>
      <c r="BY38" s="83">
        <f>'Payroll Verisma'!BY20+'Payroll MRO'!BY20</f>
        <v>0</v>
      </c>
      <c r="BZ38" s="83">
        <f>'Payroll Verisma'!BZ20+'Payroll MRO'!BZ20</f>
        <v>0</v>
      </c>
      <c r="CA38" s="83">
        <f>'Payroll Verisma'!CA20+'Payroll MRO'!CA20</f>
        <v>0</v>
      </c>
      <c r="CB38" s="83">
        <f>'Payroll Verisma'!CB20+'Payroll MRO'!CB20</f>
        <v>0</v>
      </c>
      <c r="CC38" s="83">
        <f>'Payroll Verisma'!CC20+'Payroll MRO'!CC20</f>
        <v>0</v>
      </c>
      <c r="CD38" s="83">
        <f>'Payroll Verisma'!CD20+'Payroll MRO'!CD20</f>
        <v>0</v>
      </c>
      <c r="CE38" s="83">
        <f>'Payroll Verisma'!CE20+'Payroll MRO'!CE20</f>
        <v>0</v>
      </c>
      <c r="CF38" s="83">
        <f>'Payroll Verisma'!CF20+'Payroll MRO'!CF20</f>
        <v>0</v>
      </c>
      <c r="CG38" s="83">
        <f>'Payroll Verisma'!CG20+'Payroll MRO'!CG20</f>
        <v>0</v>
      </c>
      <c r="CH38" s="83">
        <f>'Payroll Verisma'!CH20+'Payroll MRO'!CH20</f>
        <v>17</v>
      </c>
      <c r="CI38" s="83">
        <f>'Payroll Verisma'!CI20+'Payroll MRO'!CI20</f>
        <v>0</v>
      </c>
      <c r="CJ38" s="83">
        <f>'Payroll Verisma'!CJ20+'Payroll MRO'!CJ20</f>
        <v>0</v>
      </c>
      <c r="CK38" s="83">
        <f>'Payroll Verisma'!CK20+'Payroll MRO'!CK20</f>
        <v>0</v>
      </c>
      <c r="CL38" s="83">
        <f>'Payroll Verisma'!CL20+'Payroll MRO'!CL20</f>
        <v>0</v>
      </c>
      <c r="CM38" s="83">
        <f>'Payroll Verisma'!CM20+'Payroll MRO'!CM20</f>
        <v>0</v>
      </c>
      <c r="CN38" s="83">
        <f>'Payroll Verisma'!CN20+'Payroll MRO'!CN20</f>
        <v>0</v>
      </c>
      <c r="CO38" s="83">
        <f>'Payroll Verisma'!CO20+'Payroll MRO'!CO20</f>
        <v>0</v>
      </c>
      <c r="CP38" s="83">
        <f>'Payroll Verisma'!CP20+'Payroll MRO'!CP20</f>
        <v>0</v>
      </c>
      <c r="CQ38" s="83">
        <f>'Payroll Verisma'!CQ20+'Payroll MRO'!CQ20</f>
        <v>0</v>
      </c>
      <c r="CR38" s="83">
        <f>'Payroll Verisma'!CR20+'Payroll MRO'!CR20</f>
        <v>15</v>
      </c>
      <c r="CS38" s="83">
        <f>'Payroll Verisma'!CS20+'Payroll MRO'!CS20</f>
        <v>0</v>
      </c>
      <c r="CT38" s="83">
        <f>'Payroll Verisma'!CT20+'Payroll MRO'!CT20</f>
        <v>5</v>
      </c>
      <c r="CU38" s="83">
        <f>'Payroll Verisma'!CU20+'Payroll MRO'!CU20</f>
        <v>0</v>
      </c>
      <c r="CV38" s="83">
        <f>'Payroll Verisma'!CV20+'Payroll MRO'!CV20</f>
        <v>0</v>
      </c>
      <c r="CW38" s="83">
        <f>'Payroll Verisma'!CW20+'Payroll MRO'!CW20</f>
        <v>0</v>
      </c>
      <c r="CX38" s="83">
        <f>'Payroll Verisma'!CX20+'Payroll MRO'!CX20</f>
        <v>0</v>
      </c>
      <c r="CY38" s="83">
        <f>'Payroll Verisma'!CY20+'Payroll MRO'!CY20</f>
        <v>0</v>
      </c>
      <c r="CZ38" s="83">
        <f>'Payroll Verisma'!CZ20+'Payroll MRO'!CZ20</f>
        <v>0</v>
      </c>
      <c r="DA38" s="83">
        <f>'Payroll Verisma'!DA20+'Payroll MRO'!DA20</f>
        <v>0</v>
      </c>
      <c r="DB38" s="83">
        <f>'Payroll Verisma'!DB20+'Payroll MRO'!DB20</f>
        <v>0</v>
      </c>
      <c r="DC38" s="83">
        <f>'Payroll Verisma'!DC20+'Payroll MRO'!DC20</f>
        <v>0</v>
      </c>
      <c r="DD38" s="83">
        <f>'Payroll Verisma'!DD20+'Payroll MRO'!DD20</f>
        <v>0</v>
      </c>
      <c r="DE38" s="83">
        <f>'Payroll Verisma'!DE20+'Payroll MRO'!DE20</f>
        <v>34</v>
      </c>
      <c r="DF38" s="83">
        <f>'Payroll Verisma'!DF20+'Payroll MRO'!DF20</f>
        <v>0</v>
      </c>
      <c r="DG38" s="83">
        <f>'Payroll Verisma'!DG20+'Payroll MRO'!DG20</f>
        <v>0</v>
      </c>
      <c r="DH38" s="83">
        <f>'Payroll Verisma'!DH20+'Payroll MRO'!DH20</f>
        <v>0</v>
      </c>
      <c r="DI38" s="83">
        <f>'Payroll Verisma'!DI20+'Payroll MRO'!DI20</f>
        <v>0</v>
      </c>
      <c r="DJ38" s="83">
        <f>'Payroll Verisma'!DJ20+'Payroll MRO'!DJ20</f>
        <v>0</v>
      </c>
      <c r="DK38" s="83">
        <f>'Payroll Verisma'!DK20+'Payroll MRO'!DK20</f>
        <v>236</v>
      </c>
      <c r="DL38" s="83">
        <f>'Payroll Verisma'!DL20+'Payroll MRO'!DL20</f>
        <v>0</v>
      </c>
      <c r="DM38" s="83">
        <f>'Payroll Verisma'!DM20+'Payroll MRO'!DM20</f>
        <v>0</v>
      </c>
      <c r="DN38" s="83">
        <f>'Payroll Verisma'!DN20+'Payroll MRO'!DN20</f>
        <v>0</v>
      </c>
      <c r="DO38" s="83">
        <f>'Payroll Verisma'!DO20+'Payroll MRO'!DO20</f>
        <v>0</v>
      </c>
      <c r="DP38" s="83">
        <f>'Payroll Verisma'!DP20+'Payroll MRO'!DP20</f>
        <v>0</v>
      </c>
      <c r="DQ38" s="83">
        <f>'Payroll Verisma'!DQ20+'Payroll MRO'!DQ20</f>
        <v>0</v>
      </c>
      <c r="DR38" s="83">
        <f>'Payroll Verisma'!DR20+'Payroll MRO'!DR20</f>
        <v>0</v>
      </c>
      <c r="DS38" s="83">
        <f>'Payroll Verisma'!DS20+'Payroll MRO'!DS20</f>
        <v>0</v>
      </c>
      <c r="DT38" s="83">
        <f>'Payroll Verisma'!DT20+'Payroll MRO'!DT20</f>
        <v>0</v>
      </c>
      <c r="DU38" s="83">
        <f>'Payroll Verisma'!DU20+'Payroll MRO'!DU20</f>
        <v>0</v>
      </c>
      <c r="DV38" s="83">
        <f>'Payroll Verisma'!DV20+'Payroll MRO'!DV20</f>
        <v>0</v>
      </c>
      <c r="DW38" s="83">
        <f>'Payroll Verisma'!DW20+'Payroll MRO'!DW20</f>
        <v>0</v>
      </c>
      <c r="DX38" s="83">
        <f>'Payroll Verisma'!DX20+'Payroll MRO'!DX20</f>
        <v>0</v>
      </c>
      <c r="DY38" s="83">
        <f>'Payroll Verisma'!DY20+'Payroll MRO'!DY20</f>
        <v>0</v>
      </c>
      <c r="DZ38" s="83">
        <f>'Payroll Verisma'!DZ20+'Payroll MRO'!DZ20</f>
        <v>0</v>
      </c>
      <c r="EA38" s="83">
        <f>'Payroll Verisma'!EA20+'Payroll MRO'!EA20</f>
        <v>0</v>
      </c>
      <c r="EB38" s="83">
        <f>'Payroll Verisma'!EB20+'Payroll MRO'!EB20</f>
        <v>0</v>
      </c>
      <c r="EC38" s="83">
        <f>'Payroll Verisma'!EC20+'Payroll MRO'!EC20</f>
        <v>0</v>
      </c>
      <c r="ED38" s="83">
        <f>'Payroll Verisma'!ED20+'Payroll MRO'!ED20</f>
        <v>0</v>
      </c>
      <c r="EE38" s="83">
        <f>'Payroll Verisma'!EE20+'Payroll MRO'!EE20</f>
        <v>0</v>
      </c>
      <c r="EF38" s="83">
        <f>'Payroll Verisma'!EF20+'Payroll MRO'!EF20</f>
        <v>0</v>
      </c>
      <c r="EG38" s="83">
        <f>'Payroll Verisma'!EG20+'Payroll MRO'!EG20</f>
        <v>0</v>
      </c>
      <c r="EH38" s="83">
        <f>'Payroll Verisma'!EH20+'Payroll MRO'!EH20</f>
        <v>0</v>
      </c>
      <c r="EI38" s="83">
        <f>'Payroll Verisma'!EI20+'Payroll MRO'!EI20</f>
        <v>0</v>
      </c>
      <c r="EJ38" s="83">
        <f>'Payroll Verisma'!EJ20+'Payroll MRO'!EJ20</f>
        <v>0</v>
      </c>
      <c r="EK38" s="83">
        <f>'Payroll Verisma'!EK20+'Payroll MRO'!EK20</f>
        <v>0</v>
      </c>
      <c r="EL38" s="83">
        <f>'Payroll Verisma'!EL20+'Payroll MRO'!EL20</f>
        <v>0</v>
      </c>
      <c r="EM38" s="83">
        <f>'Payroll Verisma'!EM20+'Payroll MRO'!EM20</f>
        <v>0</v>
      </c>
      <c r="EN38" s="83">
        <f>'Payroll Verisma'!EN20+'Payroll MRO'!EN20</f>
        <v>0</v>
      </c>
      <c r="EO38" s="83">
        <f>'Payroll Verisma'!EO20+'Payroll MRO'!EO20</f>
        <v>0</v>
      </c>
      <c r="EP38" s="83">
        <f>'Payroll Verisma'!EP20+'Payroll MRO'!EP20</f>
        <v>0</v>
      </c>
      <c r="EQ38" s="83">
        <f>'Payroll Verisma'!EQ20+'Payroll MRO'!EQ20</f>
        <v>0</v>
      </c>
      <c r="ER38" s="83">
        <f>'Payroll Verisma'!ER20+'Payroll MRO'!ER20</f>
        <v>0</v>
      </c>
      <c r="ES38" s="83">
        <f>'Payroll Verisma'!ES20+'Payroll MRO'!ES20</f>
        <v>0</v>
      </c>
      <c r="ET38" s="83">
        <f>'Payroll Verisma'!ET20+'Payroll MRO'!ET20</f>
        <v>0</v>
      </c>
      <c r="EU38" s="83">
        <f>'Payroll Verisma'!EU20+'Payroll MRO'!EU20</f>
        <v>0</v>
      </c>
      <c r="EV38" s="83">
        <f>'Payroll Verisma'!EV20+'Payroll MRO'!EV20</f>
        <v>0</v>
      </c>
      <c r="EW38" s="83">
        <f>'Payroll Verisma'!EW20+'Payroll MRO'!EW20</f>
        <v>0</v>
      </c>
      <c r="EX38" s="83">
        <f>'Payroll Verisma'!EX20+'Payroll MRO'!EX20</f>
        <v>0</v>
      </c>
      <c r="EY38" s="83">
        <f>'Payroll Verisma'!EY20+'Payroll MRO'!EY20</f>
        <v>0</v>
      </c>
      <c r="EZ38" s="83">
        <f>'Payroll Verisma'!EZ20+'Payroll MRO'!EZ20</f>
        <v>0</v>
      </c>
      <c r="FA38" s="83">
        <f>'Payroll Verisma'!FA20+'Payroll MRO'!FA20</f>
        <v>0</v>
      </c>
      <c r="FB38" s="83">
        <f>'Payroll Verisma'!FB20+'Payroll MRO'!FB20</f>
        <v>0</v>
      </c>
      <c r="FC38" s="83">
        <f>'Payroll Verisma'!FC20+'Payroll MRO'!FC20</f>
        <v>0</v>
      </c>
      <c r="FD38" s="83">
        <f>'Payroll Verisma'!FD20+'Payroll MRO'!FD20</f>
        <v>0</v>
      </c>
      <c r="FE38" s="83">
        <f>'Payroll Verisma'!FE20+'Payroll MRO'!FE20</f>
        <v>0</v>
      </c>
      <c r="FF38" s="83">
        <f>'Payroll Verisma'!FF20+'Payroll MRO'!FF20</f>
        <v>5</v>
      </c>
      <c r="FG38" s="83">
        <f>'Payroll Verisma'!FG20+'Payroll MRO'!FG20</f>
        <v>0</v>
      </c>
      <c r="FH38" s="83">
        <f>'Payroll Verisma'!FH20+'Payroll MRO'!FH20</f>
        <v>0</v>
      </c>
      <c r="FI38" s="83">
        <f>'Payroll Verisma'!FI20+'Payroll MRO'!FI20</f>
        <v>0</v>
      </c>
      <c r="FJ38" s="83">
        <f>'Payroll Verisma'!FJ20+'Payroll MRO'!FJ20</f>
        <v>0</v>
      </c>
      <c r="FK38" s="83">
        <f>'Payroll Verisma'!FK20+'Payroll MRO'!FK20</f>
        <v>0</v>
      </c>
      <c r="FL38" s="83">
        <f>'Payroll Verisma'!FL20+'Payroll MRO'!FL20</f>
        <v>0</v>
      </c>
      <c r="FM38" s="83">
        <f>'Payroll Verisma'!FM20+'Payroll MRO'!FM20</f>
        <v>0</v>
      </c>
      <c r="FN38" s="83">
        <f>'Payroll Verisma'!FN20+'Payroll MRO'!FN20</f>
        <v>0</v>
      </c>
      <c r="FO38" s="83">
        <f>'Payroll Verisma'!FO20+'Payroll MRO'!FO20</f>
        <v>0</v>
      </c>
      <c r="FP38" s="83">
        <f>'Payroll Verisma'!FP20+'Payroll MRO'!FP20</f>
        <v>10</v>
      </c>
      <c r="FQ38" s="83">
        <f>'Payroll Verisma'!FQ20+'Payroll MRO'!FQ20</f>
        <v>0</v>
      </c>
      <c r="FR38" s="83">
        <f>'Payroll Verisma'!FR20+'Payroll MRO'!FR20</f>
        <v>0</v>
      </c>
      <c r="FS38" s="83">
        <f>'Payroll Verisma'!FS20+'Payroll MRO'!FS20</f>
        <v>0</v>
      </c>
      <c r="FT38" s="83">
        <f>'Payroll Verisma'!FT20+'Payroll MRO'!FT20</f>
        <v>0</v>
      </c>
      <c r="FU38" s="83">
        <f>'Payroll Verisma'!FU20+'Payroll MRO'!FU20</f>
        <v>0</v>
      </c>
      <c r="FV38" s="83">
        <f>'Payroll Verisma'!FV20+'Payroll MRO'!FV20</f>
        <v>0</v>
      </c>
      <c r="FW38" s="83">
        <f>'Payroll Verisma'!FW20+'Payroll MRO'!FW20</f>
        <v>0</v>
      </c>
      <c r="FX38" s="83">
        <f>'Payroll Verisma'!FX20+'Payroll MRO'!FX20</f>
        <v>0</v>
      </c>
      <c r="FY38" s="83">
        <f>'Payroll Verisma'!FY20+'Payroll MRO'!FY20</f>
        <v>10</v>
      </c>
      <c r="FZ38" s="83">
        <f>'Payroll Verisma'!FZ20+'Payroll MRO'!FZ20</f>
        <v>0</v>
      </c>
      <c r="GA38" s="83">
        <f>'Payroll Verisma'!GA20+'Payroll MRO'!GA20</f>
        <v>0</v>
      </c>
      <c r="GB38" s="83">
        <f>'Payroll Verisma'!GB20+'Payroll MRO'!GB20</f>
        <v>0</v>
      </c>
      <c r="GC38" s="83">
        <f>'Payroll Verisma'!GC20+'Payroll MRO'!GC20</f>
        <v>0</v>
      </c>
      <c r="GD38" s="83">
        <f>'Payroll Verisma'!GD20+'Payroll MRO'!GD20</f>
        <v>0</v>
      </c>
      <c r="GE38" s="83">
        <f>'Payroll Verisma'!GE20+'Payroll MRO'!GE20</f>
        <v>55</v>
      </c>
      <c r="GF38" s="83">
        <f>'Payroll Verisma'!GF20+'Payroll MRO'!GF20</f>
        <v>0</v>
      </c>
      <c r="GG38" s="83">
        <f>'Payroll Verisma'!GG20+'Payroll MRO'!GG20</f>
        <v>0</v>
      </c>
      <c r="GH38" s="83">
        <f>'Payroll Verisma'!GH20+'Payroll MRO'!GH20</f>
        <v>0</v>
      </c>
      <c r="GI38" s="83">
        <f>'Payroll Verisma'!GI20+'Payroll MRO'!GI20</f>
        <v>0</v>
      </c>
      <c r="GJ38" s="83">
        <f>'Payroll Verisma'!GJ20+'Payroll MRO'!GJ20</f>
        <v>31</v>
      </c>
      <c r="GK38" s="83">
        <f>'Payroll Verisma'!GK20+'Payroll MRO'!GK20</f>
        <v>0</v>
      </c>
      <c r="GL38" s="83">
        <f>'Payroll Verisma'!GL20+'Payroll MRO'!GL20</f>
        <v>0</v>
      </c>
      <c r="GM38" s="83">
        <f>'Payroll Verisma'!GM20+'Payroll MRO'!GM20</f>
        <v>0</v>
      </c>
      <c r="GN38" s="83">
        <f>'Payroll Verisma'!GN20+'Payroll MRO'!GN20</f>
        <v>0</v>
      </c>
      <c r="GO38" s="83">
        <f>'Payroll Verisma'!GO20+'Payroll MRO'!GO20</f>
        <v>0</v>
      </c>
      <c r="GP38" s="83">
        <f>'Payroll Verisma'!GP20+'Payroll MRO'!GP20</f>
        <v>0</v>
      </c>
      <c r="GQ38" s="83">
        <f>'Payroll Verisma'!GQ20+'Payroll MRO'!GQ20</f>
        <v>0</v>
      </c>
      <c r="GR38" s="83">
        <f>'Payroll Verisma'!GR20+'Payroll MRO'!GR20</f>
        <v>0</v>
      </c>
    </row>
    <row r="39" spans="1:200" ht="15.6">
      <c r="A39" s="81">
        <f t="shared" si="83"/>
        <v>46041</v>
      </c>
      <c r="B39" s="82" t="str">
        <f t="shared" si="82"/>
        <v>Mon</v>
      </c>
      <c r="C39" s="75">
        <f t="shared" si="81"/>
        <v>4904</v>
      </c>
      <c r="D39" s="83">
        <f>'Payroll Verisma'!D21+'Payroll MRO'!D21</f>
        <v>0</v>
      </c>
      <c r="E39" s="83">
        <f>'Payroll Verisma'!E21+'Payroll MRO'!E21</f>
        <v>48</v>
      </c>
      <c r="F39" s="83">
        <f>'Payroll Verisma'!F21+'Payroll MRO'!F21</f>
        <v>0</v>
      </c>
      <c r="G39" s="83">
        <f>'Payroll Verisma'!G21+'Payroll MRO'!G21</f>
        <v>0</v>
      </c>
      <c r="H39" s="83">
        <f>'Payroll Verisma'!H21+'Payroll MRO'!H21</f>
        <v>15</v>
      </c>
      <c r="I39" s="83">
        <f>'Payroll Verisma'!I21+'Payroll MRO'!I21</f>
        <v>0</v>
      </c>
      <c r="J39" s="83">
        <f>'Payroll Verisma'!J21+'Payroll MRO'!J21</f>
        <v>0</v>
      </c>
      <c r="K39" s="83">
        <f>'Payroll Verisma'!K21+'Payroll MRO'!K21</f>
        <v>0</v>
      </c>
      <c r="L39" s="83">
        <f>'Payroll Verisma'!L21+'Payroll MRO'!L21</f>
        <v>0</v>
      </c>
      <c r="M39" s="83">
        <f>'Payroll Verisma'!M21+'Payroll MRO'!M21</f>
        <v>0</v>
      </c>
      <c r="N39" s="83">
        <f>'Payroll Verisma'!N21+'Payroll MRO'!N21</f>
        <v>68</v>
      </c>
      <c r="O39" s="83">
        <f>'Payroll Verisma'!O21+'Payroll MRO'!O21</f>
        <v>0</v>
      </c>
      <c r="P39" s="83">
        <f>'Payroll Verisma'!P21+'Payroll MRO'!P21</f>
        <v>0</v>
      </c>
      <c r="Q39" s="83">
        <f>'Payroll Verisma'!Q21+'Payroll MRO'!Q21</f>
        <v>49</v>
      </c>
      <c r="R39" s="83">
        <f>'Payroll Verisma'!R21+'Payroll MRO'!R21</f>
        <v>100</v>
      </c>
      <c r="S39" s="83">
        <f>'Payroll Verisma'!S21+'Payroll MRO'!S21</f>
        <v>53</v>
      </c>
      <c r="T39" s="83">
        <f>'Payroll Verisma'!T21+'Payroll MRO'!T21</f>
        <v>189</v>
      </c>
      <c r="U39" s="83">
        <f>'Payroll Verisma'!U21+'Payroll MRO'!U21</f>
        <v>20</v>
      </c>
      <c r="V39" s="83">
        <f>'Payroll Verisma'!V21+'Payroll MRO'!V21</f>
        <v>0</v>
      </c>
      <c r="W39" s="83">
        <f>'Payroll Verisma'!W21+'Payroll MRO'!W21</f>
        <v>0</v>
      </c>
      <c r="X39" s="83">
        <f>'Payroll Verisma'!X21+'Payroll MRO'!X21</f>
        <v>0</v>
      </c>
      <c r="Y39" s="83">
        <f>'Payroll Verisma'!Y21+'Payroll MRO'!Y21</f>
        <v>17</v>
      </c>
      <c r="Z39" s="83">
        <f>'Payroll Verisma'!Z21+'Payroll MRO'!Z21</f>
        <v>0</v>
      </c>
      <c r="AA39" s="83">
        <f>'Payroll Verisma'!AA21+'Payroll MRO'!AA21</f>
        <v>19</v>
      </c>
      <c r="AB39" s="83">
        <f>'Payroll Verisma'!AB21+'Payroll MRO'!AB21</f>
        <v>12</v>
      </c>
      <c r="AC39" s="83">
        <f>'Payroll Verisma'!AC21+'Payroll MRO'!AC21</f>
        <v>0</v>
      </c>
      <c r="AD39" s="83">
        <f>'Payroll Verisma'!AD21+'Payroll MRO'!AD21</f>
        <v>0</v>
      </c>
      <c r="AE39" s="83">
        <f>'Payroll Verisma'!AE21+'Payroll MRO'!AE21</f>
        <v>30</v>
      </c>
      <c r="AF39" s="83">
        <f>'Payroll Verisma'!AF21+'Payroll MRO'!AF21</f>
        <v>0</v>
      </c>
      <c r="AG39" s="83">
        <f>'Payroll Verisma'!AG21+'Payroll MRO'!AG21</f>
        <v>86</v>
      </c>
      <c r="AH39" s="83">
        <f>'Payroll Verisma'!AH21+'Payroll MRO'!AH21</f>
        <v>0</v>
      </c>
      <c r="AI39" s="83">
        <f>'Payroll Verisma'!AI21+'Payroll MRO'!AI21</f>
        <v>0</v>
      </c>
      <c r="AJ39" s="83">
        <f>'Payroll Verisma'!AJ21+'Payroll MRO'!AJ21</f>
        <v>0</v>
      </c>
      <c r="AK39" s="83">
        <f>'Payroll Verisma'!AK21+'Payroll MRO'!AK21</f>
        <v>0</v>
      </c>
      <c r="AL39" s="83">
        <f>'Payroll Verisma'!AL21+'Payroll MRO'!AL21</f>
        <v>0</v>
      </c>
      <c r="AM39" s="83">
        <f>'Payroll Verisma'!AM21+'Payroll MRO'!AM21</f>
        <v>0</v>
      </c>
      <c r="AN39" s="83">
        <f>'Payroll Verisma'!AN21+'Payroll MRO'!AN21</f>
        <v>19</v>
      </c>
      <c r="AO39" s="83">
        <f>'Payroll Verisma'!AO21+'Payroll MRO'!AO21</f>
        <v>0</v>
      </c>
      <c r="AP39" s="83">
        <f>'Payroll Verisma'!AP21+'Payroll MRO'!AP21</f>
        <v>11</v>
      </c>
      <c r="AQ39" s="83">
        <f>'Payroll Verisma'!AQ21+'Payroll MRO'!AQ21</f>
        <v>3</v>
      </c>
      <c r="AR39" s="83">
        <f>'Payroll Verisma'!AR21+'Payroll MRO'!AR21</f>
        <v>74</v>
      </c>
      <c r="AS39" s="83">
        <f>'Payroll Verisma'!AS21+'Payroll MRO'!AS21</f>
        <v>0</v>
      </c>
      <c r="AT39" s="83">
        <f>'Payroll Verisma'!AT21+'Payroll MRO'!AT21</f>
        <v>51</v>
      </c>
      <c r="AU39" s="83">
        <f>'Payroll Verisma'!AU21+'Payroll MRO'!AU21</f>
        <v>0</v>
      </c>
      <c r="AV39" s="83">
        <f>'Payroll Verisma'!AV21+'Payroll MRO'!AV21</f>
        <v>0</v>
      </c>
      <c r="AW39" s="83">
        <f>'Payroll Verisma'!AW21+'Payroll MRO'!AW21</f>
        <v>41</v>
      </c>
      <c r="AX39" s="83">
        <f>'Payroll Verisma'!AX21+'Payroll MRO'!AX21</f>
        <v>93</v>
      </c>
      <c r="AY39" s="83">
        <f>'Payroll Verisma'!AY21+'Payroll MRO'!AY21</f>
        <v>0</v>
      </c>
      <c r="AZ39" s="83">
        <f>'Payroll Verisma'!AZ21+'Payroll MRO'!AZ21</f>
        <v>0</v>
      </c>
      <c r="BA39" s="83">
        <f>'Payroll Verisma'!BA21+'Payroll MRO'!BA21</f>
        <v>108</v>
      </c>
      <c r="BB39" s="83">
        <f>'Payroll Verisma'!BB21+'Payroll MRO'!BB21</f>
        <v>50</v>
      </c>
      <c r="BC39" s="83">
        <f>'Payroll Verisma'!BC21+'Payroll MRO'!BC21</f>
        <v>34</v>
      </c>
      <c r="BD39" s="83">
        <f>'Payroll Verisma'!BD21+'Payroll MRO'!BD21</f>
        <v>0</v>
      </c>
      <c r="BE39" s="83">
        <f>'Payroll Verisma'!BE21+'Payroll MRO'!BE21</f>
        <v>45</v>
      </c>
      <c r="BF39" s="83">
        <f>'Payroll Verisma'!BF21+'Payroll MRO'!BF21</f>
        <v>0</v>
      </c>
      <c r="BG39" s="83">
        <f>'Payroll Verisma'!BG21+'Payroll MRO'!BG21</f>
        <v>50</v>
      </c>
      <c r="BH39" s="83">
        <f>'Payroll Verisma'!BH21+'Payroll MRO'!BH21</f>
        <v>0</v>
      </c>
      <c r="BI39" s="83">
        <f>'Payroll Verisma'!BI21+'Payroll MRO'!BI21</f>
        <v>46</v>
      </c>
      <c r="BJ39" s="83">
        <f>'Payroll Verisma'!BJ21+'Payroll MRO'!BJ21</f>
        <v>21</v>
      </c>
      <c r="BK39" s="83">
        <f>'Payroll Verisma'!BK21+'Payroll MRO'!BK21</f>
        <v>0</v>
      </c>
      <c r="BL39" s="83">
        <f>'Payroll Verisma'!BL21+'Payroll MRO'!BL21</f>
        <v>0</v>
      </c>
      <c r="BM39" s="83">
        <f>'Payroll Verisma'!BM21+'Payroll MRO'!BM21</f>
        <v>0</v>
      </c>
      <c r="BN39" s="83">
        <f>'Payroll Verisma'!BN21+'Payroll MRO'!BN21</f>
        <v>35</v>
      </c>
      <c r="BO39" s="83">
        <f>'Payroll Verisma'!BO21+'Payroll MRO'!BO21</f>
        <v>0</v>
      </c>
      <c r="BP39" s="83">
        <f>'Payroll Verisma'!BP21+'Payroll MRO'!BP21</f>
        <v>0</v>
      </c>
      <c r="BQ39" s="83">
        <f>'Payroll Verisma'!BQ21+'Payroll MRO'!BQ21</f>
        <v>45</v>
      </c>
      <c r="BR39" s="83">
        <f>'Payroll Verisma'!BR21+'Payroll MRO'!BR21</f>
        <v>0</v>
      </c>
      <c r="BS39" s="83">
        <f>'Payroll Verisma'!BS21+'Payroll MRO'!BS21</f>
        <v>23</v>
      </c>
      <c r="BT39" s="83">
        <f>'Payroll Verisma'!BT21+'Payroll MRO'!BT21</f>
        <v>0</v>
      </c>
      <c r="BU39" s="83">
        <f>'Payroll Verisma'!BU21+'Payroll MRO'!BU21</f>
        <v>0</v>
      </c>
      <c r="BV39" s="83">
        <f>'Payroll Verisma'!BV21+'Payroll MRO'!BV21</f>
        <v>14</v>
      </c>
      <c r="BW39" s="83">
        <f>'Payroll Verisma'!BW21+'Payroll MRO'!BW21</f>
        <v>15</v>
      </c>
      <c r="BX39" s="83">
        <f>'Payroll Verisma'!BX21+'Payroll MRO'!BX21</f>
        <v>0</v>
      </c>
      <c r="BY39" s="83">
        <f>'Payroll Verisma'!BY21+'Payroll MRO'!BY21</f>
        <v>0</v>
      </c>
      <c r="BZ39" s="83">
        <f>'Payroll Verisma'!BZ21+'Payroll MRO'!BZ21</f>
        <v>67</v>
      </c>
      <c r="CA39" s="83">
        <f>'Payroll Verisma'!CA21+'Payroll MRO'!CA21</f>
        <v>44</v>
      </c>
      <c r="CB39" s="83">
        <f>'Payroll Verisma'!CB21+'Payroll MRO'!CB21</f>
        <v>62</v>
      </c>
      <c r="CC39" s="83">
        <f>'Payroll Verisma'!CC21+'Payroll MRO'!CC21</f>
        <v>0</v>
      </c>
      <c r="CD39" s="83">
        <f>'Payroll Verisma'!CD21+'Payroll MRO'!CD21</f>
        <v>250</v>
      </c>
      <c r="CE39" s="83">
        <f>'Payroll Verisma'!CE21+'Payroll MRO'!CE21</f>
        <v>0</v>
      </c>
      <c r="CF39" s="83">
        <f>'Payroll Verisma'!CF21+'Payroll MRO'!CF21</f>
        <v>9</v>
      </c>
      <c r="CG39" s="83">
        <f>'Payroll Verisma'!CG21+'Payroll MRO'!CG21</f>
        <v>0</v>
      </c>
      <c r="CH39" s="83">
        <f>'Payroll Verisma'!CH21+'Payroll MRO'!CH21</f>
        <v>53</v>
      </c>
      <c r="CI39" s="83">
        <f>'Payroll Verisma'!CI21+'Payroll MRO'!CI21</f>
        <v>0</v>
      </c>
      <c r="CJ39" s="83">
        <f>'Payroll Verisma'!CJ21+'Payroll MRO'!CJ21</f>
        <v>141</v>
      </c>
      <c r="CK39" s="83">
        <f>'Payroll Verisma'!CK21+'Payroll MRO'!CK21</f>
        <v>0</v>
      </c>
      <c r="CL39" s="83">
        <f>'Payroll Verisma'!CL21+'Payroll MRO'!CL21</f>
        <v>0</v>
      </c>
      <c r="CM39" s="83">
        <f>'Payroll Verisma'!CM21+'Payroll MRO'!CM21</f>
        <v>0</v>
      </c>
      <c r="CN39" s="83">
        <f>'Payroll Verisma'!CN21+'Payroll MRO'!CN21</f>
        <v>82</v>
      </c>
      <c r="CO39" s="83">
        <f>'Payroll Verisma'!CO21+'Payroll MRO'!CO21</f>
        <v>0</v>
      </c>
      <c r="CP39" s="83">
        <f>'Payroll Verisma'!CP21+'Payroll MRO'!CP21</f>
        <v>21</v>
      </c>
      <c r="CQ39" s="83">
        <f>'Payroll Verisma'!CQ21+'Payroll MRO'!CQ21</f>
        <v>0</v>
      </c>
      <c r="CR39" s="83">
        <f>'Payroll Verisma'!CR21+'Payroll MRO'!CR21</f>
        <v>26</v>
      </c>
      <c r="CS39" s="83">
        <f>'Payroll Verisma'!CS21+'Payroll MRO'!CS21</f>
        <v>0</v>
      </c>
      <c r="CT39" s="83">
        <f>'Payroll Verisma'!CT21+'Payroll MRO'!CT21</f>
        <v>52</v>
      </c>
      <c r="CU39" s="83">
        <f>'Payroll Verisma'!CU21+'Payroll MRO'!CU21</f>
        <v>0</v>
      </c>
      <c r="CV39" s="83">
        <f>'Payroll Verisma'!CV21+'Payroll MRO'!CV21</f>
        <v>10</v>
      </c>
      <c r="CW39" s="83">
        <f>'Payroll Verisma'!CW21+'Payroll MRO'!CW21</f>
        <v>0</v>
      </c>
      <c r="CX39" s="83">
        <f>'Payroll Verisma'!CX21+'Payroll MRO'!CX21</f>
        <v>0</v>
      </c>
      <c r="CY39" s="83">
        <f>'Payroll Verisma'!CY21+'Payroll MRO'!CY21</f>
        <v>38</v>
      </c>
      <c r="CZ39" s="83">
        <f>'Payroll Verisma'!CZ21+'Payroll MRO'!CZ21</f>
        <v>28</v>
      </c>
      <c r="DA39" s="83">
        <f>'Payroll Verisma'!DA21+'Payroll MRO'!DA21</f>
        <v>65</v>
      </c>
      <c r="DB39" s="83">
        <f>'Payroll Verisma'!DB21+'Payroll MRO'!DB21</f>
        <v>0</v>
      </c>
      <c r="DC39" s="83">
        <f>'Payroll Verisma'!DC21+'Payroll MRO'!DC21</f>
        <v>0</v>
      </c>
      <c r="DD39" s="83">
        <f>'Payroll Verisma'!DD21+'Payroll MRO'!DD21</f>
        <v>0</v>
      </c>
      <c r="DE39" s="83">
        <f>'Payroll Verisma'!DE21+'Payroll MRO'!DE21</f>
        <v>0</v>
      </c>
      <c r="DF39" s="83">
        <f>'Payroll Verisma'!DF21+'Payroll MRO'!DF21</f>
        <v>0</v>
      </c>
      <c r="DG39" s="83">
        <f>'Payroll Verisma'!DG21+'Payroll MRO'!DG21</f>
        <v>0</v>
      </c>
      <c r="DH39" s="83">
        <f>'Payroll Verisma'!DH21+'Payroll MRO'!DH21</f>
        <v>34</v>
      </c>
      <c r="DI39" s="83">
        <f>'Payroll Verisma'!DI21+'Payroll MRO'!DI21</f>
        <v>100</v>
      </c>
      <c r="DJ39" s="83">
        <f>'Payroll Verisma'!DJ21+'Payroll MRO'!DJ21</f>
        <v>0</v>
      </c>
      <c r="DK39" s="83">
        <f>'Payroll Verisma'!DK21+'Payroll MRO'!DK21</f>
        <v>32</v>
      </c>
      <c r="DL39" s="83">
        <f>'Payroll Verisma'!DL21+'Payroll MRO'!DL21</f>
        <v>25</v>
      </c>
      <c r="DM39" s="83">
        <f>'Payroll Verisma'!DM21+'Payroll MRO'!DM21</f>
        <v>0</v>
      </c>
      <c r="DN39" s="83">
        <f>'Payroll Verisma'!DN21+'Payroll MRO'!DN21</f>
        <v>112</v>
      </c>
      <c r="DO39" s="83">
        <f>'Payroll Verisma'!DO21+'Payroll MRO'!DO21</f>
        <v>0</v>
      </c>
      <c r="DP39" s="83">
        <f>'Payroll Verisma'!DP21+'Payroll MRO'!DP21</f>
        <v>13</v>
      </c>
      <c r="DQ39" s="83">
        <f>'Payroll Verisma'!DQ21+'Payroll MRO'!DQ21</f>
        <v>16</v>
      </c>
      <c r="DR39" s="83">
        <f>'Payroll Verisma'!DR21+'Payroll MRO'!DR21</f>
        <v>81</v>
      </c>
      <c r="DS39" s="83">
        <f>'Payroll Verisma'!DS21+'Payroll MRO'!DS21</f>
        <v>31</v>
      </c>
      <c r="DT39" s="83">
        <f>'Payroll Verisma'!DT21+'Payroll MRO'!DT21</f>
        <v>56</v>
      </c>
      <c r="DU39" s="83">
        <f>'Payroll Verisma'!DU21+'Payroll MRO'!DU21</f>
        <v>32</v>
      </c>
      <c r="DV39" s="83">
        <f>'Payroll Verisma'!DV21+'Payroll MRO'!DV21</f>
        <v>0</v>
      </c>
      <c r="DW39" s="83">
        <f>'Payroll Verisma'!DW21+'Payroll MRO'!DW21</f>
        <v>0</v>
      </c>
      <c r="DX39" s="83">
        <f>'Payroll Verisma'!DX21+'Payroll MRO'!DX21</f>
        <v>16</v>
      </c>
      <c r="DY39" s="83">
        <f>'Payroll Verisma'!DY21+'Payroll MRO'!DY21</f>
        <v>85</v>
      </c>
      <c r="DZ39" s="83">
        <f>'Payroll Verisma'!DZ21+'Payroll MRO'!DZ21</f>
        <v>55</v>
      </c>
      <c r="EA39" s="83">
        <f>'Payroll Verisma'!EA21+'Payroll MRO'!EA21</f>
        <v>0</v>
      </c>
      <c r="EB39" s="83">
        <f>'Payroll Verisma'!EB21+'Payroll MRO'!EB21</f>
        <v>44</v>
      </c>
      <c r="EC39" s="83">
        <f>'Payroll Verisma'!EC21+'Payroll MRO'!EC21</f>
        <v>0</v>
      </c>
      <c r="ED39" s="83">
        <f>'Payroll Verisma'!ED21+'Payroll MRO'!ED21</f>
        <v>67</v>
      </c>
      <c r="EE39" s="83">
        <f>'Payroll Verisma'!EE21+'Payroll MRO'!EE21</f>
        <v>18</v>
      </c>
      <c r="EF39" s="83">
        <f>'Payroll Verisma'!EF21+'Payroll MRO'!EF21</f>
        <v>28</v>
      </c>
      <c r="EG39" s="83">
        <f>'Payroll Verisma'!EG21+'Payroll MRO'!EG21</f>
        <v>0</v>
      </c>
      <c r="EH39" s="83">
        <f>'Payroll Verisma'!EH21+'Payroll MRO'!EH21</f>
        <v>0</v>
      </c>
      <c r="EI39" s="83">
        <f>'Payroll Verisma'!EI21+'Payroll MRO'!EI21</f>
        <v>0</v>
      </c>
      <c r="EJ39" s="83">
        <f>'Payroll Verisma'!EJ21+'Payroll MRO'!EJ21</f>
        <v>0</v>
      </c>
      <c r="EK39" s="83">
        <f>'Payroll Verisma'!EK21+'Payroll MRO'!EK21</f>
        <v>66</v>
      </c>
      <c r="EL39" s="83">
        <f>'Payroll Verisma'!EL21+'Payroll MRO'!EL21</f>
        <v>0</v>
      </c>
      <c r="EM39" s="83">
        <f>'Payroll Verisma'!EM21+'Payroll MRO'!EM21</f>
        <v>50</v>
      </c>
      <c r="EN39" s="83">
        <f>'Payroll Verisma'!EN21+'Payroll MRO'!EN21</f>
        <v>125</v>
      </c>
      <c r="EO39" s="83">
        <f>'Payroll Verisma'!EO21+'Payroll MRO'!EO21</f>
        <v>40</v>
      </c>
      <c r="EP39" s="83">
        <f>'Payroll Verisma'!EP21+'Payroll MRO'!EP21</f>
        <v>0</v>
      </c>
      <c r="EQ39" s="83">
        <f>'Payroll Verisma'!EQ21+'Payroll MRO'!EQ21</f>
        <v>18</v>
      </c>
      <c r="ER39" s="83">
        <f>'Payroll Verisma'!ER21+'Payroll MRO'!ER21</f>
        <v>0</v>
      </c>
      <c r="ES39" s="83">
        <f>'Payroll Verisma'!ES21+'Payroll MRO'!ES21</f>
        <v>0</v>
      </c>
      <c r="ET39" s="83">
        <f>'Payroll Verisma'!ET21+'Payroll MRO'!ET21</f>
        <v>0</v>
      </c>
      <c r="EU39" s="83">
        <f>'Payroll Verisma'!EU21+'Payroll MRO'!EU21</f>
        <v>83</v>
      </c>
      <c r="EV39" s="83">
        <f>'Payroll Verisma'!EV21+'Payroll MRO'!EV21</f>
        <v>122</v>
      </c>
      <c r="EW39" s="83">
        <f>'Payroll Verisma'!EW21+'Payroll MRO'!EW21</f>
        <v>0</v>
      </c>
      <c r="EX39" s="83">
        <f>'Payroll Verisma'!EX21+'Payroll MRO'!EX21</f>
        <v>35</v>
      </c>
      <c r="EY39" s="83">
        <f>'Payroll Verisma'!EY21+'Payroll MRO'!EY21</f>
        <v>0</v>
      </c>
      <c r="EZ39" s="83">
        <f>'Payroll Verisma'!EZ21+'Payroll MRO'!EZ21</f>
        <v>0</v>
      </c>
      <c r="FA39" s="83">
        <f>'Payroll Verisma'!FA21+'Payroll MRO'!FA21</f>
        <v>0</v>
      </c>
      <c r="FB39" s="83">
        <f>'Payroll Verisma'!FB21+'Payroll MRO'!FB21</f>
        <v>0</v>
      </c>
      <c r="FC39" s="83">
        <f>'Payroll Verisma'!FC21+'Payroll MRO'!FC21</f>
        <v>0</v>
      </c>
      <c r="FD39" s="83">
        <f>'Payroll Verisma'!FD21+'Payroll MRO'!FD21</f>
        <v>0</v>
      </c>
      <c r="FE39" s="83">
        <f>'Payroll Verisma'!FE21+'Payroll MRO'!FE21</f>
        <v>0</v>
      </c>
      <c r="FF39" s="83">
        <f>'Payroll Verisma'!FF21+'Payroll MRO'!FF21</f>
        <v>0</v>
      </c>
      <c r="FG39" s="83">
        <f>'Payroll Verisma'!FG21+'Payroll MRO'!FG21</f>
        <v>0</v>
      </c>
      <c r="FH39" s="83">
        <f>'Payroll Verisma'!FH21+'Payroll MRO'!FH21</f>
        <v>201</v>
      </c>
      <c r="FI39" s="83">
        <f>'Payroll Verisma'!FI21+'Payroll MRO'!FI21</f>
        <v>0</v>
      </c>
      <c r="FJ39" s="83">
        <f>'Payroll Verisma'!FJ21+'Payroll MRO'!FJ21</f>
        <v>0</v>
      </c>
      <c r="FK39" s="83">
        <f>'Payroll Verisma'!FK21+'Payroll MRO'!FK21</f>
        <v>36</v>
      </c>
      <c r="FL39" s="83">
        <f>'Payroll Verisma'!FL21+'Payroll MRO'!FL21</f>
        <v>0</v>
      </c>
      <c r="FM39" s="83">
        <f>'Payroll Verisma'!FM21+'Payroll MRO'!FM21</f>
        <v>0</v>
      </c>
      <c r="FN39" s="83">
        <f>'Payroll Verisma'!FN21+'Payroll MRO'!FN21</f>
        <v>0</v>
      </c>
      <c r="FO39" s="83">
        <f>'Payroll Verisma'!FO21+'Payroll MRO'!FO21</f>
        <v>76</v>
      </c>
      <c r="FP39" s="83">
        <f>'Payroll Verisma'!FP21+'Payroll MRO'!FP21</f>
        <v>26</v>
      </c>
      <c r="FQ39" s="83">
        <f>'Payroll Verisma'!FQ21+'Payroll MRO'!FQ21</f>
        <v>63</v>
      </c>
      <c r="FR39" s="83">
        <f>'Payroll Verisma'!FR21+'Payroll MRO'!FR21</f>
        <v>0</v>
      </c>
      <c r="FS39" s="83">
        <f>'Payroll Verisma'!FS21+'Payroll MRO'!FS21</f>
        <v>64</v>
      </c>
      <c r="FT39" s="83">
        <f>'Payroll Verisma'!FT21+'Payroll MRO'!FT21</f>
        <v>62</v>
      </c>
      <c r="FU39" s="83">
        <f>'Payroll Verisma'!FU21+'Payroll MRO'!FU21</f>
        <v>0</v>
      </c>
      <c r="FV39" s="83">
        <f>'Payroll Verisma'!FV21+'Payroll MRO'!FV21</f>
        <v>0</v>
      </c>
      <c r="FW39" s="83">
        <f>'Payroll Verisma'!FW21+'Payroll MRO'!FW21</f>
        <v>0</v>
      </c>
      <c r="FX39" s="83">
        <f>'Payroll Verisma'!FX21+'Payroll MRO'!FX21</f>
        <v>0</v>
      </c>
      <c r="FY39" s="83">
        <f>'Payroll Verisma'!FY21+'Payroll MRO'!FY21</f>
        <v>30</v>
      </c>
      <c r="FZ39" s="83">
        <f>'Payroll Verisma'!FZ21+'Payroll MRO'!FZ21</f>
        <v>0</v>
      </c>
      <c r="GA39" s="83">
        <f>'Payroll Verisma'!GA21+'Payroll MRO'!GA21</f>
        <v>0</v>
      </c>
      <c r="GB39" s="83">
        <f>'Payroll Verisma'!GB21+'Payroll MRO'!GB21</f>
        <v>0</v>
      </c>
      <c r="GC39" s="83">
        <f>'Payroll Verisma'!GC21+'Payroll MRO'!GC21</f>
        <v>0</v>
      </c>
      <c r="GD39" s="83">
        <f>'Payroll Verisma'!GD21+'Payroll MRO'!GD21</f>
        <v>54</v>
      </c>
      <c r="GE39" s="83">
        <f>'Payroll Verisma'!GE21+'Payroll MRO'!GE21</f>
        <v>71</v>
      </c>
      <c r="GF39" s="83">
        <f>'Payroll Verisma'!GF21+'Payroll MRO'!GF21</f>
        <v>54</v>
      </c>
      <c r="GG39" s="83">
        <f>'Payroll Verisma'!GG21+'Payroll MRO'!GG21</f>
        <v>0</v>
      </c>
      <c r="GH39" s="83">
        <f>'Payroll Verisma'!GH21+'Payroll MRO'!GH21</f>
        <v>6</v>
      </c>
      <c r="GI39" s="83">
        <f>'Payroll Verisma'!GI21+'Payroll MRO'!GI21</f>
        <v>0</v>
      </c>
      <c r="GJ39" s="83">
        <f>'Payroll Verisma'!GJ21+'Payroll MRO'!GJ21</f>
        <v>76</v>
      </c>
      <c r="GK39" s="83">
        <f>'Payroll Verisma'!GK21+'Payroll MRO'!GK21</f>
        <v>49</v>
      </c>
      <c r="GL39" s="83">
        <f>'Payroll Verisma'!GL21+'Payroll MRO'!GL21</f>
        <v>40</v>
      </c>
      <c r="GM39" s="83">
        <f>'Payroll Verisma'!GM21+'Payroll MRO'!GM21</f>
        <v>87</v>
      </c>
      <c r="GN39" s="83">
        <f>'Payroll Verisma'!GN21+'Payroll MRO'!GN21</f>
        <v>42</v>
      </c>
      <c r="GO39" s="83">
        <f>'Payroll Verisma'!GO21+'Payroll MRO'!GO21</f>
        <v>51</v>
      </c>
      <c r="GP39" s="83">
        <f>'Payroll Verisma'!GP21+'Payroll MRO'!GP21</f>
        <v>0</v>
      </c>
      <c r="GQ39" s="83">
        <f>'Payroll Verisma'!GQ21+'Payroll MRO'!GQ21</f>
        <v>0</v>
      </c>
      <c r="GR39" s="83">
        <f>'Payroll Verisma'!GR21+'Payroll MRO'!GR21</f>
        <v>0</v>
      </c>
    </row>
    <row r="40" spans="1:200" ht="15.6">
      <c r="A40" s="81">
        <f t="shared" si="83"/>
        <v>46042</v>
      </c>
      <c r="B40" s="82" t="str">
        <f t="shared" si="82"/>
        <v>Tue</v>
      </c>
      <c r="C40" s="75">
        <f t="shared" si="81"/>
        <v>5117</v>
      </c>
      <c r="D40" s="83">
        <f>'Payroll Verisma'!D22+'Payroll MRO'!D22</f>
        <v>0</v>
      </c>
      <c r="E40" s="83">
        <f>'Payroll Verisma'!E22+'Payroll MRO'!E22</f>
        <v>36</v>
      </c>
      <c r="F40" s="83">
        <f>'Payroll Verisma'!F22+'Payroll MRO'!F22</f>
        <v>0</v>
      </c>
      <c r="G40" s="83">
        <f>'Payroll Verisma'!G22+'Payroll MRO'!G22</f>
        <v>5</v>
      </c>
      <c r="H40" s="83">
        <f>'Payroll Verisma'!H22+'Payroll MRO'!H22</f>
        <v>5</v>
      </c>
      <c r="I40" s="83">
        <f>'Payroll Verisma'!I22+'Payroll MRO'!I22</f>
        <v>91</v>
      </c>
      <c r="J40" s="83">
        <f>'Payroll Verisma'!J22+'Payroll MRO'!J22</f>
        <v>0</v>
      </c>
      <c r="K40" s="83">
        <f>'Payroll Verisma'!K22+'Payroll MRO'!K22</f>
        <v>0</v>
      </c>
      <c r="L40" s="83">
        <f>'Payroll Verisma'!L22+'Payroll MRO'!L22</f>
        <v>0</v>
      </c>
      <c r="M40" s="83">
        <f>'Payroll Verisma'!M22+'Payroll MRO'!M22</f>
        <v>7</v>
      </c>
      <c r="N40" s="83">
        <f>'Payroll Verisma'!N22+'Payroll MRO'!N22</f>
        <v>46</v>
      </c>
      <c r="O40" s="83">
        <f>'Payroll Verisma'!O22+'Payroll MRO'!O22</f>
        <v>0</v>
      </c>
      <c r="P40" s="83">
        <f>'Payroll Verisma'!P22+'Payroll MRO'!P22</f>
        <v>20</v>
      </c>
      <c r="Q40" s="83">
        <f>'Payroll Verisma'!Q22+'Payroll MRO'!Q22</f>
        <v>19</v>
      </c>
      <c r="R40" s="83">
        <f>'Payroll Verisma'!R22+'Payroll MRO'!R22</f>
        <v>72</v>
      </c>
      <c r="S40" s="83">
        <f>'Payroll Verisma'!S22+'Payroll MRO'!S22</f>
        <v>51</v>
      </c>
      <c r="T40" s="83">
        <f>'Payroll Verisma'!T22+'Payroll MRO'!T22</f>
        <v>118</v>
      </c>
      <c r="U40" s="83">
        <f>'Payroll Verisma'!U22+'Payroll MRO'!U22</f>
        <v>14</v>
      </c>
      <c r="V40" s="83">
        <f>'Payroll Verisma'!V22+'Payroll MRO'!V22</f>
        <v>0</v>
      </c>
      <c r="W40" s="83">
        <f>'Payroll Verisma'!W22+'Payroll MRO'!W22</f>
        <v>0</v>
      </c>
      <c r="X40" s="83">
        <f>'Payroll Verisma'!X22+'Payroll MRO'!X22</f>
        <v>0</v>
      </c>
      <c r="Y40" s="83">
        <f>'Payroll Verisma'!Y22+'Payroll MRO'!Y22</f>
        <v>49</v>
      </c>
      <c r="Z40" s="83">
        <f>'Payroll Verisma'!Z22+'Payroll MRO'!Z22</f>
        <v>43</v>
      </c>
      <c r="AA40" s="83">
        <f>'Payroll Verisma'!AA22+'Payroll MRO'!AA22</f>
        <v>25</v>
      </c>
      <c r="AB40" s="83">
        <f>'Payroll Verisma'!AB22+'Payroll MRO'!AB22</f>
        <v>18</v>
      </c>
      <c r="AC40" s="83">
        <f>'Payroll Verisma'!AC22+'Payroll MRO'!AC22</f>
        <v>0</v>
      </c>
      <c r="AD40" s="83">
        <f>'Payroll Verisma'!AD22+'Payroll MRO'!AD22</f>
        <v>64</v>
      </c>
      <c r="AE40" s="83">
        <f>'Payroll Verisma'!AE22+'Payroll MRO'!AE22</f>
        <v>18</v>
      </c>
      <c r="AF40" s="83">
        <f>'Payroll Verisma'!AF22+'Payroll MRO'!AF22</f>
        <v>0</v>
      </c>
      <c r="AG40" s="83">
        <f>'Payroll Verisma'!AG22+'Payroll MRO'!AG22</f>
        <v>26</v>
      </c>
      <c r="AH40" s="83">
        <f>'Payroll Verisma'!AH22+'Payroll MRO'!AH22</f>
        <v>0</v>
      </c>
      <c r="AI40" s="83">
        <f>'Payroll Verisma'!AI22+'Payroll MRO'!AI22</f>
        <v>40</v>
      </c>
      <c r="AJ40" s="83">
        <f>'Payroll Verisma'!AJ22+'Payroll MRO'!AJ22</f>
        <v>0</v>
      </c>
      <c r="AK40" s="83">
        <f>'Payroll Verisma'!AK22+'Payroll MRO'!AK22</f>
        <v>0</v>
      </c>
      <c r="AL40" s="83">
        <f>'Payroll Verisma'!AL22+'Payroll MRO'!AL22</f>
        <v>0</v>
      </c>
      <c r="AM40" s="83">
        <f>'Payroll Verisma'!AM22+'Payroll MRO'!AM22</f>
        <v>0</v>
      </c>
      <c r="AN40" s="83">
        <f>'Payroll Verisma'!AN22+'Payroll MRO'!AN22</f>
        <v>20</v>
      </c>
      <c r="AO40" s="83">
        <f>'Payroll Verisma'!AO22+'Payroll MRO'!AO22</f>
        <v>0</v>
      </c>
      <c r="AP40" s="83">
        <f>'Payroll Verisma'!AP22+'Payroll MRO'!AP22</f>
        <v>9</v>
      </c>
      <c r="AQ40" s="83">
        <f>'Payroll Verisma'!AQ22+'Payroll MRO'!AQ22</f>
        <v>9</v>
      </c>
      <c r="AR40" s="83">
        <f>'Payroll Verisma'!AR22+'Payroll MRO'!AR22</f>
        <v>1</v>
      </c>
      <c r="AS40" s="83">
        <f>'Payroll Verisma'!AS22+'Payroll MRO'!AS22</f>
        <v>0</v>
      </c>
      <c r="AT40" s="83">
        <f>'Payroll Verisma'!AT22+'Payroll MRO'!AT22</f>
        <v>57</v>
      </c>
      <c r="AU40" s="83">
        <f>'Payroll Verisma'!AU22+'Payroll MRO'!AU22</f>
        <v>0</v>
      </c>
      <c r="AV40" s="83">
        <f>'Payroll Verisma'!AV22+'Payroll MRO'!AV22</f>
        <v>0</v>
      </c>
      <c r="AW40" s="83">
        <f>'Payroll Verisma'!AW22+'Payroll MRO'!AW22</f>
        <v>47</v>
      </c>
      <c r="AX40" s="83">
        <f>'Payroll Verisma'!AX22+'Payroll MRO'!AX22</f>
        <v>68</v>
      </c>
      <c r="AY40" s="83">
        <f>'Payroll Verisma'!AY22+'Payroll MRO'!AY22</f>
        <v>0</v>
      </c>
      <c r="AZ40" s="83">
        <f>'Payroll Verisma'!AZ22+'Payroll MRO'!AZ22</f>
        <v>8</v>
      </c>
      <c r="BA40" s="83">
        <f>'Payroll Verisma'!BA22+'Payroll MRO'!BA22</f>
        <v>52</v>
      </c>
      <c r="BB40" s="83">
        <f>'Payroll Verisma'!BB22+'Payroll MRO'!BB22</f>
        <v>39</v>
      </c>
      <c r="BC40" s="83">
        <f>'Payroll Verisma'!BC22+'Payroll MRO'!BC22</f>
        <v>25</v>
      </c>
      <c r="BD40" s="83">
        <f>'Payroll Verisma'!BD22+'Payroll MRO'!BD22</f>
        <v>84</v>
      </c>
      <c r="BE40" s="83">
        <f>'Payroll Verisma'!BE22+'Payroll MRO'!BE22</f>
        <v>36</v>
      </c>
      <c r="BF40" s="83">
        <f>'Payroll Verisma'!BF22+'Payroll MRO'!BF22</f>
        <v>0</v>
      </c>
      <c r="BG40" s="83">
        <f>'Payroll Verisma'!BG22+'Payroll MRO'!BG22</f>
        <v>25</v>
      </c>
      <c r="BH40" s="83">
        <f>'Payroll Verisma'!BH22+'Payroll MRO'!BH22</f>
        <v>0</v>
      </c>
      <c r="BI40" s="83">
        <f>'Payroll Verisma'!BI22+'Payroll MRO'!BI22</f>
        <v>60</v>
      </c>
      <c r="BJ40" s="83">
        <f>'Payroll Verisma'!BJ22+'Payroll MRO'!BJ22</f>
        <v>15</v>
      </c>
      <c r="BK40" s="83">
        <f>'Payroll Verisma'!BK22+'Payroll MRO'!BK22</f>
        <v>0</v>
      </c>
      <c r="BL40" s="83">
        <f>'Payroll Verisma'!BL22+'Payroll MRO'!BL22</f>
        <v>58</v>
      </c>
      <c r="BM40" s="83">
        <f>'Payroll Verisma'!BM22+'Payroll MRO'!BM22</f>
        <v>0</v>
      </c>
      <c r="BN40" s="83">
        <f>'Payroll Verisma'!BN22+'Payroll MRO'!BN22</f>
        <v>31</v>
      </c>
      <c r="BO40" s="83">
        <f>'Payroll Verisma'!BO22+'Payroll MRO'!BO22</f>
        <v>24</v>
      </c>
      <c r="BP40" s="83">
        <f>'Payroll Verisma'!BP22+'Payroll MRO'!BP22</f>
        <v>0</v>
      </c>
      <c r="BQ40" s="83">
        <f>'Payroll Verisma'!BQ22+'Payroll MRO'!BQ22</f>
        <v>35</v>
      </c>
      <c r="BR40" s="83">
        <f>'Payroll Verisma'!BR22+'Payroll MRO'!BR22</f>
        <v>0</v>
      </c>
      <c r="BS40" s="83">
        <f>'Payroll Verisma'!BS22+'Payroll MRO'!BS22</f>
        <v>0</v>
      </c>
      <c r="BT40" s="83">
        <f>'Payroll Verisma'!BT22+'Payroll MRO'!BT22</f>
        <v>0</v>
      </c>
      <c r="BU40" s="83">
        <f>'Payroll Verisma'!BU22+'Payroll MRO'!BU22</f>
        <v>62</v>
      </c>
      <c r="BV40" s="83">
        <f>'Payroll Verisma'!BV22+'Payroll MRO'!BV22</f>
        <v>19</v>
      </c>
      <c r="BW40" s="83">
        <f>'Payroll Verisma'!BW22+'Payroll MRO'!BW22</f>
        <v>51</v>
      </c>
      <c r="BX40" s="83">
        <f>'Payroll Verisma'!BX22+'Payroll MRO'!BX22</f>
        <v>0</v>
      </c>
      <c r="BY40" s="83">
        <f>'Payroll Verisma'!BY22+'Payroll MRO'!BY22</f>
        <v>0</v>
      </c>
      <c r="BZ40" s="83">
        <f>'Payroll Verisma'!BZ22+'Payroll MRO'!BZ22</f>
        <v>7</v>
      </c>
      <c r="CA40" s="83">
        <f>'Payroll Verisma'!CA22+'Payroll MRO'!CA22</f>
        <v>50</v>
      </c>
      <c r="CB40" s="83">
        <f>'Payroll Verisma'!CB22+'Payroll MRO'!CB22</f>
        <v>53</v>
      </c>
      <c r="CC40" s="83">
        <f>'Payroll Verisma'!CC22+'Payroll MRO'!CC22</f>
        <v>30</v>
      </c>
      <c r="CD40" s="83">
        <f>'Payroll Verisma'!CD22+'Payroll MRO'!CD22</f>
        <v>81</v>
      </c>
      <c r="CE40" s="83">
        <f>'Payroll Verisma'!CE22+'Payroll MRO'!CE22</f>
        <v>0</v>
      </c>
      <c r="CF40" s="83">
        <f>'Payroll Verisma'!CF22+'Payroll MRO'!CF22</f>
        <v>6</v>
      </c>
      <c r="CG40" s="83">
        <f>'Payroll Verisma'!CG22+'Payroll MRO'!CG22</f>
        <v>0</v>
      </c>
      <c r="CH40" s="83">
        <f>'Payroll Verisma'!CH22+'Payroll MRO'!CH22</f>
        <v>59</v>
      </c>
      <c r="CI40" s="83">
        <f>'Payroll Verisma'!CI22+'Payroll MRO'!CI22</f>
        <v>0</v>
      </c>
      <c r="CJ40" s="83">
        <f>'Payroll Verisma'!CJ22+'Payroll MRO'!CJ22</f>
        <v>156</v>
      </c>
      <c r="CK40" s="83">
        <f>'Payroll Verisma'!CK22+'Payroll MRO'!CK22</f>
        <v>0</v>
      </c>
      <c r="CL40" s="83">
        <f>'Payroll Verisma'!CL22+'Payroll MRO'!CL22</f>
        <v>38</v>
      </c>
      <c r="CM40" s="83">
        <f>'Payroll Verisma'!CM22+'Payroll MRO'!CM22</f>
        <v>0</v>
      </c>
      <c r="CN40" s="83">
        <f>'Payroll Verisma'!CN22+'Payroll MRO'!CN22</f>
        <v>53</v>
      </c>
      <c r="CO40" s="83">
        <f>'Payroll Verisma'!CO22+'Payroll MRO'!CO22</f>
        <v>0</v>
      </c>
      <c r="CP40" s="83">
        <f>'Payroll Verisma'!CP22+'Payroll MRO'!CP22</f>
        <v>65</v>
      </c>
      <c r="CQ40" s="83">
        <f>'Payroll Verisma'!CQ22+'Payroll MRO'!CQ22</f>
        <v>0</v>
      </c>
      <c r="CR40" s="83">
        <f>'Payroll Verisma'!CR22+'Payroll MRO'!CR22</f>
        <v>30</v>
      </c>
      <c r="CS40" s="83">
        <f>'Payroll Verisma'!CS22+'Payroll MRO'!CS22</f>
        <v>0</v>
      </c>
      <c r="CT40" s="83">
        <f>'Payroll Verisma'!CT22+'Payroll MRO'!CT22</f>
        <v>22</v>
      </c>
      <c r="CU40" s="83">
        <f>'Payroll Verisma'!CU22+'Payroll MRO'!CU22</f>
        <v>0</v>
      </c>
      <c r="CV40" s="83">
        <f>'Payroll Verisma'!CV22+'Payroll MRO'!CV22</f>
        <v>16</v>
      </c>
      <c r="CW40" s="83">
        <f>'Payroll Verisma'!CW22+'Payroll MRO'!CW22</f>
        <v>0</v>
      </c>
      <c r="CX40" s="83">
        <f>'Payroll Verisma'!CX22+'Payroll MRO'!CX22</f>
        <v>0</v>
      </c>
      <c r="CY40" s="83">
        <f>'Payroll Verisma'!CY22+'Payroll MRO'!CY22</f>
        <v>31</v>
      </c>
      <c r="CZ40" s="83">
        <f>'Payroll Verisma'!CZ22+'Payroll MRO'!CZ22</f>
        <v>47</v>
      </c>
      <c r="DA40" s="83">
        <f>'Payroll Verisma'!DA22+'Payroll MRO'!DA22</f>
        <v>33</v>
      </c>
      <c r="DB40" s="83">
        <f>'Payroll Verisma'!DB22+'Payroll MRO'!DB22</f>
        <v>0</v>
      </c>
      <c r="DC40" s="83">
        <f>'Payroll Verisma'!DC22+'Payroll MRO'!DC22</f>
        <v>0</v>
      </c>
      <c r="DD40" s="83">
        <f>'Payroll Verisma'!DD22+'Payroll MRO'!DD22</f>
        <v>40</v>
      </c>
      <c r="DE40" s="83">
        <f>'Payroll Verisma'!DE22+'Payroll MRO'!DE22</f>
        <v>13</v>
      </c>
      <c r="DF40" s="83">
        <f>'Payroll Verisma'!DF22+'Payroll MRO'!DF22</f>
        <v>0</v>
      </c>
      <c r="DG40" s="83">
        <f>'Payroll Verisma'!DG22+'Payroll MRO'!DG22</f>
        <v>55</v>
      </c>
      <c r="DH40" s="83">
        <f>'Payroll Verisma'!DH22+'Payroll MRO'!DH22</f>
        <v>23</v>
      </c>
      <c r="DI40" s="83">
        <f>'Payroll Verisma'!DI22+'Payroll MRO'!DI22</f>
        <v>76</v>
      </c>
      <c r="DJ40" s="83">
        <f>'Payroll Verisma'!DJ22+'Payroll MRO'!DJ22</f>
        <v>0</v>
      </c>
      <c r="DK40" s="83">
        <f>'Payroll Verisma'!DK22+'Payroll MRO'!DK22</f>
        <v>67</v>
      </c>
      <c r="DL40" s="83">
        <f>'Payroll Verisma'!DL22+'Payroll MRO'!DL22</f>
        <v>0</v>
      </c>
      <c r="DM40" s="83">
        <f>'Payroll Verisma'!DM22+'Payroll MRO'!DM22</f>
        <v>0</v>
      </c>
      <c r="DN40" s="83">
        <f>'Payroll Verisma'!DN22+'Payroll MRO'!DN22</f>
        <v>91</v>
      </c>
      <c r="DO40" s="83">
        <f>'Payroll Verisma'!DO22+'Payroll MRO'!DO22</f>
        <v>24</v>
      </c>
      <c r="DP40" s="83">
        <f>'Payroll Verisma'!DP22+'Payroll MRO'!DP22</f>
        <v>31</v>
      </c>
      <c r="DQ40" s="83">
        <f>'Payroll Verisma'!DQ22+'Payroll MRO'!DQ22</f>
        <v>18</v>
      </c>
      <c r="DR40" s="83">
        <f>'Payroll Verisma'!DR22+'Payroll MRO'!DR22</f>
        <v>48</v>
      </c>
      <c r="DS40" s="83">
        <f>'Payroll Verisma'!DS22+'Payroll MRO'!DS22</f>
        <v>37</v>
      </c>
      <c r="DT40" s="83">
        <f>'Payroll Verisma'!DT22+'Payroll MRO'!DT22</f>
        <v>74</v>
      </c>
      <c r="DU40" s="83">
        <f>'Payroll Verisma'!DU22+'Payroll MRO'!DU22</f>
        <v>13</v>
      </c>
      <c r="DV40" s="83">
        <f>'Payroll Verisma'!DV22+'Payroll MRO'!DV22</f>
        <v>12</v>
      </c>
      <c r="DW40" s="83">
        <f>'Payroll Verisma'!DW22+'Payroll MRO'!DW22</f>
        <v>0</v>
      </c>
      <c r="DX40" s="83">
        <f>'Payroll Verisma'!DX22+'Payroll MRO'!DX22</f>
        <v>56</v>
      </c>
      <c r="DY40" s="83">
        <f>'Payroll Verisma'!DY22+'Payroll MRO'!DY22</f>
        <v>49</v>
      </c>
      <c r="DZ40" s="83">
        <f>'Payroll Verisma'!DZ22+'Payroll MRO'!DZ22</f>
        <v>0</v>
      </c>
      <c r="EA40" s="83">
        <f>'Payroll Verisma'!EA22+'Payroll MRO'!EA22</f>
        <v>0</v>
      </c>
      <c r="EB40" s="83">
        <f>'Payroll Verisma'!EB22+'Payroll MRO'!EB22</f>
        <v>40</v>
      </c>
      <c r="EC40" s="83">
        <f>'Payroll Verisma'!EC22+'Payroll MRO'!EC22</f>
        <v>0</v>
      </c>
      <c r="ED40" s="83">
        <f>'Payroll Verisma'!ED22+'Payroll MRO'!ED22</f>
        <v>93</v>
      </c>
      <c r="EE40" s="83">
        <f>'Payroll Verisma'!EE22+'Payroll MRO'!EE22</f>
        <v>27</v>
      </c>
      <c r="EF40" s="83">
        <f>'Payroll Verisma'!EF22+'Payroll MRO'!EF22</f>
        <v>69</v>
      </c>
      <c r="EG40" s="83">
        <f>'Payroll Verisma'!EG22+'Payroll MRO'!EG22</f>
        <v>0</v>
      </c>
      <c r="EH40" s="83">
        <f>'Payroll Verisma'!EH22+'Payroll MRO'!EH22</f>
        <v>13</v>
      </c>
      <c r="EI40" s="83">
        <f>'Payroll Verisma'!EI22+'Payroll MRO'!EI22</f>
        <v>0</v>
      </c>
      <c r="EJ40" s="83">
        <f>'Payroll Verisma'!EJ22+'Payroll MRO'!EJ22</f>
        <v>44</v>
      </c>
      <c r="EK40" s="83">
        <f>'Payroll Verisma'!EK22+'Payroll MRO'!EK22</f>
        <v>42</v>
      </c>
      <c r="EL40" s="83">
        <f>'Payroll Verisma'!EL22+'Payroll MRO'!EL22</f>
        <v>12</v>
      </c>
      <c r="EM40" s="83">
        <f>'Payroll Verisma'!EM22+'Payroll MRO'!EM22</f>
        <v>30</v>
      </c>
      <c r="EN40" s="83">
        <f>'Payroll Verisma'!EN22+'Payroll MRO'!EN22</f>
        <v>115</v>
      </c>
      <c r="EO40" s="83">
        <f>'Payroll Verisma'!EO22+'Payroll MRO'!EO22</f>
        <v>54</v>
      </c>
      <c r="EP40" s="83">
        <f>'Payroll Verisma'!EP22+'Payroll MRO'!EP22</f>
        <v>32</v>
      </c>
      <c r="EQ40" s="83">
        <f>'Payroll Verisma'!EQ22+'Payroll MRO'!EQ22</f>
        <v>15</v>
      </c>
      <c r="ER40" s="83">
        <f>'Payroll Verisma'!ER22+'Payroll MRO'!ER22</f>
        <v>15</v>
      </c>
      <c r="ES40" s="83">
        <f>'Payroll Verisma'!ES22+'Payroll MRO'!ES22</f>
        <v>16</v>
      </c>
      <c r="ET40" s="83">
        <f>'Payroll Verisma'!ET22+'Payroll MRO'!ET22</f>
        <v>0</v>
      </c>
      <c r="EU40" s="83">
        <f>'Payroll Verisma'!EU22+'Payroll MRO'!EU22</f>
        <v>51</v>
      </c>
      <c r="EV40" s="83">
        <f>'Payroll Verisma'!EV22+'Payroll MRO'!EV22</f>
        <v>95</v>
      </c>
      <c r="EW40" s="83">
        <f>'Payroll Verisma'!EW22+'Payroll MRO'!EW22</f>
        <v>18</v>
      </c>
      <c r="EX40" s="83">
        <f>'Payroll Verisma'!EX22+'Payroll MRO'!EX22</f>
        <v>37</v>
      </c>
      <c r="EY40" s="83">
        <f>'Payroll Verisma'!EY22+'Payroll MRO'!EY22</f>
        <v>34</v>
      </c>
      <c r="EZ40" s="83">
        <f>'Payroll Verisma'!EZ22+'Payroll MRO'!EZ22</f>
        <v>33</v>
      </c>
      <c r="FA40" s="83">
        <f>'Payroll Verisma'!FA22+'Payroll MRO'!FA22</f>
        <v>0</v>
      </c>
      <c r="FB40" s="83">
        <f>'Payroll Verisma'!FB22+'Payroll MRO'!FB22</f>
        <v>28</v>
      </c>
      <c r="FC40" s="83">
        <f>'Payroll Verisma'!FC22+'Payroll MRO'!FC22</f>
        <v>0</v>
      </c>
      <c r="FD40" s="83">
        <f>'Payroll Verisma'!FD22+'Payroll MRO'!FD22</f>
        <v>0</v>
      </c>
      <c r="FE40" s="83">
        <f>'Payroll Verisma'!FE22+'Payroll MRO'!FE22</f>
        <v>0</v>
      </c>
      <c r="FF40" s="83">
        <f>'Payroll Verisma'!FF22+'Payroll MRO'!FF22</f>
        <v>26</v>
      </c>
      <c r="FG40" s="83">
        <f>'Payroll Verisma'!FG22+'Payroll MRO'!FG22</f>
        <v>0</v>
      </c>
      <c r="FH40" s="83">
        <f>'Payroll Verisma'!FH22+'Payroll MRO'!FH22</f>
        <v>143</v>
      </c>
      <c r="FI40" s="83">
        <f>'Payroll Verisma'!FI22+'Payroll MRO'!FI22</f>
        <v>47</v>
      </c>
      <c r="FJ40" s="83">
        <f>'Payroll Verisma'!FJ22+'Payroll MRO'!FJ22</f>
        <v>0</v>
      </c>
      <c r="FK40" s="83">
        <f>'Payroll Verisma'!FK22+'Payroll MRO'!FK22</f>
        <v>33</v>
      </c>
      <c r="FL40" s="83">
        <f>'Payroll Verisma'!FL22+'Payroll MRO'!FL22</f>
        <v>0</v>
      </c>
      <c r="FM40" s="83">
        <f>'Payroll Verisma'!FM22+'Payroll MRO'!FM22</f>
        <v>14</v>
      </c>
      <c r="FN40" s="83">
        <f>'Payroll Verisma'!FN22+'Payroll MRO'!FN22</f>
        <v>0</v>
      </c>
      <c r="FO40" s="83">
        <f>'Payroll Verisma'!FO22+'Payroll MRO'!FO22</f>
        <v>60</v>
      </c>
      <c r="FP40" s="83">
        <f>'Payroll Verisma'!FP22+'Payroll MRO'!FP22</f>
        <v>40</v>
      </c>
      <c r="FQ40" s="83">
        <f>'Payroll Verisma'!FQ22+'Payroll MRO'!FQ22</f>
        <v>82</v>
      </c>
      <c r="FR40" s="83">
        <f>'Payroll Verisma'!FR22+'Payroll MRO'!FR22</f>
        <v>0</v>
      </c>
      <c r="FS40" s="83">
        <f>'Payroll Verisma'!FS22+'Payroll MRO'!FS22</f>
        <v>76</v>
      </c>
      <c r="FT40" s="83">
        <f>'Payroll Verisma'!FT22+'Payroll MRO'!FT22</f>
        <v>57</v>
      </c>
      <c r="FU40" s="83">
        <f>'Payroll Verisma'!FU22+'Payroll MRO'!FU22</f>
        <v>0</v>
      </c>
      <c r="FV40" s="83">
        <f>'Payroll Verisma'!FV22+'Payroll MRO'!FV22</f>
        <v>0</v>
      </c>
      <c r="FW40" s="83">
        <f>'Payroll Verisma'!FW22+'Payroll MRO'!FW22</f>
        <v>0</v>
      </c>
      <c r="FX40" s="83">
        <f>'Payroll Verisma'!FX22+'Payroll MRO'!FX22</f>
        <v>0</v>
      </c>
      <c r="FY40" s="83">
        <f>'Payroll Verisma'!FY22+'Payroll MRO'!FY22</f>
        <v>32</v>
      </c>
      <c r="FZ40" s="83">
        <f>'Payroll Verisma'!FZ22+'Payroll MRO'!FZ22</f>
        <v>56</v>
      </c>
      <c r="GA40" s="83">
        <f>'Payroll Verisma'!GA22+'Payroll MRO'!GA22</f>
        <v>0</v>
      </c>
      <c r="GB40" s="83">
        <f>'Payroll Verisma'!GB22+'Payroll MRO'!GB22</f>
        <v>1</v>
      </c>
      <c r="GC40" s="83">
        <f>'Payroll Verisma'!GC22+'Payroll MRO'!GC22</f>
        <v>0</v>
      </c>
      <c r="GD40" s="83">
        <f>'Payroll Verisma'!GD22+'Payroll MRO'!GD22</f>
        <v>44</v>
      </c>
      <c r="GE40" s="83">
        <f>'Payroll Verisma'!GE22+'Payroll MRO'!GE22</f>
        <v>20</v>
      </c>
      <c r="GF40" s="83">
        <f>'Payroll Verisma'!GF22+'Payroll MRO'!GF22</f>
        <v>47</v>
      </c>
      <c r="GG40" s="83">
        <f>'Payroll Verisma'!GG22+'Payroll MRO'!GG22</f>
        <v>0</v>
      </c>
      <c r="GH40" s="83">
        <f>'Payroll Verisma'!GH22+'Payroll MRO'!GH22</f>
        <v>5</v>
      </c>
      <c r="GI40" s="83">
        <f>'Payroll Verisma'!GI22+'Payroll MRO'!GI22</f>
        <v>0</v>
      </c>
      <c r="GJ40" s="83">
        <f>'Payroll Verisma'!GJ22+'Payroll MRO'!GJ22</f>
        <v>69</v>
      </c>
      <c r="GK40" s="83">
        <f>'Payroll Verisma'!GK22+'Payroll MRO'!GK22</f>
        <v>60</v>
      </c>
      <c r="GL40" s="83">
        <f>'Payroll Verisma'!GL22+'Payroll MRO'!GL22</f>
        <v>10</v>
      </c>
      <c r="GM40" s="83">
        <f>'Payroll Verisma'!GM22+'Payroll MRO'!GM22</f>
        <v>61</v>
      </c>
      <c r="GN40" s="83">
        <f>'Payroll Verisma'!GN22+'Payroll MRO'!GN22</f>
        <v>33</v>
      </c>
      <c r="GO40" s="83">
        <f>'Payroll Verisma'!GO22+'Payroll MRO'!GO22</f>
        <v>55</v>
      </c>
      <c r="GP40" s="83">
        <f>'Payroll Verisma'!GP22+'Payroll MRO'!GP22</f>
        <v>0</v>
      </c>
      <c r="GQ40" s="83">
        <f>'Payroll Verisma'!GQ22+'Payroll MRO'!GQ22</f>
        <v>0</v>
      </c>
      <c r="GR40" s="83">
        <f>'Payroll Verisma'!GR22+'Payroll MRO'!GR22</f>
        <v>27</v>
      </c>
    </row>
    <row r="41" spans="1:200" ht="15.6">
      <c r="A41" s="81">
        <f t="shared" si="83"/>
        <v>46043</v>
      </c>
      <c r="B41" s="82" t="str">
        <f t="shared" si="82"/>
        <v>Wed</v>
      </c>
      <c r="C41" s="75">
        <f t="shared" si="81"/>
        <v>5652</v>
      </c>
      <c r="D41" s="83">
        <f>'Payroll Verisma'!D23+'Payroll MRO'!D23</f>
        <v>0</v>
      </c>
      <c r="E41" s="83">
        <f>'Payroll Verisma'!E23+'Payroll MRO'!E23</f>
        <v>76</v>
      </c>
      <c r="F41" s="83">
        <f>'Payroll Verisma'!F23+'Payroll MRO'!F23</f>
        <v>0</v>
      </c>
      <c r="G41" s="83">
        <f>'Payroll Verisma'!G23+'Payroll MRO'!G23</f>
        <v>0</v>
      </c>
      <c r="H41" s="83">
        <f>'Payroll Verisma'!H23+'Payroll MRO'!H23</f>
        <v>20</v>
      </c>
      <c r="I41" s="83">
        <f>'Payroll Verisma'!I23+'Payroll MRO'!I23</f>
        <v>90</v>
      </c>
      <c r="J41" s="83">
        <f>'Payroll Verisma'!J23+'Payroll MRO'!J23</f>
        <v>0</v>
      </c>
      <c r="K41" s="83">
        <f>'Payroll Verisma'!K23+'Payroll MRO'!K23</f>
        <v>0</v>
      </c>
      <c r="L41" s="83">
        <f>'Payroll Verisma'!L23+'Payroll MRO'!L23</f>
        <v>0</v>
      </c>
      <c r="M41" s="83">
        <f>'Payroll Verisma'!M23+'Payroll MRO'!M23</f>
        <v>22</v>
      </c>
      <c r="N41" s="83">
        <f>'Payroll Verisma'!N23+'Payroll MRO'!N23</f>
        <v>52</v>
      </c>
      <c r="O41" s="83">
        <f>'Payroll Verisma'!O23+'Payroll MRO'!O23</f>
        <v>0</v>
      </c>
      <c r="P41" s="83">
        <f>'Payroll Verisma'!P23+'Payroll MRO'!P23</f>
        <v>29</v>
      </c>
      <c r="Q41" s="83">
        <f>'Payroll Verisma'!Q23+'Payroll MRO'!Q23</f>
        <v>26</v>
      </c>
      <c r="R41" s="83">
        <f>'Payroll Verisma'!R23+'Payroll MRO'!R23</f>
        <v>119</v>
      </c>
      <c r="S41" s="83">
        <f>'Payroll Verisma'!S23+'Payroll MRO'!S23</f>
        <v>44</v>
      </c>
      <c r="T41" s="83">
        <f>'Payroll Verisma'!T23+'Payroll MRO'!T23</f>
        <v>160</v>
      </c>
      <c r="U41" s="83">
        <f>'Payroll Verisma'!U23+'Payroll MRO'!U23</f>
        <v>29</v>
      </c>
      <c r="V41" s="83">
        <f>'Payroll Verisma'!V23+'Payroll MRO'!V23</f>
        <v>0</v>
      </c>
      <c r="W41" s="83">
        <f>'Payroll Verisma'!W23+'Payroll MRO'!W23</f>
        <v>0</v>
      </c>
      <c r="X41" s="83">
        <f>'Payroll Verisma'!X23+'Payroll MRO'!X23</f>
        <v>0</v>
      </c>
      <c r="Y41" s="83">
        <f>'Payroll Verisma'!Y23+'Payroll MRO'!Y23</f>
        <v>80</v>
      </c>
      <c r="Z41" s="83">
        <f>'Payroll Verisma'!Z23+'Payroll MRO'!Z23</f>
        <v>47</v>
      </c>
      <c r="AA41" s="83">
        <f>'Payroll Verisma'!AA23+'Payroll MRO'!AA23</f>
        <v>14</v>
      </c>
      <c r="AB41" s="83">
        <f>'Payroll Verisma'!AB23+'Payroll MRO'!AB23</f>
        <v>29</v>
      </c>
      <c r="AC41" s="83">
        <f>'Payroll Verisma'!AC23+'Payroll MRO'!AC23</f>
        <v>0</v>
      </c>
      <c r="AD41" s="83">
        <f>'Payroll Verisma'!AD23+'Payroll MRO'!AD23</f>
        <v>31</v>
      </c>
      <c r="AE41" s="83">
        <f>'Payroll Verisma'!AE23+'Payroll MRO'!AE23</f>
        <v>4</v>
      </c>
      <c r="AF41" s="83">
        <f>'Payroll Verisma'!AF23+'Payroll MRO'!AF23</f>
        <v>0</v>
      </c>
      <c r="AG41" s="83">
        <f>'Payroll Verisma'!AG23+'Payroll MRO'!AG23</f>
        <v>0</v>
      </c>
      <c r="AH41" s="83">
        <f>'Payroll Verisma'!AH23+'Payroll MRO'!AH23</f>
        <v>0</v>
      </c>
      <c r="AI41" s="83">
        <f>'Payroll Verisma'!AI23+'Payroll MRO'!AI23</f>
        <v>37</v>
      </c>
      <c r="AJ41" s="83">
        <f>'Payroll Verisma'!AJ23+'Payroll MRO'!AJ23</f>
        <v>0</v>
      </c>
      <c r="AK41" s="83">
        <f>'Payroll Verisma'!AK23+'Payroll MRO'!AK23</f>
        <v>0</v>
      </c>
      <c r="AL41" s="83">
        <f>'Payroll Verisma'!AL23+'Payroll MRO'!AL23</f>
        <v>0</v>
      </c>
      <c r="AM41" s="83">
        <f>'Payroll Verisma'!AM23+'Payroll MRO'!AM23</f>
        <v>0</v>
      </c>
      <c r="AN41" s="83">
        <f>'Payroll Verisma'!AN23+'Payroll MRO'!AN23</f>
        <v>0</v>
      </c>
      <c r="AO41" s="83">
        <f>'Payroll Verisma'!AO23+'Payroll MRO'!AO23</f>
        <v>0</v>
      </c>
      <c r="AP41" s="83">
        <f>'Payroll Verisma'!AP23+'Payroll MRO'!AP23</f>
        <v>20</v>
      </c>
      <c r="AQ41" s="83">
        <f>'Payroll Verisma'!AQ23+'Payroll MRO'!AQ23</f>
        <v>0</v>
      </c>
      <c r="AR41" s="83">
        <f>'Payroll Verisma'!AR23+'Payroll MRO'!AR23</f>
        <v>14</v>
      </c>
      <c r="AS41" s="83">
        <f>'Payroll Verisma'!AS23+'Payroll MRO'!AS23</f>
        <v>0</v>
      </c>
      <c r="AT41" s="83">
        <f>'Payroll Verisma'!AT23+'Payroll MRO'!AT23</f>
        <v>27</v>
      </c>
      <c r="AU41" s="83">
        <f>'Payroll Verisma'!AU23+'Payroll MRO'!AU23</f>
        <v>0</v>
      </c>
      <c r="AV41" s="83">
        <f>'Payroll Verisma'!AV23+'Payroll MRO'!AV23</f>
        <v>0</v>
      </c>
      <c r="AW41" s="83">
        <f>'Payroll Verisma'!AW23+'Payroll MRO'!AW23</f>
        <v>46</v>
      </c>
      <c r="AX41" s="83">
        <f>'Payroll Verisma'!AX23+'Payroll MRO'!AX23</f>
        <v>28</v>
      </c>
      <c r="AY41" s="83">
        <f>'Payroll Verisma'!AY23+'Payroll MRO'!AY23</f>
        <v>0</v>
      </c>
      <c r="AZ41" s="83">
        <f>'Payroll Verisma'!AZ23+'Payroll MRO'!AZ23</f>
        <v>1</v>
      </c>
      <c r="BA41" s="83">
        <f>'Payroll Verisma'!BA23+'Payroll MRO'!BA23</f>
        <v>61</v>
      </c>
      <c r="BB41" s="83">
        <f>'Payroll Verisma'!BB23+'Payroll MRO'!BB23</f>
        <v>78</v>
      </c>
      <c r="BC41" s="83">
        <f>'Payroll Verisma'!BC23+'Payroll MRO'!BC23</f>
        <v>15</v>
      </c>
      <c r="BD41" s="83">
        <f>'Payroll Verisma'!BD23+'Payroll MRO'!BD23</f>
        <v>69</v>
      </c>
      <c r="BE41" s="83">
        <f>'Payroll Verisma'!BE23+'Payroll MRO'!BE23</f>
        <v>17</v>
      </c>
      <c r="BF41" s="83">
        <f>'Payroll Verisma'!BF23+'Payroll MRO'!BF23</f>
        <v>0</v>
      </c>
      <c r="BG41" s="83">
        <f>'Payroll Verisma'!BG23+'Payroll MRO'!BG23</f>
        <v>23</v>
      </c>
      <c r="BH41" s="83">
        <f>'Payroll Verisma'!BH23+'Payroll MRO'!BH23</f>
        <v>0</v>
      </c>
      <c r="BI41" s="83">
        <f>'Payroll Verisma'!BI23+'Payroll MRO'!BI23</f>
        <v>25</v>
      </c>
      <c r="BJ41" s="83">
        <f>'Payroll Verisma'!BJ23+'Payroll MRO'!BJ23</f>
        <v>21</v>
      </c>
      <c r="BK41" s="83">
        <f>'Payroll Verisma'!BK23+'Payroll MRO'!BK23</f>
        <v>0</v>
      </c>
      <c r="BL41" s="83">
        <f>'Payroll Verisma'!BL23+'Payroll MRO'!BL23</f>
        <v>35</v>
      </c>
      <c r="BM41" s="83">
        <f>'Payroll Verisma'!BM23+'Payroll MRO'!BM23</f>
        <v>0</v>
      </c>
      <c r="BN41" s="83">
        <f>'Payroll Verisma'!BN23+'Payroll MRO'!BN23</f>
        <v>39</v>
      </c>
      <c r="BO41" s="83">
        <f>'Payroll Verisma'!BO23+'Payroll MRO'!BO23</f>
        <v>35</v>
      </c>
      <c r="BP41" s="83">
        <f>'Payroll Verisma'!BP23+'Payroll MRO'!BP23</f>
        <v>0</v>
      </c>
      <c r="BQ41" s="83">
        <f>'Payroll Verisma'!BQ23+'Payroll MRO'!BQ23</f>
        <v>92</v>
      </c>
      <c r="BR41" s="83">
        <f>'Payroll Verisma'!BR23+'Payroll MRO'!BR23</f>
        <v>0</v>
      </c>
      <c r="BS41" s="83">
        <f>'Payroll Verisma'!BS23+'Payroll MRO'!BS23</f>
        <v>22</v>
      </c>
      <c r="BT41" s="83">
        <f>'Payroll Verisma'!BT23+'Payroll MRO'!BT23</f>
        <v>0</v>
      </c>
      <c r="BU41" s="83">
        <f>'Payroll Verisma'!BU23+'Payroll MRO'!BU23</f>
        <v>50</v>
      </c>
      <c r="BV41" s="83">
        <f>'Payroll Verisma'!BV23+'Payroll MRO'!BV23</f>
        <v>4</v>
      </c>
      <c r="BW41" s="83">
        <f>'Payroll Verisma'!BW23+'Payroll MRO'!BW23</f>
        <v>9</v>
      </c>
      <c r="BX41" s="83">
        <f>'Payroll Verisma'!BX23+'Payroll MRO'!BX23</f>
        <v>1</v>
      </c>
      <c r="BY41" s="83">
        <f>'Payroll Verisma'!BY23+'Payroll MRO'!BY23</f>
        <v>0</v>
      </c>
      <c r="BZ41" s="83">
        <f>'Payroll Verisma'!BZ23+'Payroll MRO'!BZ23</f>
        <v>177</v>
      </c>
      <c r="CA41" s="83">
        <f>'Payroll Verisma'!CA23+'Payroll MRO'!CA23</f>
        <v>73</v>
      </c>
      <c r="CB41" s="83">
        <f>'Payroll Verisma'!CB23+'Payroll MRO'!CB23</f>
        <v>56</v>
      </c>
      <c r="CC41" s="83">
        <f>'Payroll Verisma'!CC23+'Payroll MRO'!CC23</f>
        <v>40</v>
      </c>
      <c r="CD41" s="83">
        <f>'Payroll Verisma'!CD23+'Payroll MRO'!CD23</f>
        <v>77</v>
      </c>
      <c r="CE41" s="83">
        <f>'Payroll Verisma'!CE23+'Payroll MRO'!CE23</f>
        <v>0</v>
      </c>
      <c r="CF41" s="83">
        <f>'Payroll Verisma'!CF23+'Payroll MRO'!CF23</f>
        <v>7</v>
      </c>
      <c r="CG41" s="83">
        <f>'Payroll Verisma'!CG23+'Payroll MRO'!CG23</f>
        <v>0</v>
      </c>
      <c r="CH41" s="83">
        <f>'Payroll Verisma'!CH23+'Payroll MRO'!CH23</f>
        <v>82</v>
      </c>
      <c r="CI41" s="83">
        <f>'Payroll Verisma'!CI23+'Payroll MRO'!CI23</f>
        <v>0</v>
      </c>
      <c r="CJ41" s="83">
        <f>'Payroll Verisma'!CJ23+'Payroll MRO'!CJ23</f>
        <v>182</v>
      </c>
      <c r="CK41" s="83">
        <f>'Payroll Verisma'!CK23+'Payroll MRO'!CK23</f>
        <v>0</v>
      </c>
      <c r="CL41" s="83">
        <f>'Payroll Verisma'!CL23+'Payroll MRO'!CL23</f>
        <v>47</v>
      </c>
      <c r="CM41" s="83">
        <f>'Payroll Verisma'!CM23+'Payroll MRO'!CM23</f>
        <v>0</v>
      </c>
      <c r="CN41" s="83">
        <f>'Payroll Verisma'!CN23+'Payroll MRO'!CN23</f>
        <v>20</v>
      </c>
      <c r="CO41" s="83">
        <f>'Payroll Verisma'!CO23+'Payroll MRO'!CO23</f>
        <v>0</v>
      </c>
      <c r="CP41" s="83">
        <f>'Payroll Verisma'!CP23+'Payroll MRO'!CP23</f>
        <v>44</v>
      </c>
      <c r="CQ41" s="83">
        <f>'Payroll Verisma'!CQ23+'Payroll MRO'!CQ23</f>
        <v>0</v>
      </c>
      <c r="CR41" s="83">
        <f>'Payroll Verisma'!CR23+'Payroll MRO'!CR23</f>
        <v>34</v>
      </c>
      <c r="CS41" s="83">
        <f>'Payroll Verisma'!CS23+'Payroll MRO'!CS23</f>
        <v>0</v>
      </c>
      <c r="CT41" s="83">
        <f>'Payroll Verisma'!CT23+'Payroll MRO'!CT23</f>
        <v>34</v>
      </c>
      <c r="CU41" s="83">
        <f>'Payroll Verisma'!CU23+'Payroll MRO'!CU23</f>
        <v>100</v>
      </c>
      <c r="CV41" s="83">
        <f>'Payroll Verisma'!CV23+'Payroll MRO'!CV23</f>
        <v>24</v>
      </c>
      <c r="CW41" s="83">
        <f>'Payroll Verisma'!CW23+'Payroll MRO'!CW23</f>
        <v>0</v>
      </c>
      <c r="CX41" s="83">
        <f>'Payroll Verisma'!CX23+'Payroll MRO'!CX23</f>
        <v>0</v>
      </c>
      <c r="CY41" s="83">
        <f>'Payroll Verisma'!CY23+'Payroll MRO'!CY23</f>
        <v>62</v>
      </c>
      <c r="CZ41" s="83">
        <f>'Payroll Verisma'!CZ23+'Payroll MRO'!CZ23</f>
        <v>31</v>
      </c>
      <c r="DA41" s="83">
        <f>'Payroll Verisma'!DA23+'Payroll MRO'!DA23</f>
        <v>29</v>
      </c>
      <c r="DB41" s="83">
        <f>'Payroll Verisma'!DB23+'Payroll MRO'!DB23</f>
        <v>0</v>
      </c>
      <c r="DC41" s="83">
        <f>'Payroll Verisma'!DC23+'Payroll MRO'!DC23</f>
        <v>0</v>
      </c>
      <c r="DD41" s="83">
        <f>'Payroll Verisma'!DD23+'Payroll MRO'!DD23</f>
        <v>45</v>
      </c>
      <c r="DE41" s="83">
        <f>'Payroll Verisma'!DE23+'Payroll MRO'!DE23</f>
        <v>55</v>
      </c>
      <c r="DF41" s="83">
        <f>'Payroll Verisma'!DF23+'Payroll MRO'!DF23</f>
        <v>0</v>
      </c>
      <c r="DG41" s="83">
        <f>'Payroll Verisma'!DG23+'Payroll MRO'!DG23</f>
        <v>19</v>
      </c>
      <c r="DH41" s="83">
        <f>'Payroll Verisma'!DH23+'Payroll MRO'!DH23</f>
        <v>0</v>
      </c>
      <c r="DI41" s="83">
        <f>'Payroll Verisma'!DI23+'Payroll MRO'!DI23</f>
        <v>105</v>
      </c>
      <c r="DJ41" s="83">
        <f>'Payroll Verisma'!DJ23+'Payroll MRO'!DJ23</f>
        <v>0</v>
      </c>
      <c r="DK41" s="83">
        <f>'Payroll Verisma'!DK23+'Payroll MRO'!DK23</f>
        <v>135</v>
      </c>
      <c r="DL41" s="83">
        <f>'Payroll Verisma'!DL23+'Payroll MRO'!DL23</f>
        <v>0</v>
      </c>
      <c r="DM41" s="83">
        <f>'Payroll Verisma'!DM23+'Payroll MRO'!DM23</f>
        <v>12</v>
      </c>
      <c r="DN41" s="83">
        <f>'Payroll Verisma'!DN23+'Payroll MRO'!DN23</f>
        <v>50</v>
      </c>
      <c r="DO41" s="83">
        <f>'Payroll Verisma'!DO23+'Payroll MRO'!DO23</f>
        <v>30</v>
      </c>
      <c r="DP41" s="83">
        <f>'Payroll Verisma'!DP23+'Payroll MRO'!DP23</f>
        <v>4</v>
      </c>
      <c r="DQ41" s="83">
        <f>'Payroll Verisma'!DQ23+'Payroll MRO'!DQ23</f>
        <v>36</v>
      </c>
      <c r="DR41" s="83">
        <f>'Payroll Verisma'!DR23+'Payroll MRO'!DR23</f>
        <v>59</v>
      </c>
      <c r="DS41" s="83">
        <f>'Payroll Verisma'!DS23+'Payroll MRO'!DS23</f>
        <v>35</v>
      </c>
      <c r="DT41" s="83">
        <f>'Payroll Verisma'!DT23+'Payroll MRO'!DT23</f>
        <v>49</v>
      </c>
      <c r="DU41" s="83">
        <f>'Payroll Verisma'!DU23+'Payroll MRO'!DU23</f>
        <v>0</v>
      </c>
      <c r="DV41" s="83">
        <f>'Payroll Verisma'!DV23+'Payroll MRO'!DV23</f>
        <v>0</v>
      </c>
      <c r="DW41" s="83">
        <f>'Payroll Verisma'!DW23+'Payroll MRO'!DW23</f>
        <v>0</v>
      </c>
      <c r="DX41" s="83">
        <f>'Payroll Verisma'!DX23+'Payroll MRO'!DX23</f>
        <v>19</v>
      </c>
      <c r="DY41" s="83">
        <f>'Payroll Verisma'!DY23+'Payroll MRO'!DY23</f>
        <v>0</v>
      </c>
      <c r="DZ41" s="83">
        <f>'Payroll Verisma'!DZ23+'Payroll MRO'!DZ23</f>
        <v>0</v>
      </c>
      <c r="EA41" s="83">
        <f>'Payroll Verisma'!EA23+'Payroll MRO'!EA23</f>
        <v>0</v>
      </c>
      <c r="EB41" s="83">
        <f>'Payroll Verisma'!EB23+'Payroll MRO'!EB23</f>
        <v>46</v>
      </c>
      <c r="EC41" s="83">
        <f>'Payroll Verisma'!EC23+'Payroll MRO'!EC23</f>
        <v>0</v>
      </c>
      <c r="ED41" s="83">
        <f>'Payroll Verisma'!ED23+'Payroll MRO'!ED23</f>
        <v>87</v>
      </c>
      <c r="EE41" s="83">
        <f>'Payroll Verisma'!EE23+'Payroll MRO'!EE23</f>
        <v>10</v>
      </c>
      <c r="EF41" s="83">
        <f>'Payroll Verisma'!EF23+'Payroll MRO'!EF23</f>
        <v>72</v>
      </c>
      <c r="EG41" s="83">
        <f>'Payroll Verisma'!EG23+'Payroll MRO'!EG23</f>
        <v>0</v>
      </c>
      <c r="EH41" s="83">
        <f>'Payroll Verisma'!EH23+'Payroll MRO'!EH23</f>
        <v>20</v>
      </c>
      <c r="EI41" s="83">
        <f>'Payroll Verisma'!EI23+'Payroll MRO'!EI23</f>
        <v>48</v>
      </c>
      <c r="EJ41" s="83">
        <f>'Payroll Verisma'!EJ23+'Payroll MRO'!EJ23</f>
        <v>18</v>
      </c>
      <c r="EK41" s="83">
        <f>'Payroll Verisma'!EK23+'Payroll MRO'!EK23</f>
        <v>37</v>
      </c>
      <c r="EL41" s="83">
        <f>'Payroll Verisma'!EL23+'Payroll MRO'!EL23</f>
        <v>39</v>
      </c>
      <c r="EM41" s="83">
        <f>'Payroll Verisma'!EM23+'Payroll MRO'!EM23</f>
        <v>19</v>
      </c>
      <c r="EN41" s="83">
        <f>'Payroll Verisma'!EN23+'Payroll MRO'!EN23</f>
        <v>113</v>
      </c>
      <c r="EO41" s="83">
        <f>'Payroll Verisma'!EO23+'Payroll MRO'!EO23</f>
        <v>18</v>
      </c>
      <c r="EP41" s="83">
        <f>'Payroll Verisma'!EP23+'Payroll MRO'!EP23</f>
        <v>29</v>
      </c>
      <c r="EQ41" s="83">
        <f>'Payroll Verisma'!EQ23+'Payroll MRO'!EQ23</f>
        <v>10</v>
      </c>
      <c r="ER41" s="83">
        <f>'Payroll Verisma'!ER23+'Payroll MRO'!ER23</f>
        <v>33</v>
      </c>
      <c r="ES41" s="83">
        <f>'Payroll Verisma'!ES23+'Payroll MRO'!ES23</f>
        <v>15</v>
      </c>
      <c r="ET41" s="83">
        <f>'Payroll Verisma'!ET23+'Payroll MRO'!ET23</f>
        <v>219</v>
      </c>
      <c r="EU41" s="83">
        <f>'Payroll Verisma'!EU23+'Payroll MRO'!EU23</f>
        <v>41</v>
      </c>
      <c r="EV41" s="83">
        <f>'Payroll Verisma'!EV23+'Payroll MRO'!EV23</f>
        <v>45</v>
      </c>
      <c r="EW41" s="83">
        <f>'Payroll Verisma'!EW23+'Payroll MRO'!EW23</f>
        <v>3</v>
      </c>
      <c r="EX41" s="83">
        <f>'Payroll Verisma'!EX23+'Payroll MRO'!EX23</f>
        <v>26</v>
      </c>
      <c r="EY41" s="83">
        <f>'Payroll Verisma'!EY23+'Payroll MRO'!EY23</f>
        <v>25</v>
      </c>
      <c r="EZ41" s="83">
        <f>'Payroll Verisma'!EZ23+'Payroll MRO'!EZ23</f>
        <v>12</v>
      </c>
      <c r="FA41" s="83">
        <f>'Payroll Verisma'!FA23+'Payroll MRO'!FA23</f>
        <v>0</v>
      </c>
      <c r="FB41" s="83">
        <f>'Payroll Verisma'!FB23+'Payroll MRO'!FB23</f>
        <v>30</v>
      </c>
      <c r="FC41" s="83">
        <f>'Payroll Verisma'!FC23+'Payroll MRO'!FC23</f>
        <v>0</v>
      </c>
      <c r="FD41" s="83">
        <f>'Payroll Verisma'!FD23+'Payroll MRO'!FD23</f>
        <v>0</v>
      </c>
      <c r="FE41" s="83">
        <f>'Payroll Verisma'!FE23+'Payroll MRO'!FE23</f>
        <v>0</v>
      </c>
      <c r="FF41" s="83">
        <f>'Payroll Verisma'!FF23+'Payroll MRO'!FF23</f>
        <v>22</v>
      </c>
      <c r="FG41" s="83">
        <f>'Payroll Verisma'!FG23+'Payroll MRO'!FG23</f>
        <v>0</v>
      </c>
      <c r="FH41" s="83">
        <f>'Payroll Verisma'!FH23+'Payroll MRO'!FH23</f>
        <v>182</v>
      </c>
      <c r="FI41" s="83">
        <f>'Payroll Verisma'!FI23+'Payroll MRO'!FI23</f>
        <v>25</v>
      </c>
      <c r="FJ41" s="83">
        <f>'Payroll Verisma'!FJ23+'Payroll MRO'!FJ23</f>
        <v>0</v>
      </c>
      <c r="FK41" s="83">
        <f>'Payroll Verisma'!FK23+'Payroll MRO'!FK23</f>
        <v>32</v>
      </c>
      <c r="FL41" s="83">
        <f>'Payroll Verisma'!FL23+'Payroll MRO'!FL23</f>
        <v>0</v>
      </c>
      <c r="FM41" s="83">
        <f>'Payroll Verisma'!FM23+'Payroll MRO'!FM23</f>
        <v>12</v>
      </c>
      <c r="FN41" s="83">
        <f>'Payroll Verisma'!FN23+'Payroll MRO'!FN23</f>
        <v>17</v>
      </c>
      <c r="FO41" s="83">
        <f>'Payroll Verisma'!FO23+'Payroll MRO'!FO23</f>
        <v>31</v>
      </c>
      <c r="FP41" s="83">
        <f>'Payroll Verisma'!FP23+'Payroll MRO'!FP23</f>
        <v>45</v>
      </c>
      <c r="FQ41" s="83">
        <f>'Payroll Verisma'!FQ23+'Payroll MRO'!FQ23</f>
        <v>70</v>
      </c>
      <c r="FR41" s="83">
        <f>'Payroll Verisma'!FR23+'Payroll MRO'!FR23</f>
        <v>50</v>
      </c>
      <c r="FS41" s="83">
        <f>'Payroll Verisma'!FS23+'Payroll MRO'!FS23</f>
        <v>61</v>
      </c>
      <c r="FT41" s="83">
        <f>'Payroll Verisma'!FT23+'Payroll MRO'!FT23</f>
        <v>18</v>
      </c>
      <c r="FU41" s="83">
        <f>'Payroll Verisma'!FU23+'Payroll MRO'!FU23</f>
        <v>0</v>
      </c>
      <c r="FV41" s="83">
        <f>'Payroll Verisma'!FV23+'Payroll MRO'!FV23</f>
        <v>97</v>
      </c>
      <c r="FW41" s="83">
        <f>'Payroll Verisma'!FW23+'Payroll MRO'!FW23</f>
        <v>0</v>
      </c>
      <c r="FX41" s="83">
        <f>'Payroll Verisma'!FX23+'Payroll MRO'!FX23</f>
        <v>0</v>
      </c>
      <c r="FY41" s="83">
        <f>'Payroll Verisma'!FY23+'Payroll MRO'!FY23</f>
        <v>31</v>
      </c>
      <c r="FZ41" s="83">
        <f>'Payroll Verisma'!FZ23+'Payroll MRO'!FZ23</f>
        <v>31</v>
      </c>
      <c r="GA41" s="83">
        <f>'Payroll Verisma'!GA23+'Payroll MRO'!GA23</f>
        <v>10</v>
      </c>
      <c r="GB41" s="83">
        <f>'Payroll Verisma'!GB23+'Payroll MRO'!GB23</f>
        <v>20</v>
      </c>
      <c r="GC41" s="83">
        <f>'Payroll Verisma'!GC23+'Payroll MRO'!GC23</f>
        <v>0</v>
      </c>
      <c r="GD41" s="83">
        <f>'Payroll Verisma'!GD23+'Payroll MRO'!GD23</f>
        <v>15</v>
      </c>
      <c r="GE41" s="83">
        <f>'Payroll Verisma'!GE23+'Payroll MRO'!GE23</f>
        <v>66</v>
      </c>
      <c r="GF41" s="83">
        <f>'Payroll Verisma'!GF23+'Payroll MRO'!GF23</f>
        <v>25</v>
      </c>
      <c r="GG41" s="83">
        <f>'Payroll Verisma'!GG23+'Payroll MRO'!GG23</f>
        <v>0</v>
      </c>
      <c r="GH41" s="83">
        <f>'Payroll Verisma'!GH23+'Payroll MRO'!GH23</f>
        <v>11</v>
      </c>
      <c r="GI41" s="83">
        <f>'Payroll Verisma'!GI23+'Payroll MRO'!GI23</f>
        <v>0</v>
      </c>
      <c r="GJ41" s="83">
        <f>'Payroll Verisma'!GJ23+'Payroll MRO'!GJ23</f>
        <v>45</v>
      </c>
      <c r="GK41" s="83">
        <f>'Payroll Verisma'!GK23+'Payroll MRO'!GK23</f>
        <v>30</v>
      </c>
      <c r="GL41" s="83">
        <f>'Payroll Verisma'!GL23+'Payroll MRO'!GL23</f>
        <v>25</v>
      </c>
      <c r="GM41" s="83">
        <f>'Payroll Verisma'!GM23+'Payroll MRO'!GM23</f>
        <v>102</v>
      </c>
      <c r="GN41" s="83">
        <f>'Payroll Verisma'!GN23+'Payroll MRO'!GN23</f>
        <v>42</v>
      </c>
      <c r="GO41" s="83">
        <f>'Payroll Verisma'!GO23+'Payroll MRO'!GO23</f>
        <v>23</v>
      </c>
      <c r="GP41" s="83">
        <f>'Payroll Verisma'!GP23+'Payroll MRO'!GP23</f>
        <v>50</v>
      </c>
      <c r="GQ41" s="83">
        <f>'Payroll Verisma'!GQ23+'Payroll MRO'!GQ23</f>
        <v>0</v>
      </c>
      <c r="GR41" s="83">
        <f>'Payroll Verisma'!GR23+'Payroll MRO'!GR23</f>
        <v>36</v>
      </c>
    </row>
    <row r="42" spans="1:200" ht="15.6">
      <c r="A42" s="81">
        <f t="shared" si="83"/>
        <v>46044</v>
      </c>
      <c r="B42" s="82" t="str">
        <f t="shared" si="82"/>
        <v>Thu</v>
      </c>
      <c r="C42" s="75">
        <f t="shared" si="81"/>
        <v>4726</v>
      </c>
      <c r="D42" s="83">
        <f>'Payroll Verisma'!D24+'Payroll MRO'!D24</f>
        <v>0</v>
      </c>
      <c r="E42" s="83">
        <f>'Payroll Verisma'!E24+'Payroll MRO'!E24</f>
        <v>80</v>
      </c>
      <c r="F42" s="83">
        <f>'Payroll Verisma'!F24+'Payroll MRO'!F24</f>
        <v>0</v>
      </c>
      <c r="G42" s="83">
        <f>'Payroll Verisma'!G24+'Payroll MRO'!G24</f>
        <v>0</v>
      </c>
      <c r="H42" s="83">
        <f>'Payroll Verisma'!H24+'Payroll MRO'!H24</f>
        <v>27</v>
      </c>
      <c r="I42" s="83">
        <f>'Payroll Verisma'!I24+'Payroll MRO'!I24</f>
        <v>60</v>
      </c>
      <c r="J42" s="83">
        <f>'Payroll Verisma'!J24+'Payroll MRO'!J24</f>
        <v>0</v>
      </c>
      <c r="K42" s="83">
        <f>'Payroll Verisma'!K24+'Payroll MRO'!K24</f>
        <v>0</v>
      </c>
      <c r="L42" s="83">
        <f>'Payroll Verisma'!L24+'Payroll MRO'!L24</f>
        <v>0</v>
      </c>
      <c r="M42" s="83">
        <f>'Payroll Verisma'!M24+'Payroll MRO'!M24</f>
        <v>23</v>
      </c>
      <c r="N42" s="83">
        <f>'Payroll Verisma'!N24+'Payroll MRO'!N24</f>
        <v>26</v>
      </c>
      <c r="O42" s="83">
        <f>'Payroll Verisma'!O24+'Payroll MRO'!O24</f>
        <v>0</v>
      </c>
      <c r="P42" s="83">
        <f>'Payroll Verisma'!P24+'Payroll MRO'!P24</f>
        <v>42</v>
      </c>
      <c r="Q42" s="83">
        <f>'Payroll Verisma'!Q24+'Payroll MRO'!Q24</f>
        <v>14</v>
      </c>
      <c r="R42" s="83">
        <f>'Payroll Verisma'!R24+'Payroll MRO'!R24</f>
        <v>108</v>
      </c>
      <c r="S42" s="83">
        <f>'Payroll Verisma'!S24+'Payroll MRO'!S24</f>
        <v>25</v>
      </c>
      <c r="T42" s="83">
        <f>'Payroll Verisma'!T24+'Payroll MRO'!T24</f>
        <v>137</v>
      </c>
      <c r="U42" s="83">
        <f>'Payroll Verisma'!U24+'Payroll MRO'!U24</f>
        <v>22</v>
      </c>
      <c r="V42" s="83">
        <f>'Payroll Verisma'!V24+'Payroll MRO'!V24</f>
        <v>0</v>
      </c>
      <c r="W42" s="83">
        <f>'Payroll Verisma'!W24+'Payroll MRO'!W24</f>
        <v>50</v>
      </c>
      <c r="X42" s="83">
        <f>'Payroll Verisma'!X24+'Payroll MRO'!X24</f>
        <v>0</v>
      </c>
      <c r="Y42" s="83">
        <f>'Payroll Verisma'!Y24+'Payroll MRO'!Y24</f>
        <v>70</v>
      </c>
      <c r="Z42" s="83">
        <f>'Payroll Verisma'!Z24+'Payroll MRO'!Z24</f>
        <v>15</v>
      </c>
      <c r="AA42" s="83">
        <f>'Payroll Verisma'!AA24+'Payroll MRO'!AA24</f>
        <v>18</v>
      </c>
      <c r="AB42" s="83">
        <f>'Payroll Verisma'!AB24+'Payroll MRO'!AB24</f>
        <v>39</v>
      </c>
      <c r="AC42" s="83">
        <f>'Payroll Verisma'!AC24+'Payroll MRO'!AC24</f>
        <v>0</v>
      </c>
      <c r="AD42" s="83">
        <f>'Payroll Verisma'!AD24+'Payroll MRO'!AD24</f>
        <v>62</v>
      </c>
      <c r="AE42" s="83">
        <f>'Payroll Verisma'!AE24+'Payroll MRO'!AE24</f>
        <v>9</v>
      </c>
      <c r="AF42" s="83">
        <f>'Payroll Verisma'!AF24+'Payroll MRO'!AF24</f>
        <v>0</v>
      </c>
      <c r="AG42" s="83">
        <f>'Payroll Verisma'!AG24+'Payroll MRO'!AG24</f>
        <v>25</v>
      </c>
      <c r="AH42" s="83">
        <f>'Payroll Verisma'!AH24+'Payroll MRO'!AH24</f>
        <v>0</v>
      </c>
      <c r="AI42" s="83">
        <f>'Payroll Verisma'!AI24+'Payroll MRO'!AI24</f>
        <v>0</v>
      </c>
      <c r="AJ42" s="83">
        <f>'Payroll Verisma'!AJ24+'Payroll MRO'!AJ24</f>
        <v>0</v>
      </c>
      <c r="AK42" s="83">
        <f>'Payroll Verisma'!AK24+'Payroll MRO'!AK24</f>
        <v>19</v>
      </c>
      <c r="AL42" s="83">
        <f>'Payroll Verisma'!AL24+'Payroll MRO'!AL24</f>
        <v>0</v>
      </c>
      <c r="AM42" s="83">
        <f>'Payroll Verisma'!AM24+'Payroll MRO'!AM24</f>
        <v>0</v>
      </c>
      <c r="AN42" s="83">
        <f>'Payroll Verisma'!AN24+'Payroll MRO'!AN24</f>
        <v>6</v>
      </c>
      <c r="AO42" s="83">
        <f>'Payroll Verisma'!AO24+'Payroll MRO'!AO24</f>
        <v>0</v>
      </c>
      <c r="AP42" s="83">
        <f>'Payroll Verisma'!AP24+'Payroll MRO'!AP24</f>
        <v>11</v>
      </c>
      <c r="AQ42" s="83">
        <f>'Payroll Verisma'!AQ24+'Payroll MRO'!AQ24</f>
        <v>0</v>
      </c>
      <c r="AR42" s="83">
        <f>'Payroll Verisma'!AR24+'Payroll MRO'!AR24</f>
        <v>49</v>
      </c>
      <c r="AS42" s="83">
        <f>'Payroll Verisma'!AS24+'Payroll MRO'!AS24</f>
        <v>0</v>
      </c>
      <c r="AT42" s="83">
        <f>'Payroll Verisma'!AT24+'Payroll MRO'!AT24</f>
        <v>12</v>
      </c>
      <c r="AU42" s="83">
        <f>'Payroll Verisma'!AU24+'Payroll MRO'!AU24</f>
        <v>0</v>
      </c>
      <c r="AV42" s="83">
        <f>'Payroll Verisma'!AV24+'Payroll MRO'!AV24</f>
        <v>0</v>
      </c>
      <c r="AW42" s="83">
        <f>'Payroll Verisma'!AW24+'Payroll MRO'!AW24</f>
        <v>18</v>
      </c>
      <c r="AX42" s="83">
        <f>'Payroll Verisma'!AX24+'Payroll MRO'!AX24</f>
        <v>0</v>
      </c>
      <c r="AY42" s="83">
        <f>'Payroll Verisma'!AY24+'Payroll MRO'!AY24</f>
        <v>0</v>
      </c>
      <c r="AZ42" s="83">
        <f>'Payroll Verisma'!AZ24+'Payroll MRO'!AZ24</f>
        <v>0</v>
      </c>
      <c r="BA42" s="83">
        <f>'Payroll Verisma'!BA24+'Payroll MRO'!BA24</f>
        <v>51</v>
      </c>
      <c r="BB42" s="83">
        <f>'Payroll Verisma'!BB24+'Payroll MRO'!BB24</f>
        <v>50</v>
      </c>
      <c r="BC42" s="83">
        <f>'Payroll Verisma'!BC24+'Payroll MRO'!BC24</f>
        <v>26</v>
      </c>
      <c r="BD42" s="83">
        <f>'Payroll Verisma'!BD24+'Payroll MRO'!BD24</f>
        <v>40</v>
      </c>
      <c r="BE42" s="83">
        <f>'Payroll Verisma'!BE24+'Payroll MRO'!BE24</f>
        <v>15</v>
      </c>
      <c r="BF42" s="83">
        <f>'Payroll Verisma'!BF24+'Payroll MRO'!BF24</f>
        <v>0</v>
      </c>
      <c r="BG42" s="83">
        <f>'Payroll Verisma'!BG24+'Payroll MRO'!BG24</f>
        <v>3</v>
      </c>
      <c r="BH42" s="83">
        <f>'Payroll Verisma'!BH24+'Payroll MRO'!BH24</f>
        <v>0</v>
      </c>
      <c r="BI42" s="83">
        <f>'Payroll Verisma'!BI24+'Payroll MRO'!BI24</f>
        <v>36</v>
      </c>
      <c r="BJ42" s="83">
        <f>'Payroll Verisma'!BJ24+'Payroll MRO'!BJ24</f>
        <v>20</v>
      </c>
      <c r="BK42" s="83">
        <f>'Payroll Verisma'!BK24+'Payroll MRO'!BK24</f>
        <v>0</v>
      </c>
      <c r="BL42" s="83">
        <f>'Payroll Verisma'!BL24+'Payroll MRO'!BL24</f>
        <v>33</v>
      </c>
      <c r="BM42" s="83">
        <f>'Payroll Verisma'!BM24+'Payroll MRO'!BM24</f>
        <v>0</v>
      </c>
      <c r="BN42" s="83">
        <f>'Payroll Verisma'!BN24+'Payroll MRO'!BN24</f>
        <v>21</v>
      </c>
      <c r="BO42" s="83">
        <f>'Payroll Verisma'!BO24+'Payroll MRO'!BO24</f>
        <v>27</v>
      </c>
      <c r="BP42" s="83">
        <f>'Payroll Verisma'!BP24+'Payroll MRO'!BP24</f>
        <v>0</v>
      </c>
      <c r="BQ42" s="83">
        <f>'Payroll Verisma'!BQ24+'Payroll MRO'!BQ24</f>
        <v>58</v>
      </c>
      <c r="BR42" s="83">
        <f>'Payroll Verisma'!BR24+'Payroll MRO'!BR24</f>
        <v>0</v>
      </c>
      <c r="BS42" s="83">
        <f>'Payroll Verisma'!BS24+'Payroll MRO'!BS24</f>
        <v>0</v>
      </c>
      <c r="BT42" s="83">
        <f>'Payroll Verisma'!BT24+'Payroll MRO'!BT24</f>
        <v>0</v>
      </c>
      <c r="BU42" s="83">
        <f>'Payroll Verisma'!BU24+'Payroll MRO'!BU24</f>
        <v>36</v>
      </c>
      <c r="BV42" s="83">
        <f>'Payroll Verisma'!BV24+'Payroll MRO'!BV24</f>
        <v>19</v>
      </c>
      <c r="BW42" s="83">
        <f>'Payroll Verisma'!BW24+'Payroll MRO'!BW24</f>
        <v>68</v>
      </c>
      <c r="BX42" s="83">
        <f>'Payroll Verisma'!BX24+'Payroll MRO'!BX24</f>
        <v>0</v>
      </c>
      <c r="BY42" s="83">
        <f>'Payroll Verisma'!BY24+'Payroll MRO'!BY24</f>
        <v>0</v>
      </c>
      <c r="BZ42" s="83">
        <f>'Payroll Verisma'!BZ24+'Payroll MRO'!BZ24</f>
        <v>167</v>
      </c>
      <c r="CA42" s="83">
        <f>'Payroll Verisma'!CA24+'Payroll MRO'!CA24</f>
        <v>37</v>
      </c>
      <c r="CB42" s="83">
        <f>'Payroll Verisma'!CB24+'Payroll MRO'!CB24</f>
        <v>43</v>
      </c>
      <c r="CC42" s="83">
        <f>'Payroll Verisma'!CC24+'Payroll MRO'!CC24</f>
        <v>21</v>
      </c>
      <c r="CD42" s="83">
        <f>'Payroll Verisma'!CD24+'Payroll MRO'!CD24</f>
        <v>63</v>
      </c>
      <c r="CE42" s="83">
        <f>'Payroll Verisma'!CE24+'Payroll MRO'!CE24</f>
        <v>0</v>
      </c>
      <c r="CF42" s="83">
        <f>'Payroll Verisma'!CF24+'Payroll MRO'!CF24</f>
        <v>7</v>
      </c>
      <c r="CG42" s="83">
        <f>'Payroll Verisma'!CG24+'Payroll MRO'!CG24</f>
        <v>0</v>
      </c>
      <c r="CH42" s="83">
        <f>'Payroll Verisma'!CH24+'Payroll MRO'!CH24</f>
        <v>35</v>
      </c>
      <c r="CI42" s="83">
        <f>'Payroll Verisma'!CI24+'Payroll MRO'!CI24</f>
        <v>0</v>
      </c>
      <c r="CJ42" s="83">
        <f>'Payroll Verisma'!CJ24+'Payroll MRO'!CJ24</f>
        <v>88</v>
      </c>
      <c r="CK42" s="83">
        <f>'Payroll Verisma'!CK24+'Payroll MRO'!CK24</f>
        <v>0</v>
      </c>
      <c r="CL42" s="83">
        <f>'Payroll Verisma'!CL24+'Payroll MRO'!CL24</f>
        <v>41</v>
      </c>
      <c r="CM42" s="83">
        <f>'Payroll Verisma'!CM24+'Payroll MRO'!CM24</f>
        <v>0</v>
      </c>
      <c r="CN42" s="83">
        <f>'Payroll Verisma'!CN24+'Payroll MRO'!CN24</f>
        <v>15</v>
      </c>
      <c r="CO42" s="83">
        <f>'Payroll Verisma'!CO24+'Payroll MRO'!CO24</f>
        <v>20</v>
      </c>
      <c r="CP42" s="83">
        <f>'Payroll Verisma'!CP24+'Payroll MRO'!CP24</f>
        <v>51</v>
      </c>
      <c r="CQ42" s="83">
        <f>'Payroll Verisma'!CQ24+'Payroll MRO'!CQ24</f>
        <v>0</v>
      </c>
      <c r="CR42" s="83">
        <f>'Payroll Verisma'!CR24+'Payroll MRO'!CR24</f>
        <v>36</v>
      </c>
      <c r="CS42" s="83">
        <f>'Payroll Verisma'!CS24+'Payroll MRO'!CS24</f>
        <v>0</v>
      </c>
      <c r="CT42" s="83">
        <f>'Payroll Verisma'!CT24+'Payroll MRO'!CT24</f>
        <v>12</v>
      </c>
      <c r="CU42" s="83">
        <f>'Payroll Verisma'!CU24+'Payroll MRO'!CU24</f>
        <v>99</v>
      </c>
      <c r="CV42" s="83">
        <f>'Payroll Verisma'!CV24+'Payroll MRO'!CV24</f>
        <v>43</v>
      </c>
      <c r="CW42" s="83">
        <f>'Payroll Verisma'!CW24+'Payroll MRO'!CW24</f>
        <v>0</v>
      </c>
      <c r="CX42" s="83">
        <f>'Payroll Verisma'!CX24+'Payroll MRO'!CX24</f>
        <v>0</v>
      </c>
      <c r="CY42" s="83">
        <f>'Payroll Verisma'!CY24+'Payroll MRO'!CY24</f>
        <v>91</v>
      </c>
      <c r="CZ42" s="83">
        <f>'Payroll Verisma'!CZ24+'Payroll MRO'!CZ24</f>
        <v>36</v>
      </c>
      <c r="DA42" s="83">
        <f>'Payroll Verisma'!DA24+'Payroll MRO'!DA24</f>
        <v>13</v>
      </c>
      <c r="DB42" s="83">
        <f>'Payroll Verisma'!DB24+'Payroll MRO'!DB24</f>
        <v>0</v>
      </c>
      <c r="DC42" s="83">
        <f>'Payroll Verisma'!DC24+'Payroll MRO'!DC24</f>
        <v>0</v>
      </c>
      <c r="DD42" s="83">
        <f>'Payroll Verisma'!DD24+'Payroll MRO'!DD24</f>
        <v>4</v>
      </c>
      <c r="DE42" s="83">
        <f>'Payroll Verisma'!DE24+'Payroll MRO'!DE24</f>
        <v>45</v>
      </c>
      <c r="DF42" s="83">
        <f>'Payroll Verisma'!DF24+'Payroll MRO'!DF24</f>
        <v>0</v>
      </c>
      <c r="DG42" s="83">
        <f>'Payroll Verisma'!DG24+'Payroll MRO'!DG24</f>
        <v>17</v>
      </c>
      <c r="DH42" s="83">
        <f>'Payroll Verisma'!DH24+'Payroll MRO'!DH24</f>
        <v>0</v>
      </c>
      <c r="DI42" s="83">
        <f>'Payroll Verisma'!DI24+'Payroll MRO'!DI24</f>
        <v>102</v>
      </c>
      <c r="DJ42" s="83">
        <f>'Payroll Verisma'!DJ24+'Payroll MRO'!DJ24</f>
        <v>0</v>
      </c>
      <c r="DK42" s="83">
        <f>'Payroll Verisma'!DK24+'Payroll MRO'!DK24</f>
        <v>67</v>
      </c>
      <c r="DL42" s="83">
        <f>'Payroll Verisma'!DL24+'Payroll MRO'!DL24</f>
        <v>0</v>
      </c>
      <c r="DM42" s="83">
        <f>'Payroll Verisma'!DM24+'Payroll MRO'!DM24</f>
        <v>52</v>
      </c>
      <c r="DN42" s="83">
        <f>'Payroll Verisma'!DN24+'Payroll MRO'!DN24</f>
        <v>66</v>
      </c>
      <c r="DO42" s="83">
        <f>'Payroll Verisma'!DO24+'Payroll MRO'!DO24</f>
        <v>23</v>
      </c>
      <c r="DP42" s="83">
        <f>'Payroll Verisma'!DP24+'Payroll MRO'!DP24</f>
        <v>0</v>
      </c>
      <c r="DQ42" s="83">
        <f>'Payroll Verisma'!DQ24+'Payroll MRO'!DQ24</f>
        <v>20</v>
      </c>
      <c r="DR42" s="83">
        <f>'Payroll Verisma'!DR24+'Payroll MRO'!DR24</f>
        <v>36</v>
      </c>
      <c r="DS42" s="83">
        <f>'Payroll Verisma'!DS24+'Payroll MRO'!DS24</f>
        <v>13</v>
      </c>
      <c r="DT42" s="83">
        <f>'Payroll Verisma'!DT24+'Payroll MRO'!DT24</f>
        <v>36</v>
      </c>
      <c r="DU42" s="83">
        <f>'Payroll Verisma'!DU24+'Payroll MRO'!DU24</f>
        <v>22</v>
      </c>
      <c r="DV42" s="83">
        <f>'Payroll Verisma'!DV24+'Payroll MRO'!DV24</f>
        <v>0</v>
      </c>
      <c r="DW42" s="83">
        <f>'Payroll Verisma'!DW24+'Payroll MRO'!DW24</f>
        <v>0</v>
      </c>
      <c r="DX42" s="83">
        <f>'Payroll Verisma'!DX24+'Payroll MRO'!DX24</f>
        <v>47</v>
      </c>
      <c r="DY42" s="83">
        <f>'Payroll Verisma'!DY24+'Payroll MRO'!DY24</f>
        <v>28</v>
      </c>
      <c r="DZ42" s="83">
        <f>'Payroll Verisma'!DZ24+'Payroll MRO'!DZ24</f>
        <v>49</v>
      </c>
      <c r="EA42" s="83">
        <f>'Payroll Verisma'!EA24+'Payroll MRO'!EA24</f>
        <v>0</v>
      </c>
      <c r="EB42" s="83">
        <f>'Payroll Verisma'!EB24+'Payroll MRO'!EB24</f>
        <v>27</v>
      </c>
      <c r="EC42" s="83">
        <f>'Payroll Verisma'!EC24+'Payroll MRO'!EC24</f>
        <v>0</v>
      </c>
      <c r="ED42" s="83">
        <f>'Payroll Verisma'!ED24+'Payroll MRO'!ED24</f>
        <v>51</v>
      </c>
      <c r="EE42" s="83">
        <f>'Payroll Verisma'!EE24+'Payroll MRO'!EE24</f>
        <v>15</v>
      </c>
      <c r="EF42" s="83">
        <f>'Payroll Verisma'!EF24+'Payroll MRO'!EF24</f>
        <v>75</v>
      </c>
      <c r="EG42" s="83">
        <f>'Payroll Verisma'!EG24+'Payroll MRO'!EG24</f>
        <v>0</v>
      </c>
      <c r="EH42" s="83">
        <f>'Payroll Verisma'!EH24+'Payroll MRO'!EH24</f>
        <v>3</v>
      </c>
      <c r="EI42" s="83">
        <f>'Payroll Verisma'!EI24+'Payroll MRO'!EI24</f>
        <v>67</v>
      </c>
      <c r="EJ42" s="83">
        <f>'Payroll Verisma'!EJ24+'Payroll MRO'!EJ24</f>
        <v>17</v>
      </c>
      <c r="EK42" s="83">
        <f>'Payroll Verisma'!EK24+'Payroll MRO'!EK24</f>
        <v>63</v>
      </c>
      <c r="EL42" s="83">
        <f>'Payroll Verisma'!EL24+'Payroll MRO'!EL24</f>
        <v>40</v>
      </c>
      <c r="EM42" s="83">
        <f>'Payroll Verisma'!EM24+'Payroll MRO'!EM24</f>
        <v>20</v>
      </c>
      <c r="EN42" s="83">
        <f>'Payroll Verisma'!EN24+'Payroll MRO'!EN24</f>
        <v>50</v>
      </c>
      <c r="EO42" s="83">
        <f>'Payroll Verisma'!EO24+'Payroll MRO'!EO24</f>
        <v>24</v>
      </c>
      <c r="EP42" s="83">
        <f>'Payroll Verisma'!EP24+'Payroll MRO'!EP24</f>
        <v>35</v>
      </c>
      <c r="EQ42" s="83">
        <f>'Payroll Verisma'!EQ24+'Payroll MRO'!EQ24</f>
        <v>0</v>
      </c>
      <c r="ER42" s="83">
        <f>'Payroll Verisma'!ER24+'Payroll MRO'!ER24</f>
        <v>0</v>
      </c>
      <c r="ES42" s="83">
        <f>'Payroll Verisma'!ES24+'Payroll MRO'!ES24</f>
        <v>21</v>
      </c>
      <c r="ET42" s="83">
        <f>'Payroll Verisma'!ET24+'Payroll MRO'!ET24</f>
        <v>0</v>
      </c>
      <c r="EU42" s="83">
        <f>'Payroll Verisma'!EU24+'Payroll MRO'!EU24</f>
        <v>44</v>
      </c>
      <c r="EV42" s="83">
        <f>'Payroll Verisma'!EV24+'Payroll MRO'!EV24</f>
        <v>48</v>
      </c>
      <c r="EW42" s="83">
        <f>'Payroll Verisma'!EW24+'Payroll MRO'!EW24</f>
        <v>0</v>
      </c>
      <c r="EX42" s="83">
        <f>'Payroll Verisma'!EX24+'Payroll MRO'!EX24</f>
        <v>17</v>
      </c>
      <c r="EY42" s="83">
        <f>'Payroll Verisma'!EY24+'Payroll MRO'!EY24</f>
        <v>6</v>
      </c>
      <c r="EZ42" s="83">
        <f>'Payroll Verisma'!EZ24+'Payroll MRO'!EZ24</f>
        <v>12</v>
      </c>
      <c r="FA42" s="83">
        <f>'Payroll Verisma'!FA24+'Payroll MRO'!FA24</f>
        <v>0</v>
      </c>
      <c r="FB42" s="83">
        <f>'Payroll Verisma'!FB24+'Payroll MRO'!FB24</f>
        <v>18</v>
      </c>
      <c r="FC42" s="83">
        <f>'Payroll Verisma'!FC24+'Payroll MRO'!FC24</f>
        <v>0</v>
      </c>
      <c r="FD42" s="83">
        <f>'Payroll Verisma'!FD24+'Payroll MRO'!FD24</f>
        <v>0</v>
      </c>
      <c r="FE42" s="83">
        <f>'Payroll Verisma'!FE24+'Payroll MRO'!FE24</f>
        <v>0</v>
      </c>
      <c r="FF42" s="83">
        <f>'Payroll Verisma'!FF24+'Payroll MRO'!FF24</f>
        <v>59</v>
      </c>
      <c r="FG42" s="83">
        <f>'Payroll Verisma'!FG24+'Payroll MRO'!FG24</f>
        <v>0</v>
      </c>
      <c r="FH42" s="83">
        <f>'Payroll Verisma'!FH24+'Payroll MRO'!FH24</f>
        <v>207</v>
      </c>
      <c r="FI42" s="83">
        <f>'Payroll Verisma'!FI24+'Payroll MRO'!FI24</f>
        <v>15</v>
      </c>
      <c r="FJ42" s="83">
        <f>'Payroll Verisma'!FJ24+'Payroll MRO'!FJ24</f>
        <v>0</v>
      </c>
      <c r="FK42" s="83">
        <f>'Payroll Verisma'!FK24+'Payroll MRO'!FK24</f>
        <v>21</v>
      </c>
      <c r="FL42" s="83">
        <f>'Payroll Verisma'!FL24+'Payroll MRO'!FL24</f>
        <v>0</v>
      </c>
      <c r="FM42" s="83">
        <f>'Payroll Verisma'!FM24+'Payroll MRO'!FM24</f>
        <v>23</v>
      </c>
      <c r="FN42" s="83">
        <f>'Payroll Verisma'!FN24+'Payroll MRO'!FN24</f>
        <v>0</v>
      </c>
      <c r="FO42" s="83">
        <f>'Payroll Verisma'!FO24+'Payroll MRO'!FO24</f>
        <v>23</v>
      </c>
      <c r="FP42" s="83">
        <f>'Payroll Verisma'!FP24+'Payroll MRO'!FP24</f>
        <v>36</v>
      </c>
      <c r="FQ42" s="83">
        <f>'Payroll Verisma'!FQ24+'Payroll MRO'!FQ24</f>
        <v>90</v>
      </c>
      <c r="FR42" s="83">
        <f>'Payroll Verisma'!FR24+'Payroll MRO'!FR24</f>
        <v>0</v>
      </c>
      <c r="FS42" s="83">
        <f>'Payroll Verisma'!FS24+'Payroll MRO'!FS24</f>
        <v>57</v>
      </c>
      <c r="FT42" s="83">
        <f>'Payroll Verisma'!FT24+'Payroll MRO'!FT24</f>
        <v>19</v>
      </c>
      <c r="FU42" s="83">
        <f>'Payroll Verisma'!FU24+'Payroll MRO'!FU24</f>
        <v>0</v>
      </c>
      <c r="FV42" s="83">
        <f>'Payroll Verisma'!FV24+'Payroll MRO'!FV24</f>
        <v>0</v>
      </c>
      <c r="FW42" s="83">
        <f>'Payroll Verisma'!FW24+'Payroll MRO'!FW24</f>
        <v>0</v>
      </c>
      <c r="FX42" s="83">
        <f>'Payroll Verisma'!FX24+'Payroll MRO'!FX24</f>
        <v>0</v>
      </c>
      <c r="FY42" s="83">
        <f>'Payroll Verisma'!FY24+'Payroll MRO'!FY24</f>
        <v>24</v>
      </c>
      <c r="FZ42" s="83">
        <f>'Payroll Verisma'!FZ24+'Payroll MRO'!FZ24</f>
        <v>5</v>
      </c>
      <c r="GA42" s="83">
        <f>'Payroll Verisma'!GA24+'Payroll MRO'!GA24</f>
        <v>0</v>
      </c>
      <c r="GB42" s="83">
        <f>'Payroll Verisma'!GB24+'Payroll MRO'!GB24</f>
        <v>54</v>
      </c>
      <c r="GC42" s="83">
        <f>'Payroll Verisma'!GC24+'Payroll MRO'!GC24</f>
        <v>0</v>
      </c>
      <c r="GD42" s="83">
        <f>'Payroll Verisma'!GD24+'Payroll MRO'!GD24</f>
        <v>15</v>
      </c>
      <c r="GE42" s="83">
        <f>'Payroll Verisma'!GE24+'Payroll MRO'!GE24</f>
        <v>53</v>
      </c>
      <c r="GF42" s="83">
        <f>'Payroll Verisma'!GF24+'Payroll MRO'!GF24</f>
        <v>16</v>
      </c>
      <c r="GG42" s="83">
        <f>'Payroll Verisma'!GG24+'Payroll MRO'!GG24</f>
        <v>0</v>
      </c>
      <c r="GH42" s="83">
        <f>'Payroll Verisma'!GH24+'Payroll MRO'!GH24</f>
        <v>12</v>
      </c>
      <c r="GI42" s="83">
        <f>'Payroll Verisma'!GI24+'Payroll MRO'!GI24</f>
        <v>0</v>
      </c>
      <c r="GJ42" s="83">
        <f>'Payroll Verisma'!GJ24+'Payroll MRO'!GJ24</f>
        <v>71</v>
      </c>
      <c r="GK42" s="83">
        <f>'Payroll Verisma'!GK24+'Payroll MRO'!GK24</f>
        <v>5</v>
      </c>
      <c r="GL42" s="83">
        <f>'Payroll Verisma'!GL24+'Payroll MRO'!GL24</f>
        <v>20</v>
      </c>
      <c r="GM42" s="83">
        <f>'Payroll Verisma'!GM24+'Payroll MRO'!GM24</f>
        <v>120</v>
      </c>
      <c r="GN42" s="83">
        <f>'Payroll Verisma'!GN24+'Payroll MRO'!GN24</f>
        <v>67</v>
      </c>
      <c r="GO42" s="83">
        <f>'Payroll Verisma'!GO24+'Payroll MRO'!GO24</f>
        <v>16</v>
      </c>
      <c r="GP42" s="83">
        <f>'Payroll Verisma'!GP24+'Payroll MRO'!GP24</f>
        <v>30</v>
      </c>
      <c r="GQ42" s="83">
        <f>'Payroll Verisma'!GQ24+'Payroll MRO'!GQ24</f>
        <v>0</v>
      </c>
      <c r="GR42" s="83">
        <f>'Payroll Verisma'!GR24+'Payroll MRO'!GR24</f>
        <v>0</v>
      </c>
    </row>
    <row r="43" spans="1:200" ht="15.6">
      <c r="A43" s="81">
        <f t="shared" si="83"/>
        <v>46045</v>
      </c>
      <c r="B43" s="82" t="str">
        <f t="shared" si="82"/>
        <v>Fri</v>
      </c>
      <c r="C43" s="75">
        <f t="shared" si="81"/>
        <v>4975</v>
      </c>
      <c r="D43" s="83">
        <f>'Payroll Verisma'!D25+'Payroll MRO'!D25</f>
        <v>0</v>
      </c>
      <c r="E43" s="83">
        <f>'Payroll Verisma'!E25+'Payroll MRO'!E25</f>
        <v>39</v>
      </c>
      <c r="F43" s="83">
        <f>'Payroll Verisma'!F25+'Payroll MRO'!F25</f>
        <v>0</v>
      </c>
      <c r="G43" s="83">
        <f>'Payroll Verisma'!G25+'Payroll MRO'!G25</f>
        <v>0</v>
      </c>
      <c r="H43" s="83">
        <f>'Payroll Verisma'!H25+'Payroll MRO'!H25</f>
        <v>13</v>
      </c>
      <c r="I43" s="83">
        <f>'Payroll Verisma'!I25+'Payroll MRO'!I25</f>
        <v>39</v>
      </c>
      <c r="J43" s="83">
        <f>'Payroll Verisma'!J25+'Payroll MRO'!J25</f>
        <v>0</v>
      </c>
      <c r="K43" s="83">
        <f>'Payroll Verisma'!K25+'Payroll MRO'!K25</f>
        <v>0</v>
      </c>
      <c r="L43" s="83">
        <f>'Payroll Verisma'!L25+'Payroll MRO'!L25</f>
        <v>0</v>
      </c>
      <c r="M43" s="83">
        <f>'Payroll Verisma'!M25+'Payroll MRO'!M25</f>
        <v>0</v>
      </c>
      <c r="N43" s="83">
        <f>'Payroll Verisma'!N25+'Payroll MRO'!N25</f>
        <v>28</v>
      </c>
      <c r="O43" s="83">
        <f>'Payroll Verisma'!O25+'Payroll MRO'!O25</f>
        <v>0</v>
      </c>
      <c r="P43" s="83">
        <f>'Payroll Verisma'!P25+'Payroll MRO'!P25</f>
        <v>24</v>
      </c>
      <c r="Q43" s="83">
        <f>'Payroll Verisma'!Q25+'Payroll MRO'!Q25</f>
        <v>40</v>
      </c>
      <c r="R43" s="83">
        <f>'Payroll Verisma'!R25+'Payroll MRO'!R25</f>
        <v>76</v>
      </c>
      <c r="S43" s="83">
        <f>'Payroll Verisma'!S25+'Payroll MRO'!S25</f>
        <v>0</v>
      </c>
      <c r="T43" s="83">
        <f>'Payroll Verisma'!T25+'Payroll MRO'!T25</f>
        <v>153</v>
      </c>
      <c r="U43" s="83">
        <f>'Payroll Verisma'!U25+'Payroll MRO'!U25</f>
        <v>13</v>
      </c>
      <c r="V43" s="83">
        <f>'Payroll Verisma'!V25+'Payroll MRO'!V25</f>
        <v>0</v>
      </c>
      <c r="W43" s="83">
        <f>'Payroll Verisma'!W25+'Payroll MRO'!W25</f>
        <v>0</v>
      </c>
      <c r="X43" s="83">
        <f>'Payroll Verisma'!X25+'Payroll MRO'!X25</f>
        <v>0</v>
      </c>
      <c r="Y43" s="83">
        <f>'Payroll Verisma'!Y25+'Payroll MRO'!Y25</f>
        <v>62</v>
      </c>
      <c r="Z43" s="83">
        <f>'Payroll Verisma'!Z25+'Payroll MRO'!Z25</f>
        <v>75</v>
      </c>
      <c r="AA43" s="83">
        <f>'Payroll Verisma'!AA25+'Payroll MRO'!AA25</f>
        <v>15</v>
      </c>
      <c r="AB43" s="83">
        <f>'Payroll Verisma'!AB25+'Payroll MRO'!AB25</f>
        <v>22</v>
      </c>
      <c r="AC43" s="83">
        <f>'Payroll Verisma'!AC25+'Payroll MRO'!AC25</f>
        <v>0</v>
      </c>
      <c r="AD43" s="83">
        <f>'Payroll Verisma'!AD25+'Payroll MRO'!AD25</f>
        <v>31</v>
      </c>
      <c r="AE43" s="83">
        <f>'Payroll Verisma'!AE25+'Payroll MRO'!AE25</f>
        <v>0</v>
      </c>
      <c r="AF43" s="83">
        <f>'Payroll Verisma'!AF25+'Payroll MRO'!AF25</f>
        <v>0</v>
      </c>
      <c r="AG43" s="83">
        <f>'Payroll Verisma'!AG25+'Payroll MRO'!AG25</f>
        <v>21</v>
      </c>
      <c r="AH43" s="83">
        <f>'Payroll Verisma'!AH25+'Payroll MRO'!AH25</f>
        <v>0</v>
      </c>
      <c r="AI43" s="83">
        <f>'Payroll Verisma'!AI25+'Payroll MRO'!AI25</f>
        <v>35</v>
      </c>
      <c r="AJ43" s="83">
        <f>'Payroll Verisma'!AJ25+'Payroll MRO'!AJ25</f>
        <v>0</v>
      </c>
      <c r="AK43" s="83">
        <f>'Payroll Verisma'!AK25+'Payroll MRO'!AK25</f>
        <v>0</v>
      </c>
      <c r="AL43" s="83">
        <f>'Payroll Verisma'!AL25+'Payroll MRO'!AL25</f>
        <v>0</v>
      </c>
      <c r="AM43" s="83">
        <f>'Payroll Verisma'!AM25+'Payroll MRO'!AM25</f>
        <v>0</v>
      </c>
      <c r="AN43" s="83">
        <f>'Payroll Verisma'!AN25+'Payroll MRO'!AN25</f>
        <v>5</v>
      </c>
      <c r="AO43" s="83">
        <f>'Payroll Verisma'!AO25+'Payroll MRO'!AO25</f>
        <v>0</v>
      </c>
      <c r="AP43" s="83">
        <f>'Payroll Verisma'!AP25+'Payroll MRO'!AP25</f>
        <v>14</v>
      </c>
      <c r="AQ43" s="83">
        <f>'Payroll Verisma'!AQ25+'Payroll MRO'!AQ25</f>
        <v>0</v>
      </c>
      <c r="AR43" s="83">
        <f>'Payroll Verisma'!AR25+'Payroll MRO'!AR25</f>
        <v>10</v>
      </c>
      <c r="AS43" s="83">
        <f>'Payroll Verisma'!AS25+'Payroll MRO'!AS25</f>
        <v>0</v>
      </c>
      <c r="AT43" s="83">
        <f>'Payroll Verisma'!AT25+'Payroll MRO'!AT25</f>
        <v>51</v>
      </c>
      <c r="AU43" s="83">
        <f>'Payroll Verisma'!AU25+'Payroll MRO'!AU25</f>
        <v>0</v>
      </c>
      <c r="AV43" s="83">
        <f>'Payroll Verisma'!AV25+'Payroll MRO'!AV25</f>
        <v>0</v>
      </c>
      <c r="AW43" s="83">
        <f>'Payroll Verisma'!AW25+'Payroll MRO'!AW25</f>
        <v>40</v>
      </c>
      <c r="AX43" s="83">
        <f>'Payroll Verisma'!AX25+'Payroll MRO'!AX25</f>
        <v>30</v>
      </c>
      <c r="AY43" s="83">
        <f>'Payroll Verisma'!AY25+'Payroll MRO'!AY25</f>
        <v>0</v>
      </c>
      <c r="AZ43" s="83">
        <f>'Payroll Verisma'!AZ25+'Payroll MRO'!AZ25</f>
        <v>0</v>
      </c>
      <c r="BA43" s="83">
        <f>'Payroll Verisma'!BA25+'Payroll MRO'!BA25</f>
        <v>99</v>
      </c>
      <c r="BB43" s="83">
        <f>'Payroll Verisma'!BB25+'Payroll MRO'!BB25</f>
        <v>32</v>
      </c>
      <c r="BC43" s="83">
        <f>'Payroll Verisma'!BC25+'Payroll MRO'!BC25</f>
        <v>0</v>
      </c>
      <c r="BD43" s="83">
        <f>'Payroll Verisma'!BD25+'Payroll MRO'!BD25</f>
        <v>41</v>
      </c>
      <c r="BE43" s="83">
        <f>'Payroll Verisma'!BE25+'Payroll MRO'!BE25</f>
        <v>22</v>
      </c>
      <c r="BF43" s="83">
        <f>'Payroll Verisma'!BF25+'Payroll MRO'!BF25</f>
        <v>6</v>
      </c>
      <c r="BG43" s="83">
        <f>'Payroll Verisma'!BG25+'Payroll MRO'!BG25</f>
        <v>51</v>
      </c>
      <c r="BH43" s="83">
        <f>'Payroll Verisma'!BH25+'Payroll MRO'!BH25</f>
        <v>0</v>
      </c>
      <c r="BI43" s="83">
        <f>'Payroll Verisma'!BI25+'Payroll MRO'!BI25</f>
        <v>20</v>
      </c>
      <c r="BJ43" s="83">
        <f>'Payroll Verisma'!BJ25+'Payroll MRO'!BJ25</f>
        <v>29</v>
      </c>
      <c r="BK43" s="83">
        <f>'Payroll Verisma'!BK25+'Payroll MRO'!BK25</f>
        <v>0</v>
      </c>
      <c r="BL43" s="83">
        <f>'Payroll Verisma'!BL25+'Payroll MRO'!BL25</f>
        <v>22</v>
      </c>
      <c r="BM43" s="83">
        <f>'Payroll Verisma'!BM25+'Payroll MRO'!BM25</f>
        <v>0</v>
      </c>
      <c r="BN43" s="83">
        <f>'Payroll Verisma'!BN25+'Payroll MRO'!BN25</f>
        <v>48</v>
      </c>
      <c r="BO43" s="83">
        <f>'Payroll Verisma'!BO25+'Payroll MRO'!BO25</f>
        <v>34</v>
      </c>
      <c r="BP43" s="83">
        <f>'Payroll Verisma'!BP25+'Payroll MRO'!BP25</f>
        <v>0</v>
      </c>
      <c r="BQ43" s="83">
        <f>'Payroll Verisma'!BQ25+'Payroll MRO'!BQ25</f>
        <v>0</v>
      </c>
      <c r="BR43" s="83">
        <f>'Payroll Verisma'!BR25+'Payroll MRO'!BR25</f>
        <v>0</v>
      </c>
      <c r="BS43" s="83">
        <f>'Payroll Verisma'!BS25+'Payroll MRO'!BS25</f>
        <v>5</v>
      </c>
      <c r="BT43" s="83">
        <f>'Payroll Verisma'!BT25+'Payroll MRO'!BT25</f>
        <v>0</v>
      </c>
      <c r="BU43" s="83">
        <f>'Payroll Verisma'!BU25+'Payroll MRO'!BU25</f>
        <v>46</v>
      </c>
      <c r="BV43" s="83">
        <f>'Payroll Verisma'!BV25+'Payroll MRO'!BV25</f>
        <v>11</v>
      </c>
      <c r="BW43" s="83">
        <f>'Payroll Verisma'!BW25+'Payroll MRO'!BW25</f>
        <v>62</v>
      </c>
      <c r="BX43" s="83">
        <f>'Payroll Verisma'!BX25+'Payroll MRO'!BX25</f>
        <v>0</v>
      </c>
      <c r="BY43" s="83">
        <f>'Payroll Verisma'!BY25+'Payroll MRO'!BY25</f>
        <v>0</v>
      </c>
      <c r="BZ43" s="83">
        <f>'Payroll Verisma'!BZ25+'Payroll MRO'!BZ25</f>
        <v>193</v>
      </c>
      <c r="CA43" s="83">
        <f>'Payroll Verisma'!CA25+'Payroll MRO'!CA25</f>
        <v>50</v>
      </c>
      <c r="CB43" s="83">
        <f>'Payroll Verisma'!CB25+'Payroll MRO'!CB25</f>
        <v>33</v>
      </c>
      <c r="CC43" s="83">
        <f>'Payroll Verisma'!CC25+'Payroll MRO'!CC25</f>
        <v>10</v>
      </c>
      <c r="CD43" s="83">
        <f>'Payroll Verisma'!CD25+'Payroll MRO'!CD25</f>
        <v>75</v>
      </c>
      <c r="CE43" s="83">
        <f>'Payroll Verisma'!CE25+'Payroll MRO'!CE25</f>
        <v>0</v>
      </c>
      <c r="CF43" s="83">
        <f>'Payroll Verisma'!CF25+'Payroll MRO'!CF25</f>
        <v>5</v>
      </c>
      <c r="CG43" s="83">
        <f>'Payroll Verisma'!CG25+'Payroll MRO'!CG25</f>
        <v>0</v>
      </c>
      <c r="CH43" s="83">
        <f>'Payroll Verisma'!CH25+'Payroll MRO'!CH25</f>
        <v>48</v>
      </c>
      <c r="CI43" s="83">
        <f>'Payroll Verisma'!CI25+'Payroll MRO'!CI25</f>
        <v>0</v>
      </c>
      <c r="CJ43" s="83">
        <f>'Payroll Verisma'!CJ25+'Payroll MRO'!CJ25</f>
        <v>170</v>
      </c>
      <c r="CK43" s="83">
        <f>'Payroll Verisma'!CK25+'Payroll MRO'!CK25</f>
        <v>0</v>
      </c>
      <c r="CL43" s="83">
        <f>'Payroll Verisma'!CL25+'Payroll MRO'!CL25</f>
        <v>41</v>
      </c>
      <c r="CM43" s="83">
        <f>'Payroll Verisma'!CM25+'Payroll MRO'!CM25</f>
        <v>0</v>
      </c>
      <c r="CN43" s="83">
        <f>'Payroll Verisma'!CN25+'Payroll MRO'!CN25</f>
        <v>27</v>
      </c>
      <c r="CO43" s="83">
        <f>'Payroll Verisma'!CO25+'Payroll MRO'!CO25</f>
        <v>20</v>
      </c>
      <c r="CP43" s="83">
        <f>'Payroll Verisma'!CP25+'Payroll MRO'!CP25</f>
        <v>92</v>
      </c>
      <c r="CQ43" s="83">
        <f>'Payroll Verisma'!CQ25+'Payroll MRO'!CQ25</f>
        <v>0</v>
      </c>
      <c r="CR43" s="83">
        <f>'Payroll Verisma'!CR25+'Payroll MRO'!CR25</f>
        <v>28</v>
      </c>
      <c r="CS43" s="83">
        <f>'Payroll Verisma'!CS25+'Payroll MRO'!CS25</f>
        <v>10</v>
      </c>
      <c r="CT43" s="83">
        <f>'Payroll Verisma'!CT25+'Payroll MRO'!CT25</f>
        <v>40</v>
      </c>
      <c r="CU43" s="83">
        <f>'Payroll Verisma'!CU25+'Payroll MRO'!CU25</f>
        <v>0</v>
      </c>
      <c r="CV43" s="83">
        <f>'Payroll Verisma'!CV25+'Payroll MRO'!CV25</f>
        <v>15</v>
      </c>
      <c r="CW43" s="83">
        <f>'Payroll Verisma'!CW25+'Payroll MRO'!CW25</f>
        <v>0</v>
      </c>
      <c r="CX43" s="83">
        <f>'Payroll Verisma'!CX25+'Payroll MRO'!CX25</f>
        <v>0</v>
      </c>
      <c r="CY43" s="83">
        <f>'Payroll Verisma'!CY25+'Payroll MRO'!CY25</f>
        <v>52</v>
      </c>
      <c r="CZ43" s="83">
        <f>'Payroll Verisma'!CZ25+'Payroll MRO'!CZ25</f>
        <v>56</v>
      </c>
      <c r="DA43" s="83">
        <f>'Payroll Verisma'!DA25+'Payroll MRO'!DA25</f>
        <v>39</v>
      </c>
      <c r="DB43" s="83">
        <f>'Payroll Verisma'!DB25+'Payroll MRO'!DB25</f>
        <v>0</v>
      </c>
      <c r="DC43" s="83">
        <f>'Payroll Verisma'!DC25+'Payroll MRO'!DC25</f>
        <v>0</v>
      </c>
      <c r="DD43" s="83">
        <f>'Payroll Verisma'!DD25+'Payroll MRO'!DD25</f>
        <v>65</v>
      </c>
      <c r="DE43" s="83">
        <f>'Payroll Verisma'!DE25+'Payroll MRO'!DE25</f>
        <v>55</v>
      </c>
      <c r="DF43" s="83">
        <f>'Payroll Verisma'!DF25+'Payroll MRO'!DF25</f>
        <v>0</v>
      </c>
      <c r="DG43" s="83">
        <f>'Payroll Verisma'!DG25+'Payroll MRO'!DG25</f>
        <v>10</v>
      </c>
      <c r="DH43" s="83">
        <f>'Payroll Verisma'!DH25+'Payroll MRO'!DH25</f>
        <v>0</v>
      </c>
      <c r="DI43" s="83">
        <f>'Payroll Verisma'!DI25+'Payroll MRO'!DI25</f>
        <v>81</v>
      </c>
      <c r="DJ43" s="83">
        <f>'Payroll Verisma'!DJ25+'Payroll MRO'!DJ25</f>
        <v>0</v>
      </c>
      <c r="DK43" s="83">
        <f>'Payroll Verisma'!DK25+'Payroll MRO'!DK25</f>
        <v>103</v>
      </c>
      <c r="DL43" s="83">
        <f>'Payroll Verisma'!DL25+'Payroll MRO'!DL25</f>
        <v>15</v>
      </c>
      <c r="DM43" s="83">
        <f>'Payroll Verisma'!DM25+'Payroll MRO'!DM25</f>
        <v>0</v>
      </c>
      <c r="DN43" s="83">
        <f>'Payroll Verisma'!DN25+'Payroll MRO'!DN25</f>
        <v>15</v>
      </c>
      <c r="DO43" s="83">
        <f>'Payroll Verisma'!DO25+'Payroll MRO'!DO25</f>
        <v>15</v>
      </c>
      <c r="DP43" s="83">
        <f>'Payroll Verisma'!DP25+'Payroll MRO'!DP25</f>
        <v>23</v>
      </c>
      <c r="DQ43" s="83">
        <f>'Payroll Verisma'!DQ25+'Payroll MRO'!DQ25</f>
        <v>39</v>
      </c>
      <c r="DR43" s="83">
        <f>'Payroll Verisma'!DR25+'Payroll MRO'!DR25</f>
        <v>10</v>
      </c>
      <c r="DS43" s="83">
        <f>'Payroll Verisma'!DS25+'Payroll MRO'!DS25</f>
        <v>28</v>
      </c>
      <c r="DT43" s="83">
        <f>'Payroll Verisma'!DT25+'Payroll MRO'!DT25</f>
        <v>55</v>
      </c>
      <c r="DU43" s="83">
        <f>'Payroll Verisma'!DU25+'Payroll MRO'!DU25</f>
        <v>24</v>
      </c>
      <c r="DV43" s="83">
        <f>'Payroll Verisma'!DV25+'Payroll MRO'!DV25</f>
        <v>0</v>
      </c>
      <c r="DW43" s="83">
        <f>'Payroll Verisma'!DW25+'Payroll MRO'!DW25</f>
        <v>0</v>
      </c>
      <c r="DX43" s="83">
        <f>'Payroll Verisma'!DX25+'Payroll MRO'!DX25</f>
        <v>43</v>
      </c>
      <c r="DY43" s="83">
        <f>'Payroll Verisma'!DY25+'Payroll MRO'!DY25</f>
        <v>0</v>
      </c>
      <c r="DZ43" s="83">
        <f>'Payroll Verisma'!DZ25+'Payroll MRO'!DZ25</f>
        <v>30</v>
      </c>
      <c r="EA43" s="83">
        <f>'Payroll Verisma'!EA25+'Payroll MRO'!EA25</f>
        <v>0</v>
      </c>
      <c r="EB43" s="83">
        <f>'Payroll Verisma'!EB25+'Payroll MRO'!EB25</f>
        <v>59</v>
      </c>
      <c r="EC43" s="83">
        <f>'Payroll Verisma'!EC25+'Payroll MRO'!EC25</f>
        <v>0</v>
      </c>
      <c r="ED43" s="83">
        <f>'Payroll Verisma'!ED25+'Payroll MRO'!ED25</f>
        <v>92</v>
      </c>
      <c r="EE43" s="83">
        <f>'Payroll Verisma'!EE25+'Payroll MRO'!EE25</f>
        <v>23</v>
      </c>
      <c r="EF43" s="83">
        <f>'Payroll Verisma'!EF25+'Payroll MRO'!EF25</f>
        <v>48</v>
      </c>
      <c r="EG43" s="83">
        <f>'Payroll Verisma'!EG25+'Payroll MRO'!EG25</f>
        <v>0</v>
      </c>
      <c r="EH43" s="83">
        <f>'Payroll Verisma'!EH25+'Payroll MRO'!EH25</f>
        <v>14</v>
      </c>
      <c r="EI43" s="83">
        <f>'Payroll Verisma'!EI25+'Payroll MRO'!EI25</f>
        <v>42</v>
      </c>
      <c r="EJ43" s="83">
        <f>'Payroll Verisma'!EJ25+'Payroll MRO'!EJ25</f>
        <v>27</v>
      </c>
      <c r="EK43" s="83">
        <f>'Payroll Verisma'!EK25+'Payroll MRO'!EK25</f>
        <v>26</v>
      </c>
      <c r="EL43" s="83">
        <f>'Payroll Verisma'!EL25+'Payroll MRO'!EL25</f>
        <v>23</v>
      </c>
      <c r="EM43" s="83">
        <f>'Payroll Verisma'!EM25+'Payroll MRO'!EM25</f>
        <v>36</v>
      </c>
      <c r="EN43" s="83">
        <f>'Payroll Verisma'!EN25+'Payroll MRO'!EN25</f>
        <v>99</v>
      </c>
      <c r="EO43" s="83">
        <f>'Payroll Verisma'!EO25+'Payroll MRO'!EO25</f>
        <v>25</v>
      </c>
      <c r="EP43" s="83">
        <f>'Payroll Verisma'!EP25+'Payroll MRO'!EP25</f>
        <v>24</v>
      </c>
      <c r="EQ43" s="83">
        <f>'Payroll Verisma'!EQ25+'Payroll MRO'!EQ25</f>
        <v>11</v>
      </c>
      <c r="ER43" s="83">
        <f>'Payroll Verisma'!ER25+'Payroll MRO'!ER25</f>
        <v>17</v>
      </c>
      <c r="ES43" s="83">
        <f>'Payroll Verisma'!ES25+'Payroll MRO'!ES25</f>
        <v>28</v>
      </c>
      <c r="ET43" s="83">
        <f>'Payroll Verisma'!ET25+'Payroll MRO'!ET25</f>
        <v>0</v>
      </c>
      <c r="EU43" s="83">
        <f>'Payroll Verisma'!EU25+'Payroll MRO'!EU25</f>
        <v>89</v>
      </c>
      <c r="EV43" s="83">
        <f>'Payroll Verisma'!EV25+'Payroll MRO'!EV25</f>
        <v>36</v>
      </c>
      <c r="EW43" s="83">
        <f>'Payroll Verisma'!EW25+'Payroll MRO'!EW25</f>
        <v>0</v>
      </c>
      <c r="EX43" s="83">
        <f>'Payroll Verisma'!EX25+'Payroll MRO'!EX25</f>
        <v>28</v>
      </c>
      <c r="EY43" s="83">
        <f>'Payroll Verisma'!EY25+'Payroll MRO'!EY25</f>
        <v>26</v>
      </c>
      <c r="EZ43" s="83">
        <f>'Payroll Verisma'!EZ25+'Payroll MRO'!EZ25</f>
        <v>18</v>
      </c>
      <c r="FA43" s="83">
        <f>'Payroll Verisma'!FA25+'Payroll MRO'!FA25</f>
        <v>0</v>
      </c>
      <c r="FB43" s="83">
        <f>'Payroll Verisma'!FB25+'Payroll MRO'!FB25</f>
        <v>9</v>
      </c>
      <c r="FC43" s="83">
        <f>'Payroll Verisma'!FC25+'Payroll MRO'!FC25</f>
        <v>0</v>
      </c>
      <c r="FD43" s="83">
        <f>'Payroll Verisma'!FD25+'Payroll MRO'!FD25</f>
        <v>0</v>
      </c>
      <c r="FE43" s="83">
        <f>'Payroll Verisma'!FE25+'Payroll MRO'!FE25</f>
        <v>0</v>
      </c>
      <c r="FF43" s="83">
        <f>'Payroll Verisma'!FF25+'Payroll MRO'!FF25</f>
        <v>41</v>
      </c>
      <c r="FG43" s="83">
        <f>'Payroll Verisma'!FG25+'Payroll MRO'!FG25</f>
        <v>0</v>
      </c>
      <c r="FH43" s="83">
        <f>'Payroll Verisma'!FH25+'Payroll MRO'!FH25</f>
        <v>259</v>
      </c>
      <c r="FI43" s="83">
        <f>'Payroll Verisma'!FI25+'Payroll MRO'!FI25</f>
        <v>12</v>
      </c>
      <c r="FJ43" s="83">
        <f>'Payroll Verisma'!FJ25+'Payroll MRO'!FJ25</f>
        <v>0</v>
      </c>
      <c r="FK43" s="83">
        <f>'Payroll Verisma'!FK25+'Payroll MRO'!FK25</f>
        <v>46</v>
      </c>
      <c r="FL43" s="83">
        <f>'Payroll Verisma'!FL25+'Payroll MRO'!FL25</f>
        <v>0</v>
      </c>
      <c r="FM43" s="83">
        <f>'Payroll Verisma'!FM25+'Payroll MRO'!FM25</f>
        <v>14</v>
      </c>
      <c r="FN43" s="83">
        <f>'Payroll Verisma'!FN25+'Payroll MRO'!FN25</f>
        <v>0</v>
      </c>
      <c r="FO43" s="83">
        <f>'Payroll Verisma'!FO25+'Payroll MRO'!FO25</f>
        <v>40</v>
      </c>
      <c r="FP43" s="83">
        <f>'Payroll Verisma'!FP25+'Payroll MRO'!FP25</f>
        <v>32</v>
      </c>
      <c r="FQ43" s="83">
        <f>'Payroll Verisma'!FQ25+'Payroll MRO'!FQ25</f>
        <v>72</v>
      </c>
      <c r="FR43" s="83">
        <f>'Payroll Verisma'!FR25+'Payroll MRO'!FR25</f>
        <v>50</v>
      </c>
      <c r="FS43" s="83">
        <f>'Payroll Verisma'!FS25+'Payroll MRO'!FS25</f>
        <v>46</v>
      </c>
      <c r="FT43" s="83">
        <f>'Payroll Verisma'!FT25+'Payroll MRO'!FT25</f>
        <v>28</v>
      </c>
      <c r="FU43" s="83">
        <f>'Payroll Verisma'!FU25+'Payroll MRO'!FU25</f>
        <v>0</v>
      </c>
      <c r="FV43" s="83">
        <f>'Payroll Verisma'!FV25+'Payroll MRO'!FV25</f>
        <v>10</v>
      </c>
      <c r="FW43" s="83">
        <f>'Payroll Verisma'!FW25+'Payroll MRO'!FW25</f>
        <v>0</v>
      </c>
      <c r="FX43" s="83">
        <f>'Payroll Verisma'!FX25+'Payroll MRO'!FX25</f>
        <v>0</v>
      </c>
      <c r="FY43" s="83">
        <f>'Payroll Verisma'!FY25+'Payroll MRO'!FY25</f>
        <v>31</v>
      </c>
      <c r="FZ43" s="83">
        <f>'Payroll Verisma'!FZ25+'Payroll MRO'!FZ25</f>
        <v>58</v>
      </c>
      <c r="GA43" s="83">
        <f>'Payroll Verisma'!GA25+'Payroll MRO'!GA25</f>
        <v>0</v>
      </c>
      <c r="GB43" s="83">
        <f>'Payroll Verisma'!GB25+'Payroll MRO'!GB25</f>
        <v>25</v>
      </c>
      <c r="GC43" s="83">
        <f>'Payroll Verisma'!GC25+'Payroll MRO'!GC25</f>
        <v>0</v>
      </c>
      <c r="GD43" s="83">
        <f>'Payroll Verisma'!GD25+'Payroll MRO'!GD25</f>
        <v>0</v>
      </c>
      <c r="GE43" s="83">
        <f>'Payroll Verisma'!GE25+'Payroll MRO'!GE25</f>
        <v>46</v>
      </c>
      <c r="GF43" s="83">
        <f>'Payroll Verisma'!GF25+'Payroll MRO'!GF25</f>
        <v>46</v>
      </c>
      <c r="GG43" s="83">
        <f>'Payroll Verisma'!GG25+'Payroll MRO'!GG25</f>
        <v>0</v>
      </c>
      <c r="GH43" s="83">
        <f>'Payroll Verisma'!GH25+'Payroll MRO'!GH25</f>
        <v>14</v>
      </c>
      <c r="GI43" s="83">
        <f>'Payroll Verisma'!GI25+'Payroll MRO'!GI25</f>
        <v>22</v>
      </c>
      <c r="GJ43" s="83">
        <f>'Payroll Verisma'!GJ25+'Payroll MRO'!GJ25</f>
        <v>39</v>
      </c>
      <c r="GK43" s="83">
        <f>'Payroll Verisma'!GK25+'Payroll MRO'!GK25</f>
        <v>31</v>
      </c>
      <c r="GL43" s="83">
        <f>'Payroll Verisma'!GL25+'Payroll MRO'!GL25</f>
        <v>13</v>
      </c>
      <c r="GM43" s="83">
        <f>'Payroll Verisma'!GM25+'Payroll MRO'!GM25</f>
        <v>122</v>
      </c>
      <c r="GN43" s="83">
        <f>'Payroll Verisma'!GN25+'Payroll MRO'!GN25</f>
        <v>39</v>
      </c>
      <c r="GO43" s="83">
        <f>'Payroll Verisma'!GO25+'Payroll MRO'!GO25</f>
        <v>28</v>
      </c>
      <c r="GP43" s="83">
        <f>'Payroll Verisma'!GP25+'Payroll MRO'!GP25</f>
        <v>0</v>
      </c>
      <c r="GQ43" s="83">
        <f>'Payroll Verisma'!GQ25+'Payroll MRO'!GQ25</f>
        <v>0</v>
      </c>
      <c r="GR43" s="83">
        <f>'Payroll Verisma'!GR25+'Payroll MRO'!GR25</f>
        <v>32</v>
      </c>
    </row>
    <row r="44" spans="1:200" ht="15.6">
      <c r="A44" s="81">
        <f t="shared" si="83"/>
        <v>46046</v>
      </c>
      <c r="B44" s="82" t="str">
        <f t="shared" si="82"/>
        <v>Sat</v>
      </c>
      <c r="C44" s="75">
        <f t="shared" si="81"/>
        <v>401</v>
      </c>
      <c r="D44" s="83">
        <f>'Payroll Verisma'!D26+'Payroll MRO'!D26</f>
        <v>0</v>
      </c>
      <c r="E44" s="83">
        <f>'Payroll Verisma'!E26+'Payroll MRO'!E26</f>
        <v>0</v>
      </c>
      <c r="F44" s="83">
        <f>'Payroll Verisma'!F26+'Payroll MRO'!F26</f>
        <v>0</v>
      </c>
      <c r="G44" s="83">
        <f>'Payroll Verisma'!G26+'Payroll MRO'!G26</f>
        <v>0</v>
      </c>
      <c r="H44" s="83">
        <f>'Payroll Verisma'!H26+'Payroll MRO'!H26</f>
        <v>22</v>
      </c>
      <c r="I44" s="83">
        <f>'Payroll Verisma'!I26+'Payroll MRO'!I26</f>
        <v>0</v>
      </c>
      <c r="J44" s="83">
        <f>'Payroll Verisma'!J26+'Payroll MRO'!J26</f>
        <v>0</v>
      </c>
      <c r="K44" s="83">
        <f>'Payroll Verisma'!K26+'Payroll MRO'!K26</f>
        <v>0</v>
      </c>
      <c r="L44" s="83">
        <f>'Payroll Verisma'!L26+'Payroll MRO'!L26</f>
        <v>0</v>
      </c>
      <c r="M44" s="83">
        <f>'Payroll Verisma'!M26+'Payroll MRO'!M26</f>
        <v>6</v>
      </c>
      <c r="N44" s="83">
        <f>'Payroll Verisma'!N26+'Payroll MRO'!N26</f>
        <v>0</v>
      </c>
      <c r="O44" s="83">
        <f>'Payroll Verisma'!O26+'Payroll MRO'!O26</f>
        <v>0</v>
      </c>
      <c r="P44" s="83">
        <f>'Payroll Verisma'!P26+'Payroll MRO'!P26</f>
        <v>17</v>
      </c>
      <c r="Q44" s="83">
        <f>'Payroll Verisma'!Q26+'Payroll MRO'!Q26</f>
        <v>0</v>
      </c>
      <c r="R44" s="83">
        <f>'Payroll Verisma'!R26+'Payroll MRO'!R26</f>
        <v>0</v>
      </c>
      <c r="S44" s="83">
        <f>'Payroll Verisma'!S26+'Payroll MRO'!S26</f>
        <v>0</v>
      </c>
      <c r="T44" s="83">
        <f>'Payroll Verisma'!T26+'Payroll MRO'!T26</f>
        <v>0</v>
      </c>
      <c r="U44" s="83">
        <f>'Payroll Verisma'!U26+'Payroll MRO'!U26</f>
        <v>0</v>
      </c>
      <c r="V44" s="83">
        <f>'Payroll Verisma'!V26+'Payroll MRO'!V26</f>
        <v>0</v>
      </c>
      <c r="W44" s="83">
        <f>'Payroll Verisma'!W26+'Payroll MRO'!W26</f>
        <v>0</v>
      </c>
      <c r="X44" s="83">
        <f>'Payroll Verisma'!X26+'Payroll MRO'!X26</f>
        <v>0</v>
      </c>
      <c r="Y44" s="83">
        <f>'Payroll Verisma'!Y26+'Payroll MRO'!Y26</f>
        <v>14</v>
      </c>
      <c r="Z44" s="83">
        <f>'Payroll Verisma'!Z26+'Payroll MRO'!Z26</f>
        <v>0</v>
      </c>
      <c r="AA44" s="83">
        <f>'Payroll Verisma'!AA26+'Payroll MRO'!AA26</f>
        <v>0</v>
      </c>
      <c r="AB44" s="83">
        <f>'Payroll Verisma'!AB26+'Payroll MRO'!AB26</f>
        <v>0</v>
      </c>
      <c r="AC44" s="83">
        <f>'Payroll Verisma'!AC26+'Payroll MRO'!AC26</f>
        <v>0</v>
      </c>
      <c r="AD44" s="83">
        <f>'Payroll Verisma'!AD26+'Payroll MRO'!AD26</f>
        <v>0</v>
      </c>
      <c r="AE44" s="83">
        <f>'Payroll Verisma'!AE26+'Payroll MRO'!AE26</f>
        <v>0</v>
      </c>
      <c r="AF44" s="83">
        <f>'Payroll Verisma'!AF26+'Payroll MRO'!AF26</f>
        <v>0</v>
      </c>
      <c r="AG44" s="83">
        <f>'Payroll Verisma'!AG26+'Payroll MRO'!AG26</f>
        <v>0</v>
      </c>
      <c r="AH44" s="83">
        <f>'Payroll Verisma'!AH26+'Payroll MRO'!AH26</f>
        <v>47</v>
      </c>
      <c r="AI44" s="83">
        <f>'Payroll Verisma'!AI26+'Payroll MRO'!AI26</f>
        <v>0</v>
      </c>
      <c r="AJ44" s="83">
        <f>'Payroll Verisma'!AJ26+'Payroll MRO'!AJ26</f>
        <v>0</v>
      </c>
      <c r="AK44" s="83">
        <f>'Payroll Verisma'!AK26+'Payroll MRO'!AK26</f>
        <v>0</v>
      </c>
      <c r="AL44" s="83">
        <f>'Payroll Verisma'!AL26+'Payroll MRO'!AL26</f>
        <v>0</v>
      </c>
      <c r="AM44" s="83">
        <f>'Payroll Verisma'!AM26+'Payroll MRO'!AM26</f>
        <v>0</v>
      </c>
      <c r="AN44" s="83">
        <f>'Payroll Verisma'!AN26+'Payroll MRO'!AN26</f>
        <v>8</v>
      </c>
      <c r="AO44" s="83">
        <f>'Payroll Verisma'!AO26+'Payroll MRO'!AO26</f>
        <v>0</v>
      </c>
      <c r="AP44" s="83">
        <f>'Payroll Verisma'!AP26+'Payroll MRO'!AP26</f>
        <v>0</v>
      </c>
      <c r="AQ44" s="83">
        <f>'Payroll Verisma'!AQ26+'Payroll MRO'!AQ26</f>
        <v>0</v>
      </c>
      <c r="AR44" s="83">
        <f>'Payroll Verisma'!AR26+'Payroll MRO'!AR26</f>
        <v>0</v>
      </c>
      <c r="AS44" s="83">
        <f>'Payroll Verisma'!AS26+'Payroll MRO'!AS26</f>
        <v>0</v>
      </c>
      <c r="AT44" s="83">
        <f>'Payroll Verisma'!AT26+'Payroll MRO'!AT26</f>
        <v>0</v>
      </c>
      <c r="AU44" s="83">
        <f>'Payroll Verisma'!AU26+'Payroll MRO'!AU26</f>
        <v>0</v>
      </c>
      <c r="AV44" s="83">
        <f>'Payroll Verisma'!AV26+'Payroll MRO'!AV26</f>
        <v>0</v>
      </c>
      <c r="AW44" s="83">
        <f>'Payroll Verisma'!AW26+'Payroll MRO'!AW26</f>
        <v>0</v>
      </c>
      <c r="AX44" s="83">
        <f>'Payroll Verisma'!AX26+'Payroll MRO'!AX26</f>
        <v>0</v>
      </c>
      <c r="AY44" s="83">
        <f>'Payroll Verisma'!AY26+'Payroll MRO'!AY26</f>
        <v>0</v>
      </c>
      <c r="AZ44" s="83">
        <f>'Payroll Verisma'!AZ26+'Payroll MRO'!AZ26</f>
        <v>0</v>
      </c>
      <c r="BA44" s="83">
        <f>'Payroll Verisma'!BA26+'Payroll MRO'!BA26</f>
        <v>0</v>
      </c>
      <c r="BB44" s="83">
        <f>'Payroll Verisma'!BB26+'Payroll MRO'!BB26</f>
        <v>13</v>
      </c>
      <c r="BC44" s="83">
        <f>'Payroll Verisma'!BC26+'Payroll MRO'!BC26</f>
        <v>0</v>
      </c>
      <c r="BD44" s="83">
        <f>'Payroll Verisma'!BD26+'Payroll MRO'!BD26</f>
        <v>0</v>
      </c>
      <c r="BE44" s="83">
        <f>'Payroll Verisma'!BE26+'Payroll MRO'!BE26</f>
        <v>0</v>
      </c>
      <c r="BF44" s="83">
        <f>'Payroll Verisma'!BF26+'Payroll MRO'!BF26</f>
        <v>0</v>
      </c>
      <c r="BG44" s="83">
        <f>'Payroll Verisma'!BG26+'Payroll MRO'!BG26</f>
        <v>0</v>
      </c>
      <c r="BH44" s="83">
        <f>'Payroll Verisma'!BH26+'Payroll MRO'!BH26</f>
        <v>0</v>
      </c>
      <c r="BI44" s="83">
        <f>'Payroll Verisma'!BI26+'Payroll MRO'!BI26</f>
        <v>0</v>
      </c>
      <c r="BJ44" s="83">
        <f>'Payroll Verisma'!BJ26+'Payroll MRO'!BJ26</f>
        <v>0</v>
      </c>
      <c r="BK44" s="83">
        <f>'Payroll Verisma'!BK26+'Payroll MRO'!BK26</f>
        <v>0</v>
      </c>
      <c r="BL44" s="83">
        <f>'Payroll Verisma'!BL26+'Payroll MRO'!BL26</f>
        <v>0</v>
      </c>
      <c r="BM44" s="83">
        <f>'Payroll Verisma'!BM26+'Payroll MRO'!BM26</f>
        <v>0</v>
      </c>
      <c r="BN44" s="83">
        <f>'Payroll Verisma'!BN26+'Payroll MRO'!BN26</f>
        <v>0</v>
      </c>
      <c r="BO44" s="83">
        <f>'Payroll Verisma'!BO26+'Payroll MRO'!BO26</f>
        <v>0</v>
      </c>
      <c r="BP44" s="83">
        <f>'Payroll Verisma'!BP26+'Payroll MRO'!BP26</f>
        <v>0</v>
      </c>
      <c r="BQ44" s="83">
        <f>'Payroll Verisma'!BQ26+'Payroll MRO'!BQ26</f>
        <v>0</v>
      </c>
      <c r="BR44" s="83">
        <f>'Payroll Verisma'!BR26+'Payroll MRO'!BR26</f>
        <v>0</v>
      </c>
      <c r="BS44" s="83">
        <f>'Payroll Verisma'!BS26+'Payroll MRO'!BS26</f>
        <v>0</v>
      </c>
      <c r="BT44" s="83">
        <f>'Payroll Verisma'!BT26+'Payroll MRO'!BT26</f>
        <v>0</v>
      </c>
      <c r="BU44" s="83">
        <f>'Payroll Verisma'!BU26+'Payroll MRO'!BU26</f>
        <v>0</v>
      </c>
      <c r="BV44" s="83">
        <f>'Payroll Verisma'!BV26+'Payroll MRO'!BV26</f>
        <v>0</v>
      </c>
      <c r="BW44" s="83">
        <f>'Payroll Verisma'!BW26+'Payroll MRO'!BW26</f>
        <v>0</v>
      </c>
      <c r="BX44" s="83">
        <f>'Payroll Verisma'!BX26+'Payroll MRO'!BX26</f>
        <v>0</v>
      </c>
      <c r="BY44" s="83">
        <f>'Payroll Verisma'!BY26+'Payroll MRO'!BY26</f>
        <v>0</v>
      </c>
      <c r="BZ44" s="83">
        <f>'Payroll Verisma'!BZ26+'Payroll MRO'!BZ26</f>
        <v>0</v>
      </c>
      <c r="CA44" s="83">
        <f>'Payroll Verisma'!CA26+'Payroll MRO'!CA26</f>
        <v>0</v>
      </c>
      <c r="CB44" s="83">
        <f>'Payroll Verisma'!CB26+'Payroll MRO'!CB26</f>
        <v>0</v>
      </c>
      <c r="CC44" s="83">
        <f>'Payroll Verisma'!CC26+'Payroll MRO'!CC26</f>
        <v>0</v>
      </c>
      <c r="CD44" s="83">
        <f>'Payroll Verisma'!CD26+'Payroll MRO'!CD26</f>
        <v>0</v>
      </c>
      <c r="CE44" s="83">
        <f>'Payroll Verisma'!CE26+'Payroll MRO'!CE26</f>
        <v>0</v>
      </c>
      <c r="CF44" s="83">
        <f>'Payroll Verisma'!CF26+'Payroll MRO'!CF26</f>
        <v>0</v>
      </c>
      <c r="CG44" s="83">
        <f>'Payroll Verisma'!CG26+'Payroll MRO'!CG26</f>
        <v>0</v>
      </c>
      <c r="CH44" s="83">
        <f>'Payroll Verisma'!CH26+'Payroll MRO'!CH26</f>
        <v>0</v>
      </c>
      <c r="CI44" s="83">
        <f>'Payroll Verisma'!CI26+'Payroll MRO'!CI26</f>
        <v>0</v>
      </c>
      <c r="CJ44" s="83">
        <f>'Payroll Verisma'!CJ26+'Payroll MRO'!CJ26</f>
        <v>86</v>
      </c>
      <c r="CK44" s="83">
        <f>'Payroll Verisma'!CK26+'Payroll MRO'!CK26</f>
        <v>0</v>
      </c>
      <c r="CL44" s="83">
        <f>'Payroll Verisma'!CL26+'Payroll MRO'!CL26</f>
        <v>0</v>
      </c>
      <c r="CM44" s="83">
        <f>'Payroll Verisma'!CM26+'Payroll MRO'!CM26</f>
        <v>0</v>
      </c>
      <c r="CN44" s="83">
        <f>'Payroll Verisma'!CN26+'Payroll MRO'!CN26</f>
        <v>0</v>
      </c>
      <c r="CO44" s="83">
        <f>'Payroll Verisma'!CO26+'Payroll MRO'!CO26</f>
        <v>8</v>
      </c>
      <c r="CP44" s="83">
        <f>'Payroll Verisma'!CP26+'Payroll MRO'!CP26</f>
        <v>0</v>
      </c>
      <c r="CQ44" s="83">
        <f>'Payroll Verisma'!CQ26+'Payroll MRO'!CQ26</f>
        <v>0</v>
      </c>
      <c r="CR44" s="83">
        <f>'Payroll Verisma'!CR26+'Payroll MRO'!CR26</f>
        <v>21</v>
      </c>
      <c r="CS44" s="83">
        <f>'Payroll Verisma'!CS26+'Payroll MRO'!CS26</f>
        <v>0</v>
      </c>
      <c r="CT44" s="83">
        <f>'Payroll Verisma'!CT26+'Payroll MRO'!CT26</f>
        <v>0</v>
      </c>
      <c r="CU44" s="83">
        <f>'Payroll Verisma'!CU26+'Payroll MRO'!CU26</f>
        <v>0</v>
      </c>
      <c r="CV44" s="83">
        <f>'Payroll Verisma'!CV26+'Payroll MRO'!CV26</f>
        <v>0</v>
      </c>
      <c r="CW44" s="83">
        <f>'Payroll Verisma'!CW26+'Payroll MRO'!CW26</f>
        <v>0</v>
      </c>
      <c r="CX44" s="83">
        <f>'Payroll Verisma'!CX26+'Payroll MRO'!CX26</f>
        <v>0</v>
      </c>
      <c r="CY44" s="83">
        <f>'Payroll Verisma'!CY26+'Payroll MRO'!CY26</f>
        <v>0</v>
      </c>
      <c r="CZ44" s="83">
        <f>'Payroll Verisma'!CZ26+'Payroll MRO'!CZ26</f>
        <v>0</v>
      </c>
      <c r="DA44" s="83">
        <f>'Payroll Verisma'!DA26+'Payroll MRO'!DA26</f>
        <v>0</v>
      </c>
      <c r="DB44" s="83">
        <f>'Payroll Verisma'!DB26+'Payroll MRO'!DB26</f>
        <v>0</v>
      </c>
      <c r="DC44" s="83">
        <f>'Payroll Verisma'!DC26+'Payroll MRO'!DC26</f>
        <v>0</v>
      </c>
      <c r="DD44" s="83">
        <f>'Payroll Verisma'!DD26+'Payroll MRO'!DD26</f>
        <v>0</v>
      </c>
      <c r="DE44" s="83">
        <f>'Payroll Verisma'!DE26+'Payroll MRO'!DE26</f>
        <v>5</v>
      </c>
      <c r="DF44" s="83">
        <f>'Payroll Verisma'!DF26+'Payroll MRO'!DF26</f>
        <v>0</v>
      </c>
      <c r="DG44" s="83">
        <f>'Payroll Verisma'!DG26+'Payroll MRO'!DG26</f>
        <v>0</v>
      </c>
      <c r="DH44" s="83">
        <f>'Payroll Verisma'!DH26+'Payroll MRO'!DH26</f>
        <v>0</v>
      </c>
      <c r="DI44" s="83">
        <f>'Payroll Verisma'!DI26+'Payroll MRO'!DI26</f>
        <v>0</v>
      </c>
      <c r="DJ44" s="83">
        <f>'Payroll Verisma'!DJ26+'Payroll MRO'!DJ26</f>
        <v>0</v>
      </c>
      <c r="DK44" s="83">
        <f>'Payroll Verisma'!DK26+'Payroll MRO'!DK26</f>
        <v>0</v>
      </c>
      <c r="DL44" s="83">
        <f>'Payroll Verisma'!DL26+'Payroll MRO'!DL26</f>
        <v>0</v>
      </c>
      <c r="DM44" s="83">
        <f>'Payroll Verisma'!DM26+'Payroll MRO'!DM26</f>
        <v>0</v>
      </c>
      <c r="DN44" s="83">
        <f>'Payroll Verisma'!DN26+'Payroll MRO'!DN26</f>
        <v>0</v>
      </c>
      <c r="DO44" s="83">
        <f>'Payroll Verisma'!DO26+'Payroll MRO'!DO26</f>
        <v>0</v>
      </c>
      <c r="DP44" s="83">
        <f>'Payroll Verisma'!DP26+'Payroll MRO'!DP26</f>
        <v>0</v>
      </c>
      <c r="DQ44" s="83">
        <f>'Payroll Verisma'!DQ26+'Payroll MRO'!DQ26</f>
        <v>0</v>
      </c>
      <c r="DR44" s="83">
        <f>'Payroll Verisma'!DR26+'Payroll MRO'!DR26</f>
        <v>0</v>
      </c>
      <c r="DS44" s="83">
        <f>'Payroll Verisma'!DS26+'Payroll MRO'!DS26</f>
        <v>0</v>
      </c>
      <c r="DT44" s="83">
        <f>'Payroll Verisma'!DT26+'Payroll MRO'!DT26</f>
        <v>0</v>
      </c>
      <c r="DU44" s="83">
        <f>'Payroll Verisma'!DU26+'Payroll MRO'!DU26</f>
        <v>0</v>
      </c>
      <c r="DV44" s="83">
        <f>'Payroll Verisma'!DV26+'Payroll MRO'!DV26</f>
        <v>0</v>
      </c>
      <c r="DW44" s="83">
        <f>'Payroll Verisma'!DW26+'Payroll MRO'!DW26</f>
        <v>0</v>
      </c>
      <c r="DX44" s="83">
        <f>'Payroll Verisma'!DX26+'Payroll MRO'!DX26</f>
        <v>0</v>
      </c>
      <c r="DY44" s="83">
        <f>'Payroll Verisma'!DY26+'Payroll MRO'!DY26</f>
        <v>0</v>
      </c>
      <c r="DZ44" s="83">
        <f>'Payroll Verisma'!DZ26+'Payroll MRO'!DZ26</f>
        <v>0</v>
      </c>
      <c r="EA44" s="83">
        <f>'Payroll Verisma'!EA26+'Payroll MRO'!EA26</f>
        <v>0</v>
      </c>
      <c r="EB44" s="83">
        <f>'Payroll Verisma'!EB26+'Payroll MRO'!EB26</f>
        <v>0</v>
      </c>
      <c r="EC44" s="83">
        <f>'Payroll Verisma'!EC26+'Payroll MRO'!EC26</f>
        <v>0</v>
      </c>
      <c r="ED44" s="83">
        <f>'Payroll Verisma'!ED26+'Payroll MRO'!ED26</f>
        <v>29</v>
      </c>
      <c r="EE44" s="83">
        <f>'Payroll Verisma'!EE26+'Payroll MRO'!EE26</f>
        <v>0</v>
      </c>
      <c r="EF44" s="83">
        <f>'Payroll Verisma'!EF26+'Payroll MRO'!EF26</f>
        <v>0</v>
      </c>
      <c r="EG44" s="83">
        <f>'Payroll Verisma'!EG26+'Payroll MRO'!EG26</f>
        <v>0</v>
      </c>
      <c r="EH44" s="83">
        <f>'Payroll Verisma'!EH26+'Payroll MRO'!EH26</f>
        <v>0</v>
      </c>
      <c r="EI44" s="83">
        <f>'Payroll Verisma'!EI26+'Payroll MRO'!EI26</f>
        <v>0</v>
      </c>
      <c r="EJ44" s="83">
        <f>'Payroll Verisma'!EJ26+'Payroll MRO'!EJ26</f>
        <v>0</v>
      </c>
      <c r="EK44" s="83">
        <f>'Payroll Verisma'!EK26+'Payroll MRO'!EK26</f>
        <v>0</v>
      </c>
      <c r="EL44" s="83">
        <f>'Payroll Verisma'!EL26+'Payroll MRO'!EL26</f>
        <v>0</v>
      </c>
      <c r="EM44" s="83">
        <f>'Payroll Verisma'!EM26+'Payroll MRO'!EM26</f>
        <v>0</v>
      </c>
      <c r="EN44" s="83">
        <f>'Payroll Verisma'!EN26+'Payroll MRO'!EN26</f>
        <v>0</v>
      </c>
      <c r="EO44" s="83">
        <f>'Payroll Verisma'!EO26+'Payroll MRO'!EO26</f>
        <v>0</v>
      </c>
      <c r="EP44" s="83">
        <f>'Payroll Verisma'!EP26+'Payroll MRO'!EP26</f>
        <v>0</v>
      </c>
      <c r="EQ44" s="83">
        <f>'Payroll Verisma'!EQ26+'Payroll MRO'!EQ26</f>
        <v>0</v>
      </c>
      <c r="ER44" s="83">
        <f>'Payroll Verisma'!ER26+'Payroll MRO'!ER26</f>
        <v>0</v>
      </c>
      <c r="ES44" s="83">
        <f>'Payroll Verisma'!ES26+'Payroll MRO'!ES26</f>
        <v>0</v>
      </c>
      <c r="ET44" s="83">
        <f>'Payroll Verisma'!ET26+'Payroll MRO'!ET26</f>
        <v>0</v>
      </c>
      <c r="EU44" s="83">
        <f>'Payroll Verisma'!EU26+'Payroll MRO'!EU26</f>
        <v>0</v>
      </c>
      <c r="EV44" s="83">
        <f>'Payroll Verisma'!EV26+'Payroll MRO'!EV26</f>
        <v>0</v>
      </c>
      <c r="EW44" s="83">
        <f>'Payroll Verisma'!EW26+'Payroll MRO'!EW26</f>
        <v>0</v>
      </c>
      <c r="EX44" s="83">
        <f>'Payroll Verisma'!EX26+'Payroll MRO'!EX26</f>
        <v>0</v>
      </c>
      <c r="EY44" s="83">
        <f>'Payroll Verisma'!EY26+'Payroll MRO'!EY26</f>
        <v>0</v>
      </c>
      <c r="EZ44" s="83">
        <f>'Payroll Verisma'!EZ26+'Payroll MRO'!EZ26</f>
        <v>0</v>
      </c>
      <c r="FA44" s="83">
        <f>'Payroll Verisma'!FA26+'Payroll MRO'!FA26</f>
        <v>0</v>
      </c>
      <c r="FB44" s="83">
        <f>'Payroll Verisma'!FB26+'Payroll MRO'!FB26</f>
        <v>0</v>
      </c>
      <c r="FC44" s="83">
        <f>'Payroll Verisma'!FC26+'Payroll MRO'!FC26</f>
        <v>0</v>
      </c>
      <c r="FD44" s="83">
        <f>'Payroll Verisma'!FD26+'Payroll MRO'!FD26</f>
        <v>0</v>
      </c>
      <c r="FE44" s="83">
        <f>'Payroll Verisma'!FE26+'Payroll MRO'!FE26</f>
        <v>0</v>
      </c>
      <c r="FF44" s="83">
        <f>'Payroll Verisma'!FF26+'Payroll MRO'!FF26</f>
        <v>0</v>
      </c>
      <c r="FG44" s="83">
        <f>'Payroll Verisma'!FG26+'Payroll MRO'!FG26</f>
        <v>0</v>
      </c>
      <c r="FH44" s="83">
        <f>'Payroll Verisma'!FH26+'Payroll MRO'!FH26</f>
        <v>0</v>
      </c>
      <c r="FI44" s="83">
        <f>'Payroll Verisma'!FI26+'Payroll MRO'!FI26</f>
        <v>20</v>
      </c>
      <c r="FJ44" s="83">
        <f>'Payroll Verisma'!FJ26+'Payroll MRO'!FJ26</f>
        <v>0</v>
      </c>
      <c r="FK44" s="83">
        <f>'Payroll Verisma'!FK26+'Payroll MRO'!FK26</f>
        <v>0</v>
      </c>
      <c r="FL44" s="83">
        <f>'Payroll Verisma'!FL26+'Payroll MRO'!FL26</f>
        <v>0</v>
      </c>
      <c r="FM44" s="83">
        <f>'Payroll Verisma'!FM26+'Payroll MRO'!FM26</f>
        <v>0</v>
      </c>
      <c r="FN44" s="83">
        <f>'Payroll Verisma'!FN26+'Payroll MRO'!FN26</f>
        <v>0</v>
      </c>
      <c r="FO44" s="83">
        <f>'Payroll Verisma'!FO26+'Payroll MRO'!FO26</f>
        <v>0</v>
      </c>
      <c r="FP44" s="83">
        <f>'Payroll Verisma'!FP26+'Payroll MRO'!FP26</f>
        <v>0</v>
      </c>
      <c r="FQ44" s="83">
        <f>'Payroll Verisma'!FQ26+'Payroll MRO'!FQ26</f>
        <v>7</v>
      </c>
      <c r="FR44" s="83">
        <f>'Payroll Verisma'!FR26+'Payroll MRO'!FR26</f>
        <v>0</v>
      </c>
      <c r="FS44" s="83">
        <f>'Payroll Verisma'!FS26+'Payroll MRO'!FS26</f>
        <v>0</v>
      </c>
      <c r="FT44" s="83">
        <f>'Payroll Verisma'!FT26+'Payroll MRO'!FT26</f>
        <v>0</v>
      </c>
      <c r="FU44" s="83">
        <f>'Payroll Verisma'!FU26+'Payroll MRO'!FU26</f>
        <v>0</v>
      </c>
      <c r="FV44" s="83">
        <f>'Payroll Verisma'!FV26+'Payroll MRO'!FV26</f>
        <v>0</v>
      </c>
      <c r="FW44" s="83">
        <f>'Payroll Verisma'!FW26+'Payroll MRO'!FW26</f>
        <v>0</v>
      </c>
      <c r="FX44" s="83">
        <f>'Payroll Verisma'!FX26+'Payroll MRO'!FX26</f>
        <v>0</v>
      </c>
      <c r="FY44" s="83">
        <f>'Payroll Verisma'!FY26+'Payroll MRO'!FY26</f>
        <v>36</v>
      </c>
      <c r="FZ44" s="83">
        <f>'Payroll Verisma'!FZ26+'Payroll MRO'!FZ26</f>
        <v>0</v>
      </c>
      <c r="GA44" s="83">
        <f>'Payroll Verisma'!GA26+'Payroll MRO'!GA26</f>
        <v>0</v>
      </c>
      <c r="GB44" s="83">
        <f>'Payroll Verisma'!GB26+'Payroll MRO'!GB26</f>
        <v>5</v>
      </c>
      <c r="GC44" s="83">
        <f>'Payroll Verisma'!GC26+'Payroll MRO'!GC26</f>
        <v>0</v>
      </c>
      <c r="GD44" s="83">
        <f>'Payroll Verisma'!GD26+'Payroll MRO'!GD26</f>
        <v>0</v>
      </c>
      <c r="GE44" s="83">
        <f>'Payroll Verisma'!GE26+'Payroll MRO'!GE26</f>
        <v>0</v>
      </c>
      <c r="GF44" s="83">
        <f>'Payroll Verisma'!GF26+'Payroll MRO'!GF26</f>
        <v>0</v>
      </c>
      <c r="GG44" s="83">
        <f>'Payroll Verisma'!GG26+'Payroll MRO'!GG26</f>
        <v>0</v>
      </c>
      <c r="GH44" s="83">
        <f>'Payroll Verisma'!GH26+'Payroll MRO'!GH26</f>
        <v>0</v>
      </c>
      <c r="GI44" s="83">
        <f>'Payroll Verisma'!GI26+'Payroll MRO'!GI26</f>
        <v>0</v>
      </c>
      <c r="GJ44" s="83">
        <f>'Payroll Verisma'!GJ26+'Payroll MRO'!GJ26</f>
        <v>57</v>
      </c>
      <c r="GK44" s="83">
        <f>'Payroll Verisma'!GK26+'Payroll MRO'!GK26</f>
        <v>0</v>
      </c>
      <c r="GL44" s="83">
        <f>'Payroll Verisma'!GL26+'Payroll MRO'!GL26</f>
        <v>0</v>
      </c>
      <c r="GM44" s="83">
        <f>'Payroll Verisma'!GM26+'Payroll MRO'!GM26</f>
        <v>0</v>
      </c>
      <c r="GN44" s="83">
        <f>'Payroll Verisma'!GN26+'Payroll MRO'!GN26</f>
        <v>0</v>
      </c>
      <c r="GO44" s="83">
        <f>'Payroll Verisma'!GO26+'Payroll MRO'!GO26</f>
        <v>0</v>
      </c>
      <c r="GP44" s="83">
        <f>'Payroll Verisma'!GP26+'Payroll MRO'!GP26</f>
        <v>0</v>
      </c>
      <c r="GQ44" s="83">
        <f>'Payroll Verisma'!GQ26+'Payroll MRO'!GQ26</f>
        <v>0</v>
      </c>
      <c r="GR44" s="83">
        <f>'Payroll Verisma'!GR26+'Payroll MRO'!GR26</f>
        <v>0</v>
      </c>
    </row>
    <row r="45" spans="1:200" ht="15.6">
      <c r="A45" s="81">
        <f t="shared" si="83"/>
        <v>46047</v>
      </c>
      <c r="B45" s="82" t="str">
        <f t="shared" si="82"/>
        <v>Sun</v>
      </c>
      <c r="C45" s="75">
        <f t="shared" si="81"/>
        <v>748</v>
      </c>
      <c r="D45" s="83">
        <f>'Payroll Verisma'!D27+'Payroll MRO'!D27</f>
        <v>0</v>
      </c>
      <c r="E45" s="83">
        <f>'Payroll Verisma'!E27+'Payroll MRO'!E27</f>
        <v>0</v>
      </c>
      <c r="F45" s="83">
        <f>'Payroll Verisma'!F27+'Payroll MRO'!F27</f>
        <v>0</v>
      </c>
      <c r="G45" s="83">
        <f>'Payroll Verisma'!G27+'Payroll MRO'!G27</f>
        <v>0</v>
      </c>
      <c r="H45" s="83">
        <f>'Payroll Verisma'!H27+'Payroll MRO'!H27</f>
        <v>0</v>
      </c>
      <c r="I45" s="83">
        <f>'Payroll Verisma'!I27+'Payroll MRO'!I27</f>
        <v>0</v>
      </c>
      <c r="J45" s="83">
        <f>'Payroll Verisma'!J27+'Payroll MRO'!J27</f>
        <v>0</v>
      </c>
      <c r="K45" s="83">
        <f>'Payroll Verisma'!K27+'Payroll MRO'!K27</f>
        <v>0</v>
      </c>
      <c r="L45" s="83">
        <f>'Payroll Verisma'!L27+'Payroll MRO'!L27</f>
        <v>0</v>
      </c>
      <c r="M45" s="83">
        <f>'Payroll Verisma'!M27+'Payroll MRO'!M27</f>
        <v>0</v>
      </c>
      <c r="N45" s="83">
        <f>'Payroll Verisma'!N27+'Payroll MRO'!N27</f>
        <v>0</v>
      </c>
      <c r="O45" s="83">
        <f>'Payroll Verisma'!O27+'Payroll MRO'!O27</f>
        <v>0</v>
      </c>
      <c r="P45" s="83">
        <f>'Payroll Verisma'!P27+'Payroll MRO'!P27</f>
        <v>17</v>
      </c>
      <c r="Q45" s="83">
        <f>'Payroll Verisma'!Q27+'Payroll MRO'!Q27</f>
        <v>0</v>
      </c>
      <c r="R45" s="83">
        <f>'Payroll Verisma'!R27+'Payroll MRO'!R27</f>
        <v>0</v>
      </c>
      <c r="S45" s="83">
        <f>'Payroll Verisma'!S27+'Payroll MRO'!S27</f>
        <v>0</v>
      </c>
      <c r="T45" s="83">
        <f>'Payroll Verisma'!T27+'Payroll MRO'!T27</f>
        <v>0</v>
      </c>
      <c r="U45" s="83">
        <f>'Payroll Verisma'!U27+'Payroll MRO'!U27</f>
        <v>0</v>
      </c>
      <c r="V45" s="83">
        <f>'Payroll Verisma'!V27+'Payroll MRO'!V27</f>
        <v>0</v>
      </c>
      <c r="W45" s="83">
        <f>'Payroll Verisma'!W27+'Payroll MRO'!W27</f>
        <v>0</v>
      </c>
      <c r="X45" s="83">
        <f>'Payroll Verisma'!X27+'Payroll MRO'!X27</f>
        <v>0</v>
      </c>
      <c r="Y45" s="83">
        <f>'Payroll Verisma'!Y27+'Payroll MRO'!Y27</f>
        <v>0</v>
      </c>
      <c r="Z45" s="83">
        <f>'Payroll Verisma'!Z27+'Payroll MRO'!Z27</f>
        <v>0</v>
      </c>
      <c r="AA45" s="83">
        <f>'Payroll Verisma'!AA27+'Payroll MRO'!AA27</f>
        <v>0</v>
      </c>
      <c r="AB45" s="83">
        <f>'Payroll Verisma'!AB27+'Payroll MRO'!AB27</f>
        <v>0</v>
      </c>
      <c r="AC45" s="83">
        <f>'Payroll Verisma'!AC27+'Payroll MRO'!AC27</f>
        <v>0</v>
      </c>
      <c r="AD45" s="83">
        <f>'Payroll Verisma'!AD27+'Payroll MRO'!AD27</f>
        <v>0</v>
      </c>
      <c r="AE45" s="83">
        <f>'Payroll Verisma'!AE27+'Payroll MRO'!AE27</f>
        <v>0</v>
      </c>
      <c r="AF45" s="83">
        <f>'Payroll Verisma'!AF27+'Payroll MRO'!AF27</f>
        <v>0</v>
      </c>
      <c r="AG45" s="83">
        <f>'Payroll Verisma'!AG27+'Payroll MRO'!AG27</f>
        <v>0</v>
      </c>
      <c r="AH45" s="83">
        <f>'Payroll Verisma'!AH27+'Payroll MRO'!AH27</f>
        <v>0</v>
      </c>
      <c r="AI45" s="83">
        <f>'Payroll Verisma'!AI27+'Payroll MRO'!AI27</f>
        <v>0</v>
      </c>
      <c r="AJ45" s="83">
        <f>'Payroll Verisma'!AJ27+'Payroll MRO'!AJ27</f>
        <v>0</v>
      </c>
      <c r="AK45" s="83">
        <f>'Payroll Verisma'!AK27+'Payroll MRO'!AK27</f>
        <v>0</v>
      </c>
      <c r="AL45" s="83">
        <f>'Payroll Verisma'!AL27+'Payroll MRO'!AL27</f>
        <v>0</v>
      </c>
      <c r="AM45" s="83">
        <f>'Payroll Verisma'!AM27+'Payroll MRO'!AM27</f>
        <v>250</v>
      </c>
      <c r="AN45" s="83">
        <f>'Payroll Verisma'!AN27+'Payroll MRO'!AN27</f>
        <v>0</v>
      </c>
      <c r="AO45" s="83">
        <f>'Payroll Verisma'!AO27+'Payroll MRO'!AO27</f>
        <v>0</v>
      </c>
      <c r="AP45" s="83">
        <f>'Payroll Verisma'!AP27+'Payroll MRO'!AP27</f>
        <v>0</v>
      </c>
      <c r="AQ45" s="83">
        <f>'Payroll Verisma'!AQ27+'Payroll MRO'!AQ27</f>
        <v>0</v>
      </c>
      <c r="AR45" s="83">
        <f>'Payroll Verisma'!AR27+'Payroll MRO'!AR27</f>
        <v>0</v>
      </c>
      <c r="AS45" s="83">
        <f>'Payroll Verisma'!AS27+'Payroll MRO'!AS27</f>
        <v>0</v>
      </c>
      <c r="AT45" s="83">
        <f>'Payroll Verisma'!AT27+'Payroll MRO'!AT27</f>
        <v>0</v>
      </c>
      <c r="AU45" s="83">
        <f>'Payroll Verisma'!AU27+'Payroll MRO'!AU27</f>
        <v>0</v>
      </c>
      <c r="AV45" s="83">
        <f>'Payroll Verisma'!AV27+'Payroll MRO'!AV27</f>
        <v>0</v>
      </c>
      <c r="AW45" s="83">
        <f>'Payroll Verisma'!AW27+'Payroll MRO'!AW27</f>
        <v>0</v>
      </c>
      <c r="AX45" s="83">
        <f>'Payroll Verisma'!AX27+'Payroll MRO'!AX27</f>
        <v>0</v>
      </c>
      <c r="AY45" s="83">
        <f>'Payroll Verisma'!AY27+'Payroll MRO'!AY27</f>
        <v>0</v>
      </c>
      <c r="AZ45" s="83">
        <f>'Payroll Verisma'!AZ27+'Payroll MRO'!AZ27</f>
        <v>0</v>
      </c>
      <c r="BA45" s="83">
        <f>'Payroll Verisma'!BA27+'Payroll MRO'!BA27</f>
        <v>0</v>
      </c>
      <c r="BB45" s="83">
        <f>'Payroll Verisma'!BB27+'Payroll MRO'!BB27</f>
        <v>37</v>
      </c>
      <c r="BC45" s="83">
        <f>'Payroll Verisma'!BC27+'Payroll MRO'!BC27</f>
        <v>0</v>
      </c>
      <c r="BD45" s="83">
        <f>'Payroll Verisma'!BD27+'Payroll MRO'!BD27</f>
        <v>0</v>
      </c>
      <c r="BE45" s="83">
        <f>'Payroll Verisma'!BE27+'Payroll MRO'!BE27</f>
        <v>0</v>
      </c>
      <c r="BF45" s="83">
        <f>'Payroll Verisma'!BF27+'Payroll MRO'!BF27</f>
        <v>5</v>
      </c>
      <c r="BG45" s="83">
        <f>'Payroll Verisma'!BG27+'Payroll MRO'!BG27</f>
        <v>0</v>
      </c>
      <c r="BH45" s="83">
        <f>'Payroll Verisma'!BH27+'Payroll MRO'!BH27</f>
        <v>0</v>
      </c>
      <c r="BI45" s="83">
        <f>'Payroll Verisma'!BI27+'Payroll MRO'!BI27</f>
        <v>0</v>
      </c>
      <c r="BJ45" s="83">
        <f>'Payroll Verisma'!BJ27+'Payroll MRO'!BJ27</f>
        <v>0</v>
      </c>
      <c r="BK45" s="83">
        <f>'Payroll Verisma'!BK27+'Payroll MRO'!BK27</f>
        <v>0</v>
      </c>
      <c r="BL45" s="83">
        <f>'Payroll Verisma'!BL27+'Payroll MRO'!BL27</f>
        <v>0</v>
      </c>
      <c r="BM45" s="83">
        <f>'Payroll Verisma'!BM27+'Payroll MRO'!BM27</f>
        <v>0</v>
      </c>
      <c r="BN45" s="83">
        <f>'Payroll Verisma'!BN27+'Payroll MRO'!BN27</f>
        <v>0</v>
      </c>
      <c r="BO45" s="83">
        <f>'Payroll Verisma'!BO27+'Payroll MRO'!BO27</f>
        <v>0</v>
      </c>
      <c r="BP45" s="83">
        <f>'Payroll Verisma'!BP27+'Payroll MRO'!BP27</f>
        <v>0</v>
      </c>
      <c r="BQ45" s="83">
        <f>'Payroll Verisma'!BQ27+'Payroll MRO'!BQ27</f>
        <v>0</v>
      </c>
      <c r="BR45" s="83">
        <f>'Payroll Verisma'!BR27+'Payroll MRO'!BR27</f>
        <v>0</v>
      </c>
      <c r="BS45" s="83">
        <f>'Payroll Verisma'!BS27+'Payroll MRO'!BS27</f>
        <v>0</v>
      </c>
      <c r="BT45" s="83">
        <f>'Payroll Verisma'!BT27+'Payroll MRO'!BT27</f>
        <v>0</v>
      </c>
      <c r="BU45" s="83">
        <f>'Payroll Verisma'!BU27+'Payroll MRO'!BU27</f>
        <v>0</v>
      </c>
      <c r="BV45" s="83">
        <f>'Payroll Verisma'!BV27+'Payroll MRO'!BV27</f>
        <v>0</v>
      </c>
      <c r="BW45" s="83">
        <f>'Payroll Verisma'!BW27+'Payroll MRO'!BW27</f>
        <v>0</v>
      </c>
      <c r="BX45" s="83">
        <f>'Payroll Verisma'!BX27+'Payroll MRO'!BX27</f>
        <v>0</v>
      </c>
      <c r="BY45" s="83">
        <f>'Payroll Verisma'!BY27+'Payroll MRO'!BY27</f>
        <v>0</v>
      </c>
      <c r="BZ45" s="83">
        <f>'Payroll Verisma'!BZ27+'Payroll MRO'!BZ27</f>
        <v>0</v>
      </c>
      <c r="CA45" s="83">
        <f>'Payroll Verisma'!CA27+'Payroll MRO'!CA27</f>
        <v>0</v>
      </c>
      <c r="CB45" s="83">
        <f>'Payroll Verisma'!CB27+'Payroll MRO'!CB27</f>
        <v>0</v>
      </c>
      <c r="CC45" s="83">
        <f>'Payroll Verisma'!CC27+'Payroll MRO'!CC27</f>
        <v>0</v>
      </c>
      <c r="CD45" s="83">
        <f>'Payroll Verisma'!CD27+'Payroll MRO'!CD27</f>
        <v>0</v>
      </c>
      <c r="CE45" s="83">
        <f>'Payroll Verisma'!CE27+'Payroll MRO'!CE27</f>
        <v>0</v>
      </c>
      <c r="CF45" s="83">
        <f>'Payroll Verisma'!CF27+'Payroll MRO'!CF27</f>
        <v>0</v>
      </c>
      <c r="CG45" s="83">
        <f>'Payroll Verisma'!CG27+'Payroll MRO'!CG27</f>
        <v>0</v>
      </c>
      <c r="CH45" s="83">
        <f>'Payroll Verisma'!CH27+'Payroll MRO'!CH27</f>
        <v>4</v>
      </c>
      <c r="CI45" s="83">
        <f>'Payroll Verisma'!CI27+'Payroll MRO'!CI27</f>
        <v>0</v>
      </c>
      <c r="CJ45" s="83">
        <f>'Payroll Verisma'!CJ27+'Payroll MRO'!CJ27</f>
        <v>0</v>
      </c>
      <c r="CK45" s="83">
        <f>'Payroll Verisma'!CK27+'Payroll MRO'!CK27</f>
        <v>0</v>
      </c>
      <c r="CL45" s="83">
        <f>'Payroll Verisma'!CL27+'Payroll MRO'!CL27</f>
        <v>0</v>
      </c>
      <c r="CM45" s="83">
        <f>'Payroll Verisma'!CM27+'Payroll MRO'!CM27</f>
        <v>0</v>
      </c>
      <c r="CN45" s="83">
        <f>'Payroll Verisma'!CN27+'Payroll MRO'!CN27</f>
        <v>0</v>
      </c>
      <c r="CO45" s="83">
        <f>'Payroll Verisma'!CO27+'Payroll MRO'!CO27</f>
        <v>0</v>
      </c>
      <c r="CP45" s="83">
        <f>'Payroll Verisma'!CP27+'Payroll MRO'!CP27</f>
        <v>0</v>
      </c>
      <c r="CQ45" s="83">
        <f>'Payroll Verisma'!CQ27+'Payroll MRO'!CQ27</f>
        <v>0</v>
      </c>
      <c r="CR45" s="83">
        <f>'Payroll Verisma'!CR27+'Payroll MRO'!CR27</f>
        <v>25</v>
      </c>
      <c r="CS45" s="83">
        <f>'Payroll Verisma'!CS27+'Payroll MRO'!CS27</f>
        <v>0</v>
      </c>
      <c r="CT45" s="83">
        <f>'Payroll Verisma'!CT27+'Payroll MRO'!CT27</f>
        <v>5</v>
      </c>
      <c r="CU45" s="83">
        <f>'Payroll Verisma'!CU27+'Payroll MRO'!CU27</f>
        <v>0</v>
      </c>
      <c r="CV45" s="83">
        <f>'Payroll Verisma'!CV27+'Payroll MRO'!CV27</f>
        <v>0</v>
      </c>
      <c r="CW45" s="83">
        <f>'Payroll Verisma'!CW27+'Payroll MRO'!CW27</f>
        <v>0</v>
      </c>
      <c r="CX45" s="83">
        <f>'Payroll Verisma'!CX27+'Payroll MRO'!CX27</f>
        <v>0</v>
      </c>
      <c r="CY45" s="83">
        <f>'Payroll Verisma'!CY27+'Payroll MRO'!CY27</f>
        <v>0</v>
      </c>
      <c r="CZ45" s="83">
        <f>'Payroll Verisma'!CZ27+'Payroll MRO'!CZ27</f>
        <v>25</v>
      </c>
      <c r="DA45" s="83">
        <f>'Payroll Verisma'!DA27+'Payroll MRO'!DA27</f>
        <v>0</v>
      </c>
      <c r="DB45" s="83">
        <f>'Payroll Verisma'!DB27+'Payroll MRO'!DB27</f>
        <v>0</v>
      </c>
      <c r="DC45" s="83">
        <f>'Payroll Verisma'!DC27+'Payroll MRO'!DC27</f>
        <v>0</v>
      </c>
      <c r="DD45" s="83">
        <f>'Payroll Verisma'!DD27+'Payroll MRO'!DD27</f>
        <v>0</v>
      </c>
      <c r="DE45" s="83">
        <f>'Payroll Verisma'!DE27+'Payroll MRO'!DE27</f>
        <v>0</v>
      </c>
      <c r="DF45" s="83">
        <f>'Payroll Verisma'!DF27+'Payroll MRO'!DF27</f>
        <v>0</v>
      </c>
      <c r="DG45" s="83">
        <f>'Payroll Verisma'!DG27+'Payroll MRO'!DG27</f>
        <v>0</v>
      </c>
      <c r="DH45" s="83">
        <f>'Payroll Verisma'!DH27+'Payroll MRO'!DH27</f>
        <v>0</v>
      </c>
      <c r="DI45" s="83">
        <f>'Payroll Verisma'!DI27+'Payroll MRO'!DI27</f>
        <v>0</v>
      </c>
      <c r="DJ45" s="83">
        <f>'Payroll Verisma'!DJ27+'Payroll MRO'!DJ27</f>
        <v>0</v>
      </c>
      <c r="DK45" s="83">
        <f>'Payroll Verisma'!DK27+'Payroll MRO'!DK27</f>
        <v>160</v>
      </c>
      <c r="DL45" s="83">
        <f>'Payroll Verisma'!DL27+'Payroll MRO'!DL27</f>
        <v>0</v>
      </c>
      <c r="DM45" s="83">
        <f>'Payroll Verisma'!DM27+'Payroll MRO'!DM27</f>
        <v>0</v>
      </c>
      <c r="DN45" s="83">
        <f>'Payroll Verisma'!DN27+'Payroll MRO'!DN27</f>
        <v>0</v>
      </c>
      <c r="DO45" s="83">
        <f>'Payroll Verisma'!DO27+'Payroll MRO'!DO27</f>
        <v>0</v>
      </c>
      <c r="DP45" s="83">
        <f>'Payroll Verisma'!DP27+'Payroll MRO'!DP27</f>
        <v>0</v>
      </c>
      <c r="DQ45" s="83">
        <f>'Payroll Verisma'!DQ27+'Payroll MRO'!DQ27</f>
        <v>0</v>
      </c>
      <c r="DR45" s="83">
        <f>'Payroll Verisma'!DR27+'Payroll MRO'!DR27</f>
        <v>0</v>
      </c>
      <c r="DS45" s="83">
        <f>'Payroll Verisma'!DS27+'Payroll MRO'!DS27</f>
        <v>0</v>
      </c>
      <c r="DT45" s="83">
        <f>'Payroll Verisma'!DT27+'Payroll MRO'!DT27</f>
        <v>0</v>
      </c>
      <c r="DU45" s="83">
        <f>'Payroll Verisma'!DU27+'Payroll MRO'!DU27</f>
        <v>0</v>
      </c>
      <c r="DV45" s="83">
        <f>'Payroll Verisma'!DV27+'Payroll MRO'!DV27</f>
        <v>0</v>
      </c>
      <c r="DW45" s="83">
        <f>'Payroll Verisma'!DW27+'Payroll MRO'!DW27</f>
        <v>0</v>
      </c>
      <c r="DX45" s="83">
        <f>'Payroll Verisma'!DX27+'Payroll MRO'!DX27</f>
        <v>0</v>
      </c>
      <c r="DY45" s="83">
        <f>'Payroll Verisma'!DY27+'Payroll MRO'!DY27</f>
        <v>0</v>
      </c>
      <c r="DZ45" s="83">
        <f>'Payroll Verisma'!DZ27+'Payroll MRO'!DZ27</f>
        <v>0</v>
      </c>
      <c r="EA45" s="83">
        <f>'Payroll Verisma'!EA27+'Payroll MRO'!EA27</f>
        <v>0</v>
      </c>
      <c r="EB45" s="83">
        <f>'Payroll Verisma'!EB27+'Payroll MRO'!EB27</f>
        <v>0</v>
      </c>
      <c r="EC45" s="83">
        <f>'Payroll Verisma'!EC27+'Payroll MRO'!EC27</f>
        <v>0</v>
      </c>
      <c r="ED45" s="83">
        <f>'Payroll Verisma'!ED27+'Payroll MRO'!ED27</f>
        <v>0</v>
      </c>
      <c r="EE45" s="83">
        <f>'Payroll Verisma'!EE27+'Payroll MRO'!EE27</f>
        <v>0</v>
      </c>
      <c r="EF45" s="83">
        <f>'Payroll Verisma'!EF27+'Payroll MRO'!EF27</f>
        <v>0</v>
      </c>
      <c r="EG45" s="83">
        <f>'Payroll Verisma'!EG27+'Payroll MRO'!EG27</f>
        <v>0</v>
      </c>
      <c r="EH45" s="83">
        <f>'Payroll Verisma'!EH27+'Payroll MRO'!EH27</f>
        <v>0</v>
      </c>
      <c r="EI45" s="83">
        <f>'Payroll Verisma'!EI27+'Payroll MRO'!EI27</f>
        <v>0</v>
      </c>
      <c r="EJ45" s="83">
        <f>'Payroll Verisma'!EJ27+'Payroll MRO'!EJ27</f>
        <v>0</v>
      </c>
      <c r="EK45" s="83">
        <f>'Payroll Verisma'!EK27+'Payroll MRO'!EK27</f>
        <v>0</v>
      </c>
      <c r="EL45" s="83">
        <f>'Payroll Verisma'!EL27+'Payroll MRO'!EL27</f>
        <v>0</v>
      </c>
      <c r="EM45" s="83">
        <f>'Payroll Verisma'!EM27+'Payroll MRO'!EM27</f>
        <v>0</v>
      </c>
      <c r="EN45" s="83">
        <f>'Payroll Verisma'!EN27+'Payroll MRO'!EN27</f>
        <v>0</v>
      </c>
      <c r="EO45" s="83">
        <f>'Payroll Verisma'!EO27+'Payroll MRO'!EO27</f>
        <v>0</v>
      </c>
      <c r="EP45" s="83">
        <f>'Payroll Verisma'!EP27+'Payroll MRO'!EP27</f>
        <v>0</v>
      </c>
      <c r="EQ45" s="83">
        <f>'Payroll Verisma'!EQ27+'Payroll MRO'!EQ27</f>
        <v>0</v>
      </c>
      <c r="ER45" s="83">
        <f>'Payroll Verisma'!ER27+'Payroll MRO'!ER27</f>
        <v>0</v>
      </c>
      <c r="ES45" s="83">
        <f>'Payroll Verisma'!ES27+'Payroll MRO'!ES27</f>
        <v>0</v>
      </c>
      <c r="ET45" s="83">
        <f>'Payroll Verisma'!ET27+'Payroll MRO'!ET27</f>
        <v>0</v>
      </c>
      <c r="EU45" s="83">
        <f>'Payroll Verisma'!EU27+'Payroll MRO'!EU27</f>
        <v>6</v>
      </c>
      <c r="EV45" s="83">
        <f>'Payroll Verisma'!EV27+'Payroll MRO'!EV27</f>
        <v>0</v>
      </c>
      <c r="EW45" s="83">
        <f>'Payroll Verisma'!EW27+'Payroll MRO'!EW27</f>
        <v>0</v>
      </c>
      <c r="EX45" s="83">
        <f>'Payroll Verisma'!EX27+'Payroll MRO'!EX27</f>
        <v>0</v>
      </c>
      <c r="EY45" s="83">
        <f>'Payroll Verisma'!EY27+'Payroll MRO'!EY27</f>
        <v>0</v>
      </c>
      <c r="EZ45" s="83">
        <f>'Payroll Verisma'!EZ27+'Payroll MRO'!EZ27</f>
        <v>0</v>
      </c>
      <c r="FA45" s="83">
        <f>'Payroll Verisma'!FA27+'Payroll MRO'!FA27</f>
        <v>0</v>
      </c>
      <c r="FB45" s="83">
        <f>'Payroll Verisma'!FB27+'Payroll MRO'!FB27</f>
        <v>0</v>
      </c>
      <c r="FC45" s="83">
        <f>'Payroll Verisma'!FC27+'Payroll MRO'!FC27</f>
        <v>0</v>
      </c>
      <c r="FD45" s="83">
        <f>'Payroll Verisma'!FD27+'Payroll MRO'!FD27</f>
        <v>0</v>
      </c>
      <c r="FE45" s="83">
        <f>'Payroll Verisma'!FE27+'Payroll MRO'!FE27</f>
        <v>0</v>
      </c>
      <c r="FF45" s="83">
        <f>'Payroll Verisma'!FF27+'Payroll MRO'!FF27</f>
        <v>0</v>
      </c>
      <c r="FG45" s="83">
        <f>'Payroll Verisma'!FG27+'Payroll MRO'!FG27</f>
        <v>0</v>
      </c>
      <c r="FH45" s="83">
        <f>'Payroll Verisma'!FH27+'Payroll MRO'!FH27</f>
        <v>199</v>
      </c>
      <c r="FI45" s="83">
        <f>'Payroll Verisma'!FI27+'Payroll MRO'!FI27</f>
        <v>0</v>
      </c>
      <c r="FJ45" s="83">
        <f>'Payroll Verisma'!FJ27+'Payroll MRO'!FJ27</f>
        <v>0</v>
      </c>
      <c r="FK45" s="83">
        <f>'Payroll Verisma'!FK27+'Payroll MRO'!FK27</f>
        <v>0</v>
      </c>
      <c r="FL45" s="83">
        <f>'Payroll Verisma'!FL27+'Payroll MRO'!FL27</f>
        <v>0</v>
      </c>
      <c r="FM45" s="83">
        <f>'Payroll Verisma'!FM27+'Payroll MRO'!FM27</f>
        <v>0</v>
      </c>
      <c r="FN45" s="83">
        <f>'Payroll Verisma'!FN27+'Payroll MRO'!FN27</f>
        <v>0</v>
      </c>
      <c r="FO45" s="83">
        <f>'Payroll Verisma'!FO27+'Payroll MRO'!FO27</f>
        <v>0</v>
      </c>
      <c r="FP45" s="83">
        <f>'Payroll Verisma'!FP27+'Payroll MRO'!FP27</f>
        <v>0</v>
      </c>
      <c r="FQ45" s="83">
        <f>'Payroll Verisma'!FQ27+'Payroll MRO'!FQ27</f>
        <v>0</v>
      </c>
      <c r="FR45" s="83">
        <f>'Payroll Verisma'!FR27+'Payroll MRO'!FR27</f>
        <v>0</v>
      </c>
      <c r="FS45" s="83">
        <f>'Payroll Verisma'!FS27+'Payroll MRO'!FS27</f>
        <v>0</v>
      </c>
      <c r="FT45" s="83">
        <f>'Payroll Verisma'!FT27+'Payroll MRO'!FT27</f>
        <v>0</v>
      </c>
      <c r="FU45" s="83">
        <f>'Payroll Verisma'!FU27+'Payroll MRO'!FU27</f>
        <v>0</v>
      </c>
      <c r="FV45" s="83">
        <f>'Payroll Verisma'!FV27+'Payroll MRO'!FV27</f>
        <v>0</v>
      </c>
      <c r="FW45" s="83">
        <f>'Payroll Verisma'!FW27+'Payroll MRO'!FW27</f>
        <v>0</v>
      </c>
      <c r="FX45" s="83">
        <f>'Payroll Verisma'!FX27+'Payroll MRO'!FX27</f>
        <v>0</v>
      </c>
      <c r="FY45" s="83">
        <f>'Payroll Verisma'!FY27+'Payroll MRO'!FY27</f>
        <v>0</v>
      </c>
      <c r="FZ45" s="83">
        <f>'Payroll Verisma'!FZ27+'Payroll MRO'!FZ27</f>
        <v>0</v>
      </c>
      <c r="GA45" s="83">
        <f>'Payroll Verisma'!GA27+'Payroll MRO'!GA27</f>
        <v>0</v>
      </c>
      <c r="GB45" s="83">
        <f>'Payroll Verisma'!GB27+'Payroll MRO'!GB27</f>
        <v>5</v>
      </c>
      <c r="GC45" s="83">
        <f>'Payroll Verisma'!GC27+'Payroll MRO'!GC27</f>
        <v>0</v>
      </c>
      <c r="GD45" s="83">
        <f>'Payroll Verisma'!GD27+'Payroll MRO'!GD27</f>
        <v>0</v>
      </c>
      <c r="GE45" s="83">
        <f>'Payroll Verisma'!GE27+'Payroll MRO'!GE27</f>
        <v>0</v>
      </c>
      <c r="GF45" s="83">
        <f>'Payroll Verisma'!GF27+'Payroll MRO'!GF27</f>
        <v>10</v>
      </c>
      <c r="GG45" s="83">
        <f>'Payroll Verisma'!GG27+'Payroll MRO'!GG27</f>
        <v>0</v>
      </c>
      <c r="GH45" s="83">
        <f>'Payroll Verisma'!GH27+'Payroll MRO'!GH27</f>
        <v>0</v>
      </c>
      <c r="GI45" s="83">
        <f>'Payroll Verisma'!GI27+'Payroll MRO'!GI27</f>
        <v>0</v>
      </c>
      <c r="GJ45" s="83">
        <f>'Payroll Verisma'!GJ27+'Payroll MRO'!GJ27</f>
        <v>0</v>
      </c>
      <c r="GK45" s="83">
        <f>'Payroll Verisma'!GK27+'Payroll MRO'!GK27</f>
        <v>0</v>
      </c>
      <c r="GL45" s="83">
        <f>'Payroll Verisma'!GL27+'Payroll MRO'!GL27</f>
        <v>0</v>
      </c>
      <c r="GM45" s="83">
        <f>'Payroll Verisma'!GM27+'Payroll MRO'!GM27</f>
        <v>0</v>
      </c>
      <c r="GN45" s="83">
        <f>'Payroll Verisma'!GN27+'Payroll MRO'!GN27</f>
        <v>0</v>
      </c>
      <c r="GO45" s="83">
        <f>'Payroll Verisma'!GO27+'Payroll MRO'!GO27</f>
        <v>0</v>
      </c>
      <c r="GP45" s="83">
        <f>'Payroll Verisma'!GP27+'Payroll MRO'!GP27</f>
        <v>0</v>
      </c>
      <c r="GQ45" s="83">
        <f>'Payroll Verisma'!GQ27+'Payroll MRO'!GQ27</f>
        <v>0</v>
      </c>
      <c r="GR45" s="83">
        <f>'Payroll Verisma'!GR27+'Payroll MRO'!GR27</f>
        <v>0</v>
      </c>
    </row>
    <row r="46" spans="1:200" ht="15.6">
      <c r="A46" s="81">
        <f t="shared" si="83"/>
        <v>46048</v>
      </c>
      <c r="B46" s="82" t="str">
        <f t="shared" si="82"/>
        <v>Mon</v>
      </c>
      <c r="C46" s="75">
        <f t="shared" si="81"/>
        <v>6338</v>
      </c>
      <c r="D46" s="83">
        <f>'Payroll Verisma'!D28+'Payroll MRO'!D28</f>
        <v>0</v>
      </c>
      <c r="E46" s="83">
        <f>'Payroll Verisma'!E28+'Payroll MRO'!E28</f>
        <v>0</v>
      </c>
      <c r="F46" s="83">
        <f>'Payroll Verisma'!F28+'Payroll MRO'!F28</f>
        <v>0</v>
      </c>
      <c r="G46" s="83">
        <f>'Payroll Verisma'!G28+'Payroll MRO'!G28</f>
        <v>0</v>
      </c>
      <c r="H46" s="83">
        <f>'Payroll Verisma'!H28+'Payroll MRO'!H28</f>
        <v>26</v>
      </c>
      <c r="I46" s="83">
        <f>'Payroll Verisma'!I28+'Payroll MRO'!I28</f>
        <v>25</v>
      </c>
      <c r="J46" s="83">
        <f>'Payroll Verisma'!J28+'Payroll MRO'!J28</f>
        <v>0</v>
      </c>
      <c r="K46" s="83">
        <f>'Payroll Verisma'!K28+'Payroll MRO'!K28</f>
        <v>0</v>
      </c>
      <c r="L46" s="83">
        <f>'Payroll Verisma'!L28+'Payroll MRO'!L28</f>
        <v>0</v>
      </c>
      <c r="M46" s="83">
        <f>'Payroll Verisma'!M28+'Payroll MRO'!M28</f>
        <v>24</v>
      </c>
      <c r="N46" s="83">
        <f>'Payroll Verisma'!N28+'Payroll MRO'!N28</f>
        <v>65</v>
      </c>
      <c r="O46" s="83">
        <f>'Payroll Verisma'!O28+'Payroll MRO'!O28</f>
        <v>0</v>
      </c>
      <c r="P46" s="83">
        <f>'Payroll Verisma'!P28+'Payroll MRO'!P28</f>
        <v>46</v>
      </c>
      <c r="Q46" s="83">
        <f>'Payroll Verisma'!Q28+'Payroll MRO'!Q28</f>
        <v>31</v>
      </c>
      <c r="R46" s="83">
        <f>'Payroll Verisma'!R28+'Payroll MRO'!R28</f>
        <v>84</v>
      </c>
      <c r="S46" s="83">
        <f>'Payroll Verisma'!S28+'Payroll MRO'!S28</f>
        <v>0</v>
      </c>
      <c r="T46" s="83">
        <f>'Payroll Verisma'!T28+'Payroll MRO'!T28</f>
        <v>133</v>
      </c>
      <c r="U46" s="83">
        <f>'Payroll Verisma'!U28+'Payroll MRO'!U28</f>
        <v>0</v>
      </c>
      <c r="V46" s="83">
        <f>'Payroll Verisma'!V28+'Payroll MRO'!V28</f>
        <v>0</v>
      </c>
      <c r="W46" s="83">
        <f>'Payroll Verisma'!W28+'Payroll MRO'!W28</f>
        <v>50</v>
      </c>
      <c r="X46" s="83">
        <f>'Payroll Verisma'!X28+'Payroll MRO'!X28</f>
        <v>0</v>
      </c>
      <c r="Y46" s="83">
        <f>'Payroll Verisma'!Y28+'Payroll MRO'!Y28</f>
        <v>89</v>
      </c>
      <c r="Z46" s="83">
        <f>'Payroll Verisma'!Z28+'Payroll MRO'!Z28</f>
        <v>0</v>
      </c>
      <c r="AA46" s="83">
        <f>'Payroll Verisma'!AA28+'Payroll MRO'!AA28</f>
        <v>15</v>
      </c>
      <c r="AB46" s="83">
        <f>'Payroll Verisma'!AB28+'Payroll MRO'!AB28</f>
        <v>27</v>
      </c>
      <c r="AC46" s="83">
        <f>'Payroll Verisma'!AC28+'Payroll MRO'!AC28</f>
        <v>0</v>
      </c>
      <c r="AD46" s="83">
        <f>'Payroll Verisma'!AD28+'Payroll MRO'!AD28</f>
        <v>75</v>
      </c>
      <c r="AE46" s="83">
        <f>'Payroll Verisma'!AE28+'Payroll MRO'!AE28</f>
        <v>20</v>
      </c>
      <c r="AF46" s="83">
        <f>'Payroll Verisma'!AF28+'Payroll MRO'!AF28</f>
        <v>0</v>
      </c>
      <c r="AG46" s="83">
        <f>'Payroll Verisma'!AG28+'Payroll MRO'!AG28</f>
        <v>30</v>
      </c>
      <c r="AH46" s="83">
        <f>'Payroll Verisma'!AH28+'Payroll MRO'!AH28</f>
        <v>0</v>
      </c>
      <c r="AI46" s="83">
        <f>'Payroll Verisma'!AI28+'Payroll MRO'!AI28</f>
        <v>0</v>
      </c>
      <c r="AJ46" s="83">
        <f>'Payroll Verisma'!AJ28+'Payroll MRO'!AJ28</f>
        <v>0</v>
      </c>
      <c r="AK46" s="83">
        <f>'Payroll Verisma'!AK28+'Payroll MRO'!AK28</f>
        <v>2</v>
      </c>
      <c r="AL46" s="83">
        <f>'Payroll Verisma'!AL28+'Payroll MRO'!AL28</f>
        <v>0</v>
      </c>
      <c r="AM46" s="83">
        <f>'Payroll Verisma'!AM28+'Payroll MRO'!AM28</f>
        <v>5</v>
      </c>
      <c r="AN46" s="83">
        <f>'Payroll Verisma'!AN28+'Payroll MRO'!AN28</f>
        <v>6</v>
      </c>
      <c r="AO46" s="83">
        <f>'Payroll Verisma'!AO28+'Payroll MRO'!AO28</f>
        <v>0</v>
      </c>
      <c r="AP46" s="83">
        <f>'Payroll Verisma'!AP28+'Payroll MRO'!AP28</f>
        <v>19</v>
      </c>
      <c r="AQ46" s="83">
        <f>'Payroll Verisma'!AQ28+'Payroll MRO'!AQ28</f>
        <v>0</v>
      </c>
      <c r="AR46" s="83">
        <f>'Payroll Verisma'!AR28+'Payroll MRO'!AR28</f>
        <v>55</v>
      </c>
      <c r="AS46" s="83">
        <f>'Payroll Verisma'!AS28+'Payroll MRO'!AS28</f>
        <v>0</v>
      </c>
      <c r="AT46" s="83">
        <f>'Payroll Verisma'!AT28+'Payroll MRO'!AT28</f>
        <v>51</v>
      </c>
      <c r="AU46" s="83">
        <f>'Payroll Verisma'!AU28+'Payroll MRO'!AU28</f>
        <v>0</v>
      </c>
      <c r="AV46" s="83">
        <f>'Payroll Verisma'!AV28+'Payroll MRO'!AV28</f>
        <v>0</v>
      </c>
      <c r="AW46" s="83">
        <f>'Payroll Verisma'!AW28+'Payroll MRO'!AW28</f>
        <v>56</v>
      </c>
      <c r="AX46" s="83">
        <f>'Payroll Verisma'!AX28+'Payroll MRO'!AX28</f>
        <v>50</v>
      </c>
      <c r="AY46" s="83">
        <f>'Payroll Verisma'!AY28+'Payroll MRO'!AY28</f>
        <v>0</v>
      </c>
      <c r="AZ46" s="83">
        <f>'Payroll Verisma'!AZ28+'Payroll MRO'!AZ28</f>
        <v>0</v>
      </c>
      <c r="BA46" s="83">
        <f>'Payroll Verisma'!BA28+'Payroll MRO'!BA28</f>
        <v>92</v>
      </c>
      <c r="BB46" s="83">
        <f>'Payroll Verisma'!BB28+'Payroll MRO'!BB28</f>
        <v>63</v>
      </c>
      <c r="BC46" s="83">
        <f>'Payroll Verisma'!BC28+'Payroll MRO'!BC28</f>
        <v>90</v>
      </c>
      <c r="BD46" s="83">
        <f>'Payroll Verisma'!BD28+'Payroll MRO'!BD28</f>
        <v>67</v>
      </c>
      <c r="BE46" s="83">
        <f>'Payroll Verisma'!BE28+'Payroll MRO'!BE28</f>
        <v>51</v>
      </c>
      <c r="BF46" s="83">
        <f>'Payroll Verisma'!BF28+'Payroll MRO'!BF28</f>
        <v>25</v>
      </c>
      <c r="BG46" s="83">
        <f>'Payroll Verisma'!BG28+'Payroll MRO'!BG28</f>
        <v>27</v>
      </c>
      <c r="BH46" s="83">
        <f>'Payroll Verisma'!BH28+'Payroll MRO'!BH28</f>
        <v>0</v>
      </c>
      <c r="BI46" s="83">
        <f>'Payroll Verisma'!BI28+'Payroll MRO'!BI28</f>
        <v>73</v>
      </c>
      <c r="BJ46" s="83">
        <f>'Payroll Verisma'!BJ28+'Payroll MRO'!BJ28</f>
        <v>20</v>
      </c>
      <c r="BK46" s="83">
        <f>'Payroll Verisma'!BK28+'Payroll MRO'!BK28</f>
        <v>0</v>
      </c>
      <c r="BL46" s="83">
        <f>'Payroll Verisma'!BL28+'Payroll MRO'!BL28</f>
        <v>49</v>
      </c>
      <c r="BM46" s="83">
        <f>'Payroll Verisma'!BM28+'Payroll MRO'!BM28</f>
        <v>0</v>
      </c>
      <c r="BN46" s="83">
        <f>'Payroll Verisma'!BN28+'Payroll MRO'!BN28</f>
        <v>50</v>
      </c>
      <c r="BO46" s="83">
        <f>'Payroll Verisma'!BO28+'Payroll MRO'!BO28</f>
        <v>25</v>
      </c>
      <c r="BP46" s="83">
        <f>'Payroll Verisma'!BP28+'Payroll MRO'!BP28</f>
        <v>0</v>
      </c>
      <c r="BQ46" s="83">
        <f>'Payroll Verisma'!BQ28+'Payroll MRO'!BQ28</f>
        <v>41</v>
      </c>
      <c r="BR46" s="83">
        <f>'Payroll Verisma'!BR28+'Payroll MRO'!BR28</f>
        <v>0</v>
      </c>
      <c r="BS46" s="83">
        <f>'Payroll Verisma'!BS28+'Payroll MRO'!BS28</f>
        <v>0</v>
      </c>
      <c r="BT46" s="83">
        <f>'Payroll Verisma'!BT28+'Payroll MRO'!BT28</f>
        <v>0</v>
      </c>
      <c r="BU46" s="83">
        <f>'Payroll Verisma'!BU28+'Payroll MRO'!BU28</f>
        <v>74</v>
      </c>
      <c r="BV46" s="83">
        <f>'Payroll Verisma'!BV28+'Payroll MRO'!BV28</f>
        <v>29</v>
      </c>
      <c r="BW46" s="83">
        <f>'Payroll Verisma'!BW28+'Payroll MRO'!BW28</f>
        <v>16</v>
      </c>
      <c r="BX46" s="83">
        <f>'Payroll Verisma'!BX28+'Payroll MRO'!BX28</f>
        <v>41</v>
      </c>
      <c r="BY46" s="83">
        <f>'Payroll Verisma'!BY28+'Payroll MRO'!BY28</f>
        <v>0</v>
      </c>
      <c r="BZ46" s="83">
        <f>'Payroll Verisma'!BZ28+'Payroll MRO'!BZ28</f>
        <v>62</v>
      </c>
      <c r="CA46" s="83">
        <f>'Payroll Verisma'!CA28+'Payroll MRO'!CA28</f>
        <v>51</v>
      </c>
      <c r="CB46" s="83">
        <f>'Payroll Verisma'!CB28+'Payroll MRO'!CB28</f>
        <v>41</v>
      </c>
      <c r="CC46" s="83">
        <f>'Payroll Verisma'!CC28+'Payroll MRO'!CC28</f>
        <v>46</v>
      </c>
      <c r="CD46" s="83">
        <f>'Payroll Verisma'!CD28+'Payroll MRO'!CD28</f>
        <v>164</v>
      </c>
      <c r="CE46" s="83">
        <f>'Payroll Verisma'!CE28+'Payroll MRO'!CE28</f>
        <v>20</v>
      </c>
      <c r="CF46" s="83">
        <f>'Payroll Verisma'!CF28+'Payroll MRO'!CF28</f>
        <v>0</v>
      </c>
      <c r="CG46" s="83">
        <f>'Payroll Verisma'!CG28+'Payroll MRO'!CG28</f>
        <v>0</v>
      </c>
      <c r="CH46" s="83">
        <f>'Payroll Verisma'!CH28+'Payroll MRO'!CH28</f>
        <v>40</v>
      </c>
      <c r="CI46" s="83">
        <f>'Payroll Verisma'!CI28+'Payroll MRO'!CI28</f>
        <v>0</v>
      </c>
      <c r="CJ46" s="83">
        <f>'Payroll Verisma'!CJ28+'Payroll MRO'!CJ28</f>
        <v>134</v>
      </c>
      <c r="CK46" s="83">
        <f>'Payroll Verisma'!CK28+'Payroll MRO'!CK28</f>
        <v>0</v>
      </c>
      <c r="CL46" s="83">
        <f>'Payroll Verisma'!CL28+'Payroll MRO'!CL28</f>
        <v>45</v>
      </c>
      <c r="CM46" s="83">
        <f>'Payroll Verisma'!CM28+'Payroll MRO'!CM28</f>
        <v>0</v>
      </c>
      <c r="CN46" s="83">
        <f>'Payroll Verisma'!CN28+'Payroll MRO'!CN28</f>
        <v>62</v>
      </c>
      <c r="CO46" s="83">
        <f>'Payroll Verisma'!CO28+'Payroll MRO'!CO28</f>
        <v>21</v>
      </c>
      <c r="CP46" s="83">
        <f>'Payroll Verisma'!CP28+'Payroll MRO'!CP28</f>
        <v>46</v>
      </c>
      <c r="CQ46" s="83">
        <f>'Payroll Verisma'!CQ28+'Payroll MRO'!CQ28</f>
        <v>0</v>
      </c>
      <c r="CR46" s="83">
        <f>'Payroll Verisma'!CR28+'Payroll MRO'!CR28</f>
        <v>26</v>
      </c>
      <c r="CS46" s="83">
        <f>'Payroll Verisma'!CS28+'Payroll MRO'!CS28</f>
        <v>0</v>
      </c>
      <c r="CT46" s="83">
        <f>'Payroll Verisma'!CT28+'Payroll MRO'!CT28</f>
        <v>58</v>
      </c>
      <c r="CU46" s="83">
        <f>'Payroll Verisma'!CU28+'Payroll MRO'!CU28</f>
        <v>20</v>
      </c>
      <c r="CV46" s="83">
        <f>'Payroll Verisma'!CV28+'Payroll MRO'!CV28</f>
        <v>5</v>
      </c>
      <c r="CW46" s="83">
        <f>'Payroll Verisma'!CW28+'Payroll MRO'!CW28</f>
        <v>0</v>
      </c>
      <c r="CX46" s="83">
        <f>'Payroll Verisma'!CX28+'Payroll MRO'!CX28</f>
        <v>0</v>
      </c>
      <c r="CY46" s="83">
        <f>'Payroll Verisma'!CY28+'Payroll MRO'!CY28</f>
        <v>114</v>
      </c>
      <c r="CZ46" s="83">
        <f>'Payroll Verisma'!CZ28+'Payroll MRO'!CZ28</f>
        <v>94</v>
      </c>
      <c r="DA46" s="83">
        <f>'Payroll Verisma'!DA28+'Payroll MRO'!DA28</f>
        <v>48</v>
      </c>
      <c r="DB46" s="83">
        <f>'Payroll Verisma'!DB28+'Payroll MRO'!DB28</f>
        <v>0</v>
      </c>
      <c r="DC46" s="83">
        <f>'Payroll Verisma'!DC28+'Payroll MRO'!DC28</f>
        <v>0</v>
      </c>
      <c r="DD46" s="83">
        <f>'Payroll Verisma'!DD28+'Payroll MRO'!DD28</f>
        <v>52</v>
      </c>
      <c r="DE46" s="83">
        <f>'Payroll Verisma'!DE28+'Payroll MRO'!DE28</f>
        <v>60</v>
      </c>
      <c r="DF46" s="83">
        <f>'Payroll Verisma'!DF28+'Payroll MRO'!DF28</f>
        <v>0</v>
      </c>
      <c r="DG46" s="83">
        <f>'Payroll Verisma'!DG28+'Payroll MRO'!DG28</f>
        <v>32</v>
      </c>
      <c r="DH46" s="83">
        <f>'Payroll Verisma'!DH28+'Payroll MRO'!DH28</f>
        <v>0</v>
      </c>
      <c r="DI46" s="83">
        <f>'Payroll Verisma'!DI28+'Payroll MRO'!DI28</f>
        <v>105</v>
      </c>
      <c r="DJ46" s="83">
        <f>'Payroll Verisma'!DJ28+'Payroll MRO'!DJ28</f>
        <v>0</v>
      </c>
      <c r="DK46" s="83">
        <f>'Payroll Verisma'!DK28+'Payroll MRO'!DK28</f>
        <v>89</v>
      </c>
      <c r="DL46" s="83">
        <f>'Payroll Verisma'!DL28+'Payroll MRO'!DL28</f>
        <v>15</v>
      </c>
      <c r="DM46" s="83">
        <f>'Payroll Verisma'!DM28+'Payroll MRO'!DM28</f>
        <v>0</v>
      </c>
      <c r="DN46" s="83">
        <f>'Payroll Verisma'!DN28+'Payroll MRO'!DN28</f>
        <v>120</v>
      </c>
      <c r="DO46" s="83">
        <f>'Payroll Verisma'!DO28+'Payroll MRO'!DO28</f>
        <v>35</v>
      </c>
      <c r="DP46" s="83">
        <f>'Payroll Verisma'!DP28+'Payroll MRO'!DP28</f>
        <v>0</v>
      </c>
      <c r="DQ46" s="83">
        <f>'Payroll Verisma'!DQ28+'Payroll MRO'!DQ28</f>
        <v>29</v>
      </c>
      <c r="DR46" s="83">
        <f>'Payroll Verisma'!DR28+'Payroll MRO'!DR28</f>
        <v>60</v>
      </c>
      <c r="DS46" s="83">
        <f>'Payroll Verisma'!DS28+'Payroll MRO'!DS28</f>
        <v>114</v>
      </c>
      <c r="DT46" s="83">
        <f>'Payroll Verisma'!DT28+'Payroll MRO'!DT28</f>
        <v>43</v>
      </c>
      <c r="DU46" s="83">
        <f>'Payroll Verisma'!DU28+'Payroll MRO'!DU28</f>
        <v>29</v>
      </c>
      <c r="DV46" s="83">
        <f>'Payroll Verisma'!DV28+'Payroll MRO'!DV28</f>
        <v>0</v>
      </c>
      <c r="DW46" s="83">
        <f>'Payroll Verisma'!DW28+'Payroll MRO'!DW28</f>
        <v>0</v>
      </c>
      <c r="DX46" s="83">
        <f>'Payroll Verisma'!DX28+'Payroll MRO'!DX28</f>
        <v>32</v>
      </c>
      <c r="DY46" s="83">
        <f>'Payroll Verisma'!DY28+'Payroll MRO'!DY28</f>
        <v>33</v>
      </c>
      <c r="DZ46" s="83">
        <f>'Payroll Verisma'!DZ28+'Payroll MRO'!DZ28</f>
        <v>18</v>
      </c>
      <c r="EA46" s="83">
        <f>'Payroll Verisma'!EA28+'Payroll MRO'!EA28</f>
        <v>0</v>
      </c>
      <c r="EB46" s="83">
        <f>'Payroll Verisma'!EB28+'Payroll MRO'!EB28</f>
        <v>35</v>
      </c>
      <c r="EC46" s="83">
        <f>'Payroll Verisma'!EC28+'Payroll MRO'!EC28</f>
        <v>20</v>
      </c>
      <c r="ED46" s="83">
        <f>'Payroll Verisma'!ED28+'Payroll MRO'!ED28</f>
        <v>101</v>
      </c>
      <c r="EE46" s="83">
        <f>'Payroll Verisma'!EE28+'Payroll MRO'!EE28</f>
        <v>26</v>
      </c>
      <c r="EF46" s="83">
        <f>'Payroll Verisma'!EF28+'Payroll MRO'!EF28</f>
        <v>79</v>
      </c>
      <c r="EG46" s="83">
        <f>'Payroll Verisma'!EG28+'Payroll MRO'!EG28</f>
        <v>32</v>
      </c>
      <c r="EH46" s="83">
        <f>'Payroll Verisma'!EH28+'Payroll MRO'!EH28</f>
        <v>19</v>
      </c>
      <c r="EI46" s="83">
        <f>'Payroll Verisma'!EI28+'Payroll MRO'!EI28</f>
        <v>103</v>
      </c>
      <c r="EJ46" s="83">
        <f>'Payroll Verisma'!EJ28+'Payroll MRO'!EJ28</f>
        <v>51</v>
      </c>
      <c r="EK46" s="83">
        <f>'Payroll Verisma'!EK28+'Payroll MRO'!EK28</f>
        <v>59</v>
      </c>
      <c r="EL46" s="83">
        <f>'Payroll Verisma'!EL28+'Payroll MRO'!EL28</f>
        <v>26</v>
      </c>
      <c r="EM46" s="83">
        <f>'Payroll Verisma'!EM28+'Payroll MRO'!EM28</f>
        <v>35</v>
      </c>
      <c r="EN46" s="83">
        <f>'Payroll Verisma'!EN28+'Payroll MRO'!EN28</f>
        <v>50</v>
      </c>
      <c r="EO46" s="83">
        <f>'Payroll Verisma'!EO28+'Payroll MRO'!EO28</f>
        <v>39</v>
      </c>
      <c r="EP46" s="83">
        <f>'Payroll Verisma'!EP28+'Payroll MRO'!EP28</f>
        <v>21</v>
      </c>
      <c r="EQ46" s="83">
        <f>'Payroll Verisma'!EQ28+'Payroll MRO'!EQ28</f>
        <v>10</v>
      </c>
      <c r="ER46" s="83">
        <f>'Payroll Verisma'!ER28+'Payroll MRO'!ER28</f>
        <v>0</v>
      </c>
      <c r="ES46" s="83">
        <f>'Payroll Verisma'!ES28+'Payroll MRO'!ES28</f>
        <v>30</v>
      </c>
      <c r="ET46" s="83">
        <f>'Payroll Verisma'!ET28+'Payroll MRO'!ET28</f>
        <v>64</v>
      </c>
      <c r="EU46" s="83">
        <f>'Payroll Verisma'!EU28+'Payroll MRO'!EU28</f>
        <v>154</v>
      </c>
      <c r="EV46" s="83">
        <f>'Payroll Verisma'!EV28+'Payroll MRO'!EV28</f>
        <v>138</v>
      </c>
      <c r="EW46" s="83">
        <f>'Payroll Verisma'!EW28+'Payroll MRO'!EW28</f>
        <v>27</v>
      </c>
      <c r="EX46" s="83">
        <f>'Payroll Verisma'!EX28+'Payroll MRO'!EX28</f>
        <v>39</v>
      </c>
      <c r="EY46" s="83">
        <f>'Payroll Verisma'!EY28+'Payroll MRO'!EY28</f>
        <v>48</v>
      </c>
      <c r="EZ46" s="83">
        <f>'Payroll Verisma'!EZ28+'Payroll MRO'!EZ28</f>
        <v>5</v>
      </c>
      <c r="FA46" s="83">
        <f>'Payroll Verisma'!FA28+'Payroll MRO'!FA28</f>
        <v>0</v>
      </c>
      <c r="FB46" s="83">
        <f>'Payroll Verisma'!FB28+'Payroll MRO'!FB28</f>
        <v>69</v>
      </c>
      <c r="FC46" s="83">
        <f>'Payroll Verisma'!FC28+'Payroll MRO'!FC28</f>
        <v>0</v>
      </c>
      <c r="FD46" s="83">
        <f>'Payroll Verisma'!FD28+'Payroll MRO'!FD28</f>
        <v>0</v>
      </c>
      <c r="FE46" s="83">
        <f>'Payroll Verisma'!FE28+'Payroll MRO'!FE28</f>
        <v>0</v>
      </c>
      <c r="FF46" s="83">
        <f>'Payroll Verisma'!FF28+'Payroll MRO'!FF28</f>
        <v>65</v>
      </c>
      <c r="FG46" s="83">
        <f>'Payroll Verisma'!FG28+'Payroll MRO'!FG28</f>
        <v>0</v>
      </c>
      <c r="FH46" s="83">
        <f>'Payroll Verisma'!FH28+'Payroll MRO'!FH28</f>
        <v>93</v>
      </c>
      <c r="FI46" s="83">
        <f>'Payroll Verisma'!FI28+'Payroll MRO'!FI28</f>
        <v>21</v>
      </c>
      <c r="FJ46" s="83">
        <f>'Payroll Verisma'!FJ28+'Payroll MRO'!FJ28</f>
        <v>0</v>
      </c>
      <c r="FK46" s="83">
        <f>'Payroll Verisma'!FK28+'Payroll MRO'!FK28</f>
        <v>28</v>
      </c>
      <c r="FL46" s="83">
        <f>'Payroll Verisma'!FL28+'Payroll MRO'!FL28</f>
        <v>0</v>
      </c>
      <c r="FM46" s="83">
        <f>'Payroll Verisma'!FM28+'Payroll MRO'!FM28</f>
        <v>0</v>
      </c>
      <c r="FN46" s="83">
        <f>'Payroll Verisma'!FN28+'Payroll MRO'!FN28</f>
        <v>0</v>
      </c>
      <c r="FO46" s="83">
        <f>'Payroll Verisma'!FO28+'Payroll MRO'!FO28</f>
        <v>51</v>
      </c>
      <c r="FP46" s="83">
        <f>'Payroll Verisma'!FP28+'Payroll MRO'!FP28</f>
        <v>32</v>
      </c>
      <c r="FQ46" s="83">
        <f>'Payroll Verisma'!FQ28+'Payroll MRO'!FQ28</f>
        <v>125</v>
      </c>
      <c r="FR46" s="83">
        <f>'Payroll Verisma'!FR28+'Payroll MRO'!FR28</f>
        <v>0</v>
      </c>
      <c r="FS46" s="83">
        <f>'Payroll Verisma'!FS28+'Payroll MRO'!FS28</f>
        <v>125</v>
      </c>
      <c r="FT46" s="83">
        <f>'Payroll Verisma'!FT28+'Payroll MRO'!FT28</f>
        <v>59</v>
      </c>
      <c r="FU46" s="83">
        <f>'Payroll Verisma'!FU28+'Payroll MRO'!FU28</f>
        <v>0</v>
      </c>
      <c r="FV46" s="83">
        <f>'Payroll Verisma'!FV28+'Payroll MRO'!FV28</f>
        <v>15</v>
      </c>
      <c r="FW46" s="83">
        <f>'Payroll Verisma'!FW28+'Payroll MRO'!FW28</f>
        <v>0</v>
      </c>
      <c r="FX46" s="83">
        <f>'Payroll Verisma'!FX28+'Payroll MRO'!FX28</f>
        <v>0</v>
      </c>
      <c r="FY46" s="83">
        <f>'Payroll Verisma'!FY28+'Payroll MRO'!FY28</f>
        <v>64</v>
      </c>
      <c r="FZ46" s="83">
        <f>'Payroll Verisma'!FZ28+'Payroll MRO'!FZ28</f>
        <v>83</v>
      </c>
      <c r="GA46" s="83">
        <f>'Payroll Verisma'!GA28+'Payroll MRO'!GA28</f>
        <v>5</v>
      </c>
      <c r="GB46" s="83">
        <f>'Payroll Verisma'!GB28+'Payroll MRO'!GB28</f>
        <v>60</v>
      </c>
      <c r="GC46" s="83">
        <f>'Payroll Verisma'!GC28+'Payroll MRO'!GC28</f>
        <v>0</v>
      </c>
      <c r="GD46" s="83">
        <f>'Payroll Verisma'!GD28+'Payroll MRO'!GD28</f>
        <v>16</v>
      </c>
      <c r="GE46" s="83">
        <f>'Payroll Verisma'!GE28+'Payroll MRO'!GE28</f>
        <v>0</v>
      </c>
      <c r="GF46" s="83">
        <f>'Payroll Verisma'!GF28+'Payroll MRO'!GF28</f>
        <v>65</v>
      </c>
      <c r="GG46" s="83">
        <f>'Payroll Verisma'!GG28+'Payroll MRO'!GG28</f>
        <v>0</v>
      </c>
      <c r="GH46" s="83">
        <f>'Payroll Verisma'!GH28+'Payroll MRO'!GH28</f>
        <v>15</v>
      </c>
      <c r="GI46" s="83">
        <f>'Payroll Verisma'!GI28+'Payroll MRO'!GI28</f>
        <v>0</v>
      </c>
      <c r="GJ46" s="83">
        <f>'Payroll Verisma'!GJ28+'Payroll MRO'!GJ28</f>
        <v>19</v>
      </c>
      <c r="GK46" s="83">
        <f>'Payroll Verisma'!GK28+'Payroll MRO'!GK28</f>
        <v>64</v>
      </c>
      <c r="GL46" s="83">
        <f>'Payroll Verisma'!GL28+'Payroll MRO'!GL28</f>
        <v>31</v>
      </c>
      <c r="GM46" s="83">
        <f>'Payroll Verisma'!GM28+'Payroll MRO'!GM28</f>
        <v>101</v>
      </c>
      <c r="GN46" s="83">
        <f>'Payroll Verisma'!GN28+'Payroll MRO'!GN28</f>
        <v>26</v>
      </c>
      <c r="GO46" s="83">
        <f>'Payroll Verisma'!GO28+'Payroll MRO'!GO28</f>
        <v>54</v>
      </c>
      <c r="GP46" s="83">
        <f>'Payroll Verisma'!GP28+'Payroll MRO'!GP28</f>
        <v>44</v>
      </c>
      <c r="GQ46" s="83">
        <f>'Payroll Verisma'!GQ28+'Payroll MRO'!GQ28</f>
        <v>0</v>
      </c>
      <c r="GR46" s="83">
        <f>'Payroll Verisma'!GR28+'Payroll MRO'!GR28</f>
        <v>17</v>
      </c>
    </row>
    <row r="47" spans="1:200" ht="15.6">
      <c r="A47" s="81">
        <f t="shared" si="83"/>
        <v>46049</v>
      </c>
      <c r="B47" s="82" t="str">
        <f t="shared" si="82"/>
        <v>Tue</v>
      </c>
      <c r="C47" s="75">
        <f t="shared" si="81"/>
        <v>5654</v>
      </c>
      <c r="D47" s="83">
        <f>'Payroll Verisma'!D29+'Payroll MRO'!D29</f>
        <v>0</v>
      </c>
      <c r="E47" s="83">
        <f>'Payroll Verisma'!E29+'Payroll MRO'!E29</f>
        <v>31</v>
      </c>
      <c r="F47" s="83">
        <f>'Payroll Verisma'!F29+'Payroll MRO'!F29</f>
        <v>0</v>
      </c>
      <c r="G47" s="83">
        <f>'Payroll Verisma'!G29+'Payroll MRO'!G29</f>
        <v>1</v>
      </c>
      <c r="H47" s="83">
        <f>'Payroll Verisma'!H29+'Payroll MRO'!H29</f>
        <v>24</v>
      </c>
      <c r="I47" s="83">
        <f>'Payroll Verisma'!I29+'Payroll MRO'!I29</f>
        <v>30</v>
      </c>
      <c r="J47" s="83">
        <f>'Payroll Verisma'!J29+'Payroll MRO'!J29</f>
        <v>0</v>
      </c>
      <c r="K47" s="83">
        <f>'Payroll Verisma'!K29+'Payroll MRO'!K29</f>
        <v>0</v>
      </c>
      <c r="L47" s="83">
        <f>'Payroll Verisma'!L29+'Payroll MRO'!L29</f>
        <v>0</v>
      </c>
      <c r="M47" s="83">
        <f>'Payroll Verisma'!M29+'Payroll MRO'!M29</f>
        <v>29</v>
      </c>
      <c r="N47" s="83">
        <f>'Payroll Verisma'!N29+'Payroll MRO'!N29</f>
        <v>21</v>
      </c>
      <c r="O47" s="83">
        <f>'Payroll Verisma'!O29+'Payroll MRO'!O29</f>
        <v>0</v>
      </c>
      <c r="P47" s="83">
        <f>'Payroll Verisma'!P29+'Payroll MRO'!P29</f>
        <v>32</v>
      </c>
      <c r="Q47" s="83">
        <f>'Payroll Verisma'!Q29+'Payroll MRO'!Q29</f>
        <v>22</v>
      </c>
      <c r="R47" s="83">
        <f>'Payroll Verisma'!R29+'Payroll MRO'!R29</f>
        <v>82</v>
      </c>
      <c r="S47" s="83">
        <f>'Payroll Verisma'!S29+'Payroll MRO'!S29</f>
        <v>42</v>
      </c>
      <c r="T47" s="83">
        <f>'Payroll Verisma'!T29+'Payroll MRO'!T29</f>
        <v>98</v>
      </c>
      <c r="U47" s="83">
        <f>'Payroll Verisma'!U29+'Payroll MRO'!U29</f>
        <v>0</v>
      </c>
      <c r="V47" s="83">
        <f>'Payroll Verisma'!V29+'Payroll MRO'!V29</f>
        <v>0</v>
      </c>
      <c r="W47" s="83">
        <f>'Payroll Verisma'!W29+'Payroll MRO'!W29</f>
        <v>0</v>
      </c>
      <c r="X47" s="83">
        <f>'Payroll Verisma'!X29+'Payroll MRO'!X29</f>
        <v>0</v>
      </c>
      <c r="Y47" s="83">
        <f>'Payroll Verisma'!Y29+'Payroll MRO'!Y29</f>
        <v>66</v>
      </c>
      <c r="Z47" s="83">
        <f>'Payroll Verisma'!Z29+'Payroll MRO'!Z29</f>
        <v>0</v>
      </c>
      <c r="AA47" s="83">
        <f>'Payroll Verisma'!AA29+'Payroll MRO'!AA29</f>
        <v>9</v>
      </c>
      <c r="AB47" s="83">
        <f>'Payroll Verisma'!AB29+'Payroll MRO'!AB29</f>
        <v>21</v>
      </c>
      <c r="AC47" s="83">
        <f>'Payroll Verisma'!AC29+'Payroll MRO'!AC29</f>
        <v>0</v>
      </c>
      <c r="AD47" s="83">
        <f>'Payroll Verisma'!AD29+'Payroll MRO'!AD29</f>
        <v>70</v>
      </c>
      <c r="AE47" s="83">
        <f>'Payroll Verisma'!AE29+'Payroll MRO'!AE29</f>
        <v>0</v>
      </c>
      <c r="AF47" s="83">
        <f>'Payroll Verisma'!AF29+'Payroll MRO'!AF29</f>
        <v>0</v>
      </c>
      <c r="AG47" s="83">
        <f>'Payroll Verisma'!AG29+'Payroll MRO'!AG29</f>
        <v>34</v>
      </c>
      <c r="AH47" s="83">
        <f>'Payroll Verisma'!AH29+'Payroll MRO'!AH29</f>
        <v>25</v>
      </c>
      <c r="AI47" s="83">
        <f>'Payroll Verisma'!AI29+'Payroll MRO'!AI29</f>
        <v>25</v>
      </c>
      <c r="AJ47" s="83">
        <f>'Payroll Verisma'!AJ29+'Payroll MRO'!AJ29</f>
        <v>0</v>
      </c>
      <c r="AK47" s="83">
        <f>'Payroll Verisma'!AK29+'Payroll MRO'!AK29</f>
        <v>20</v>
      </c>
      <c r="AL47" s="83">
        <f>'Payroll Verisma'!AL29+'Payroll MRO'!AL29</f>
        <v>10</v>
      </c>
      <c r="AM47" s="83">
        <f>'Payroll Verisma'!AM29+'Payroll MRO'!AM29</f>
        <v>31</v>
      </c>
      <c r="AN47" s="83">
        <f>'Payroll Verisma'!AN29+'Payroll MRO'!AN29</f>
        <v>15</v>
      </c>
      <c r="AO47" s="83">
        <f>'Payroll Verisma'!AO29+'Payroll MRO'!AO29</f>
        <v>0</v>
      </c>
      <c r="AP47" s="83">
        <f>'Payroll Verisma'!AP29+'Payroll MRO'!AP29</f>
        <v>10</v>
      </c>
      <c r="AQ47" s="83">
        <f>'Payroll Verisma'!AQ29+'Payroll MRO'!AQ29</f>
        <v>0</v>
      </c>
      <c r="AR47" s="83">
        <f>'Payroll Verisma'!AR29+'Payroll MRO'!AR29</f>
        <v>42</v>
      </c>
      <c r="AS47" s="83">
        <f>'Payroll Verisma'!AS29+'Payroll MRO'!AS29</f>
        <v>0</v>
      </c>
      <c r="AT47" s="83">
        <f>'Payroll Verisma'!AT29+'Payroll MRO'!AT29</f>
        <v>64</v>
      </c>
      <c r="AU47" s="83">
        <f>'Payroll Verisma'!AU29+'Payroll MRO'!AU29</f>
        <v>0</v>
      </c>
      <c r="AV47" s="83">
        <f>'Payroll Verisma'!AV29+'Payroll MRO'!AV29</f>
        <v>0</v>
      </c>
      <c r="AW47" s="83">
        <f>'Payroll Verisma'!AW29+'Payroll MRO'!AW29</f>
        <v>24</v>
      </c>
      <c r="AX47" s="83">
        <f>'Payroll Verisma'!AX29+'Payroll MRO'!AX29</f>
        <v>63</v>
      </c>
      <c r="AY47" s="83">
        <f>'Payroll Verisma'!AY29+'Payroll MRO'!AY29</f>
        <v>0</v>
      </c>
      <c r="AZ47" s="83">
        <f>'Payroll Verisma'!AZ29+'Payroll MRO'!AZ29</f>
        <v>0</v>
      </c>
      <c r="BA47" s="83">
        <f>'Payroll Verisma'!BA29+'Payroll MRO'!BA29</f>
        <v>84</v>
      </c>
      <c r="BB47" s="83">
        <f>'Payroll Verisma'!BB29+'Payroll MRO'!BB29</f>
        <v>32</v>
      </c>
      <c r="BC47" s="83">
        <f>'Payroll Verisma'!BC29+'Payroll MRO'!BC29</f>
        <v>23</v>
      </c>
      <c r="BD47" s="83">
        <f>'Payroll Verisma'!BD29+'Payroll MRO'!BD29</f>
        <v>45</v>
      </c>
      <c r="BE47" s="83">
        <f>'Payroll Verisma'!BE29+'Payroll MRO'!BE29</f>
        <v>7</v>
      </c>
      <c r="BF47" s="83">
        <f>'Payroll Verisma'!BF29+'Payroll MRO'!BF29</f>
        <v>29</v>
      </c>
      <c r="BG47" s="83">
        <f>'Payroll Verisma'!BG29+'Payroll MRO'!BG29</f>
        <v>28</v>
      </c>
      <c r="BH47" s="83">
        <f>'Payroll Verisma'!BH29+'Payroll MRO'!BH29</f>
        <v>0</v>
      </c>
      <c r="BI47" s="83">
        <f>'Payroll Verisma'!BI29+'Payroll MRO'!BI29</f>
        <v>0</v>
      </c>
      <c r="BJ47" s="83">
        <f>'Payroll Verisma'!BJ29+'Payroll MRO'!BJ29</f>
        <v>20</v>
      </c>
      <c r="BK47" s="83">
        <f>'Payroll Verisma'!BK29+'Payroll MRO'!BK29</f>
        <v>0</v>
      </c>
      <c r="BL47" s="83">
        <f>'Payroll Verisma'!BL29+'Payroll MRO'!BL29</f>
        <v>39</v>
      </c>
      <c r="BM47" s="83">
        <f>'Payroll Verisma'!BM29+'Payroll MRO'!BM29</f>
        <v>0</v>
      </c>
      <c r="BN47" s="83">
        <f>'Payroll Verisma'!BN29+'Payroll MRO'!BN29</f>
        <v>28</v>
      </c>
      <c r="BO47" s="83">
        <f>'Payroll Verisma'!BO29+'Payroll MRO'!BO29</f>
        <v>22</v>
      </c>
      <c r="BP47" s="83">
        <f>'Payroll Verisma'!BP29+'Payroll MRO'!BP29</f>
        <v>0</v>
      </c>
      <c r="BQ47" s="83">
        <f>'Payroll Verisma'!BQ29+'Payroll MRO'!BQ29</f>
        <v>19</v>
      </c>
      <c r="BR47" s="83">
        <f>'Payroll Verisma'!BR29+'Payroll MRO'!BR29</f>
        <v>0</v>
      </c>
      <c r="BS47" s="83">
        <f>'Payroll Verisma'!BS29+'Payroll MRO'!BS29</f>
        <v>0</v>
      </c>
      <c r="BT47" s="83">
        <f>'Payroll Verisma'!BT29+'Payroll MRO'!BT29</f>
        <v>0</v>
      </c>
      <c r="BU47" s="83">
        <f>'Payroll Verisma'!BU29+'Payroll MRO'!BU29</f>
        <v>45</v>
      </c>
      <c r="BV47" s="83">
        <f>'Payroll Verisma'!BV29+'Payroll MRO'!BV29</f>
        <v>12</v>
      </c>
      <c r="BW47" s="83">
        <f>'Payroll Verisma'!BW29+'Payroll MRO'!BW29</f>
        <v>77</v>
      </c>
      <c r="BX47" s="83">
        <f>'Payroll Verisma'!BX29+'Payroll MRO'!BX29</f>
        <v>48</v>
      </c>
      <c r="BY47" s="83">
        <f>'Payroll Verisma'!BY29+'Payroll MRO'!BY29</f>
        <v>0</v>
      </c>
      <c r="BZ47" s="83">
        <f>'Payroll Verisma'!BZ29+'Payroll MRO'!BZ29</f>
        <v>216</v>
      </c>
      <c r="CA47" s="83">
        <f>'Payroll Verisma'!CA29+'Payroll MRO'!CA29</f>
        <v>49</v>
      </c>
      <c r="CB47" s="83">
        <f>'Payroll Verisma'!CB29+'Payroll MRO'!CB29</f>
        <v>48</v>
      </c>
      <c r="CC47" s="83">
        <f>'Payroll Verisma'!CC29+'Payroll MRO'!CC29</f>
        <v>23</v>
      </c>
      <c r="CD47" s="83">
        <f>'Payroll Verisma'!CD29+'Payroll MRO'!CD29</f>
        <v>288</v>
      </c>
      <c r="CE47" s="83">
        <f>'Payroll Verisma'!CE29+'Payroll MRO'!CE29</f>
        <v>30</v>
      </c>
      <c r="CF47" s="83">
        <f>'Payroll Verisma'!CF29+'Payroll MRO'!CF29</f>
        <v>9</v>
      </c>
      <c r="CG47" s="83">
        <f>'Payroll Verisma'!CG29+'Payroll MRO'!CG29</f>
        <v>0</v>
      </c>
      <c r="CH47" s="83">
        <f>'Payroll Verisma'!CH29+'Payroll MRO'!CH29</f>
        <v>25</v>
      </c>
      <c r="CI47" s="83">
        <f>'Payroll Verisma'!CI29+'Payroll MRO'!CI29</f>
        <v>0</v>
      </c>
      <c r="CJ47" s="83">
        <f>'Payroll Verisma'!CJ29+'Payroll MRO'!CJ29</f>
        <v>173</v>
      </c>
      <c r="CK47" s="83">
        <f>'Payroll Verisma'!CK29+'Payroll MRO'!CK29</f>
        <v>0</v>
      </c>
      <c r="CL47" s="83">
        <f>'Payroll Verisma'!CL29+'Payroll MRO'!CL29</f>
        <v>50</v>
      </c>
      <c r="CM47" s="83">
        <f>'Payroll Verisma'!CM29+'Payroll MRO'!CM29</f>
        <v>0</v>
      </c>
      <c r="CN47" s="83">
        <f>'Payroll Verisma'!CN29+'Payroll MRO'!CN29</f>
        <v>19</v>
      </c>
      <c r="CO47" s="83">
        <f>'Payroll Verisma'!CO29+'Payroll MRO'!CO29</f>
        <v>10</v>
      </c>
      <c r="CP47" s="83">
        <f>'Payroll Verisma'!CP29+'Payroll MRO'!CP29</f>
        <v>70</v>
      </c>
      <c r="CQ47" s="83">
        <f>'Payroll Verisma'!CQ29+'Payroll MRO'!CQ29</f>
        <v>0</v>
      </c>
      <c r="CR47" s="83">
        <f>'Payroll Verisma'!CR29+'Payroll MRO'!CR29</f>
        <v>15</v>
      </c>
      <c r="CS47" s="83">
        <f>'Payroll Verisma'!CS29+'Payroll MRO'!CS29</f>
        <v>0</v>
      </c>
      <c r="CT47" s="83">
        <f>'Payroll Verisma'!CT29+'Payroll MRO'!CT29</f>
        <v>46</v>
      </c>
      <c r="CU47" s="83">
        <f>'Payroll Verisma'!CU29+'Payroll MRO'!CU29</f>
        <v>50</v>
      </c>
      <c r="CV47" s="83">
        <f>'Payroll Verisma'!CV29+'Payroll MRO'!CV29</f>
        <v>0</v>
      </c>
      <c r="CW47" s="83">
        <f>'Payroll Verisma'!CW29+'Payroll MRO'!CW29</f>
        <v>0</v>
      </c>
      <c r="CX47" s="83">
        <f>'Payroll Verisma'!CX29+'Payroll MRO'!CX29</f>
        <v>0</v>
      </c>
      <c r="CY47" s="83">
        <f>'Payroll Verisma'!CY29+'Payroll MRO'!CY29</f>
        <v>91</v>
      </c>
      <c r="CZ47" s="83">
        <f>'Payroll Verisma'!CZ29+'Payroll MRO'!CZ29</f>
        <v>100</v>
      </c>
      <c r="DA47" s="83">
        <f>'Payroll Verisma'!DA29+'Payroll MRO'!DA29</f>
        <v>10</v>
      </c>
      <c r="DB47" s="83">
        <f>'Payroll Verisma'!DB29+'Payroll MRO'!DB29</f>
        <v>0</v>
      </c>
      <c r="DC47" s="83">
        <f>'Payroll Verisma'!DC29+'Payroll MRO'!DC29</f>
        <v>0</v>
      </c>
      <c r="DD47" s="83">
        <f>'Payroll Verisma'!DD29+'Payroll MRO'!DD29</f>
        <v>27</v>
      </c>
      <c r="DE47" s="83">
        <f>'Payroll Verisma'!DE29+'Payroll MRO'!DE29</f>
        <v>100</v>
      </c>
      <c r="DF47" s="83">
        <f>'Payroll Verisma'!DF29+'Payroll MRO'!DF29</f>
        <v>0</v>
      </c>
      <c r="DG47" s="83">
        <f>'Payroll Verisma'!DG29+'Payroll MRO'!DG29</f>
        <v>2</v>
      </c>
      <c r="DH47" s="83">
        <f>'Payroll Verisma'!DH29+'Payroll MRO'!DH29</f>
        <v>0</v>
      </c>
      <c r="DI47" s="83">
        <f>'Payroll Verisma'!DI29+'Payroll MRO'!DI29</f>
        <v>114</v>
      </c>
      <c r="DJ47" s="83">
        <f>'Payroll Verisma'!DJ29+'Payroll MRO'!DJ29</f>
        <v>0</v>
      </c>
      <c r="DK47" s="83">
        <f>'Payroll Verisma'!DK29+'Payroll MRO'!DK29</f>
        <v>206</v>
      </c>
      <c r="DL47" s="83">
        <f>'Payroll Verisma'!DL29+'Payroll MRO'!DL29</f>
        <v>9</v>
      </c>
      <c r="DM47" s="83">
        <f>'Payroll Verisma'!DM29+'Payroll MRO'!DM29</f>
        <v>0</v>
      </c>
      <c r="DN47" s="83">
        <f>'Payroll Verisma'!DN29+'Payroll MRO'!DN29</f>
        <v>96</v>
      </c>
      <c r="DO47" s="83">
        <f>'Payroll Verisma'!DO29+'Payroll MRO'!DO29</f>
        <v>0</v>
      </c>
      <c r="DP47" s="83">
        <f>'Payroll Verisma'!DP29+'Payroll MRO'!DP29</f>
        <v>0</v>
      </c>
      <c r="DQ47" s="83">
        <f>'Payroll Verisma'!DQ29+'Payroll MRO'!DQ29</f>
        <v>43</v>
      </c>
      <c r="DR47" s="83">
        <f>'Payroll Verisma'!DR29+'Payroll MRO'!DR29</f>
        <v>71</v>
      </c>
      <c r="DS47" s="83">
        <f>'Payroll Verisma'!DS29+'Payroll MRO'!DS29</f>
        <v>76</v>
      </c>
      <c r="DT47" s="83">
        <f>'Payroll Verisma'!DT29+'Payroll MRO'!DT29</f>
        <v>61</v>
      </c>
      <c r="DU47" s="83">
        <f>'Payroll Verisma'!DU29+'Payroll MRO'!DU29</f>
        <v>0</v>
      </c>
      <c r="DV47" s="83">
        <f>'Payroll Verisma'!DV29+'Payroll MRO'!DV29</f>
        <v>0</v>
      </c>
      <c r="DW47" s="83">
        <f>'Payroll Verisma'!DW29+'Payroll MRO'!DW29</f>
        <v>0</v>
      </c>
      <c r="DX47" s="83">
        <f>'Payroll Verisma'!DX29+'Payroll MRO'!DX29</f>
        <v>21</v>
      </c>
      <c r="DY47" s="83">
        <f>'Payroll Verisma'!DY29+'Payroll MRO'!DY29</f>
        <v>30</v>
      </c>
      <c r="DZ47" s="83">
        <f>'Payroll Verisma'!DZ29+'Payroll MRO'!DZ29</f>
        <v>41</v>
      </c>
      <c r="EA47" s="83">
        <f>'Payroll Verisma'!EA29+'Payroll MRO'!EA29</f>
        <v>0</v>
      </c>
      <c r="EB47" s="83">
        <f>'Payroll Verisma'!EB29+'Payroll MRO'!EB29</f>
        <v>15</v>
      </c>
      <c r="EC47" s="83">
        <f>'Payroll Verisma'!EC29+'Payroll MRO'!EC29</f>
        <v>35</v>
      </c>
      <c r="ED47" s="83">
        <f>'Payroll Verisma'!ED29+'Payroll MRO'!ED29</f>
        <v>109</v>
      </c>
      <c r="EE47" s="83">
        <f>'Payroll Verisma'!EE29+'Payroll MRO'!EE29</f>
        <v>10</v>
      </c>
      <c r="EF47" s="83">
        <f>'Payroll Verisma'!EF29+'Payroll MRO'!EF29</f>
        <v>20</v>
      </c>
      <c r="EG47" s="83">
        <f>'Payroll Verisma'!EG29+'Payroll MRO'!EG29</f>
        <v>5</v>
      </c>
      <c r="EH47" s="83">
        <f>'Payroll Verisma'!EH29+'Payroll MRO'!EH29</f>
        <v>15</v>
      </c>
      <c r="EI47" s="83">
        <f>'Payroll Verisma'!EI29+'Payroll MRO'!EI29</f>
        <v>42</v>
      </c>
      <c r="EJ47" s="83">
        <f>'Payroll Verisma'!EJ29+'Payroll MRO'!EJ29</f>
        <v>18</v>
      </c>
      <c r="EK47" s="83">
        <f>'Payroll Verisma'!EK29+'Payroll MRO'!EK29</f>
        <v>21</v>
      </c>
      <c r="EL47" s="83">
        <f>'Payroll Verisma'!EL29+'Payroll MRO'!EL29</f>
        <v>29</v>
      </c>
      <c r="EM47" s="83">
        <f>'Payroll Verisma'!EM29+'Payroll MRO'!EM29</f>
        <v>55</v>
      </c>
      <c r="EN47" s="83">
        <f>'Payroll Verisma'!EN29+'Payroll MRO'!EN29</f>
        <v>0</v>
      </c>
      <c r="EO47" s="83">
        <f>'Payroll Verisma'!EO29+'Payroll MRO'!EO29</f>
        <v>23</v>
      </c>
      <c r="EP47" s="83">
        <f>'Payroll Verisma'!EP29+'Payroll MRO'!EP29</f>
        <v>19</v>
      </c>
      <c r="EQ47" s="83">
        <f>'Payroll Verisma'!EQ29+'Payroll MRO'!EQ29</f>
        <v>28</v>
      </c>
      <c r="ER47" s="83">
        <f>'Payroll Verisma'!ER29+'Payroll MRO'!ER29</f>
        <v>17</v>
      </c>
      <c r="ES47" s="83">
        <f>'Payroll Verisma'!ES29+'Payroll MRO'!ES29</f>
        <v>16</v>
      </c>
      <c r="ET47" s="83">
        <f>'Payroll Verisma'!ET29+'Payroll MRO'!ET29</f>
        <v>60</v>
      </c>
      <c r="EU47" s="83">
        <f>'Payroll Verisma'!EU29+'Payroll MRO'!EU29</f>
        <v>59</v>
      </c>
      <c r="EV47" s="83">
        <f>'Payroll Verisma'!EV29+'Payroll MRO'!EV29</f>
        <v>45</v>
      </c>
      <c r="EW47" s="83">
        <f>'Payroll Verisma'!EW29+'Payroll MRO'!EW29</f>
        <v>22</v>
      </c>
      <c r="EX47" s="83">
        <f>'Payroll Verisma'!EX29+'Payroll MRO'!EX29</f>
        <v>23</v>
      </c>
      <c r="EY47" s="83">
        <f>'Payroll Verisma'!EY29+'Payroll MRO'!EY29</f>
        <v>46</v>
      </c>
      <c r="EZ47" s="83">
        <f>'Payroll Verisma'!EZ29+'Payroll MRO'!EZ29</f>
        <v>0</v>
      </c>
      <c r="FA47" s="83">
        <f>'Payroll Verisma'!FA29+'Payroll MRO'!FA29</f>
        <v>0</v>
      </c>
      <c r="FB47" s="83">
        <f>'Payroll Verisma'!FB29+'Payroll MRO'!FB29</f>
        <v>64</v>
      </c>
      <c r="FC47" s="83">
        <f>'Payroll Verisma'!FC29+'Payroll MRO'!FC29</f>
        <v>0</v>
      </c>
      <c r="FD47" s="83">
        <f>'Payroll Verisma'!FD29+'Payroll MRO'!FD29</f>
        <v>0</v>
      </c>
      <c r="FE47" s="83">
        <f>'Payroll Verisma'!FE29+'Payroll MRO'!FE29</f>
        <v>0</v>
      </c>
      <c r="FF47" s="83">
        <f>'Payroll Verisma'!FF29+'Payroll MRO'!FF29</f>
        <v>49</v>
      </c>
      <c r="FG47" s="83">
        <f>'Payroll Verisma'!FG29+'Payroll MRO'!FG29</f>
        <v>0</v>
      </c>
      <c r="FH47" s="83">
        <f>'Payroll Verisma'!FH29+'Payroll MRO'!FH29</f>
        <v>238</v>
      </c>
      <c r="FI47" s="83">
        <f>'Payroll Verisma'!FI29+'Payroll MRO'!FI29</f>
        <v>46</v>
      </c>
      <c r="FJ47" s="83">
        <f>'Payroll Verisma'!FJ29+'Payroll MRO'!FJ29</f>
        <v>0</v>
      </c>
      <c r="FK47" s="83">
        <f>'Payroll Verisma'!FK29+'Payroll MRO'!FK29</f>
        <v>34</v>
      </c>
      <c r="FL47" s="83">
        <f>'Payroll Verisma'!FL29+'Payroll MRO'!FL29</f>
        <v>0</v>
      </c>
      <c r="FM47" s="83">
        <f>'Payroll Verisma'!FM29+'Payroll MRO'!FM29</f>
        <v>18</v>
      </c>
      <c r="FN47" s="83">
        <f>'Payroll Verisma'!FN29+'Payroll MRO'!FN29</f>
        <v>46</v>
      </c>
      <c r="FO47" s="83">
        <f>'Payroll Verisma'!FO29+'Payroll MRO'!FO29</f>
        <v>51</v>
      </c>
      <c r="FP47" s="83">
        <f>'Payroll Verisma'!FP29+'Payroll MRO'!FP29</f>
        <v>43</v>
      </c>
      <c r="FQ47" s="83">
        <f>'Payroll Verisma'!FQ29+'Payroll MRO'!FQ29</f>
        <v>86</v>
      </c>
      <c r="FR47" s="83">
        <f>'Payroll Verisma'!FR29+'Payroll MRO'!FR29</f>
        <v>0</v>
      </c>
      <c r="FS47" s="83">
        <f>'Payroll Verisma'!FS29+'Payroll MRO'!FS29</f>
        <v>68</v>
      </c>
      <c r="FT47" s="83">
        <f>'Payroll Verisma'!FT29+'Payroll MRO'!FT29</f>
        <v>15</v>
      </c>
      <c r="FU47" s="83">
        <f>'Payroll Verisma'!FU29+'Payroll MRO'!FU29</f>
        <v>0</v>
      </c>
      <c r="FV47" s="83">
        <f>'Payroll Verisma'!FV29+'Payroll MRO'!FV29</f>
        <v>9</v>
      </c>
      <c r="FW47" s="83">
        <f>'Payroll Verisma'!FW29+'Payroll MRO'!FW29</f>
        <v>0</v>
      </c>
      <c r="FX47" s="83">
        <f>'Payroll Verisma'!FX29+'Payroll MRO'!FX29</f>
        <v>0</v>
      </c>
      <c r="FY47" s="83">
        <f>'Payroll Verisma'!FY29+'Payroll MRO'!FY29</f>
        <v>35</v>
      </c>
      <c r="FZ47" s="83">
        <f>'Payroll Verisma'!FZ29+'Payroll MRO'!FZ29</f>
        <v>10</v>
      </c>
      <c r="GA47" s="83">
        <f>'Payroll Verisma'!GA29+'Payroll MRO'!GA29</f>
        <v>0</v>
      </c>
      <c r="GB47" s="83">
        <f>'Payroll Verisma'!GB29+'Payroll MRO'!GB29</f>
        <v>74</v>
      </c>
      <c r="GC47" s="83">
        <f>'Payroll Verisma'!GC29+'Payroll MRO'!GC29</f>
        <v>0</v>
      </c>
      <c r="GD47" s="83">
        <f>'Payroll Verisma'!GD29+'Payroll MRO'!GD29</f>
        <v>10</v>
      </c>
      <c r="GE47" s="83">
        <f>'Payroll Verisma'!GE29+'Payroll MRO'!GE29</f>
        <v>0</v>
      </c>
      <c r="GF47" s="83">
        <f>'Payroll Verisma'!GF29+'Payroll MRO'!GF29</f>
        <v>21</v>
      </c>
      <c r="GG47" s="83">
        <f>'Payroll Verisma'!GG29+'Payroll MRO'!GG29</f>
        <v>49</v>
      </c>
      <c r="GH47" s="83">
        <f>'Payroll Verisma'!GH29+'Payroll MRO'!GH29</f>
        <v>6</v>
      </c>
      <c r="GI47" s="83">
        <f>'Payroll Verisma'!GI29+'Payroll MRO'!GI29</f>
        <v>0</v>
      </c>
      <c r="GJ47" s="83">
        <f>'Payroll Verisma'!GJ29+'Payroll MRO'!GJ29</f>
        <v>14</v>
      </c>
      <c r="GK47" s="83">
        <f>'Payroll Verisma'!GK29+'Payroll MRO'!GK29</f>
        <v>17</v>
      </c>
      <c r="GL47" s="83">
        <f>'Payroll Verisma'!GL29+'Payroll MRO'!GL29</f>
        <v>26</v>
      </c>
      <c r="GM47" s="83">
        <f>'Payroll Verisma'!GM29+'Payroll MRO'!GM29</f>
        <v>72</v>
      </c>
      <c r="GN47" s="83">
        <f>'Payroll Verisma'!GN29+'Payroll MRO'!GN29</f>
        <v>31</v>
      </c>
      <c r="GO47" s="83">
        <f>'Payroll Verisma'!GO29+'Payroll MRO'!GO29</f>
        <v>32</v>
      </c>
      <c r="GP47" s="83">
        <f>'Payroll Verisma'!GP29+'Payroll MRO'!GP29</f>
        <v>40</v>
      </c>
      <c r="GQ47" s="83">
        <f>'Payroll Verisma'!GQ29+'Payroll MRO'!GQ29</f>
        <v>0</v>
      </c>
      <c r="GR47" s="83">
        <f>'Payroll Verisma'!GR29+'Payroll MRO'!GR29</f>
        <v>0</v>
      </c>
    </row>
    <row r="48" spans="1:200" ht="15.6">
      <c r="A48" s="81">
        <f t="shared" si="83"/>
        <v>46050</v>
      </c>
      <c r="B48" s="82" t="str">
        <f t="shared" si="82"/>
        <v>Wed</v>
      </c>
      <c r="C48" s="75">
        <f t="shared" si="81"/>
        <v>4984</v>
      </c>
      <c r="D48" s="83">
        <f>'Payroll Verisma'!D30+'Payroll MRO'!D30</f>
        <v>0</v>
      </c>
      <c r="E48" s="83">
        <f>'Payroll Verisma'!E30+'Payroll MRO'!E30</f>
        <v>17</v>
      </c>
      <c r="F48" s="83">
        <f>'Payroll Verisma'!F30+'Payroll MRO'!F30</f>
        <v>0</v>
      </c>
      <c r="G48" s="83">
        <f>'Payroll Verisma'!G30+'Payroll MRO'!G30</f>
        <v>0</v>
      </c>
      <c r="H48" s="83">
        <f>'Payroll Verisma'!H30+'Payroll MRO'!H30</f>
        <v>20</v>
      </c>
      <c r="I48" s="83">
        <f>'Payroll Verisma'!I30+'Payroll MRO'!I30</f>
        <v>59</v>
      </c>
      <c r="J48" s="83">
        <f>'Payroll Verisma'!J30+'Payroll MRO'!J30</f>
        <v>0</v>
      </c>
      <c r="K48" s="83">
        <f>'Payroll Verisma'!K30+'Payroll MRO'!K30</f>
        <v>0</v>
      </c>
      <c r="L48" s="83">
        <f>'Payroll Verisma'!L30+'Payroll MRO'!L30</f>
        <v>0</v>
      </c>
      <c r="M48" s="83">
        <f>'Payroll Verisma'!M30+'Payroll MRO'!M30</f>
        <v>13</v>
      </c>
      <c r="N48" s="83">
        <f>'Payroll Verisma'!N30+'Payroll MRO'!N30</f>
        <v>33</v>
      </c>
      <c r="O48" s="83">
        <f>'Payroll Verisma'!O30+'Payroll MRO'!O30</f>
        <v>0</v>
      </c>
      <c r="P48" s="83">
        <f>'Payroll Verisma'!P30+'Payroll MRO'!P30</f>
        <v>25</v>
      </c>
      <c r="Q48" s="83">
        <f>'Payroll Verisma'!Q30+'Payroll MRO'!Q30</f>
        <v>22</v>
      </c>
      <c r="R48" s="83">
        <f>'Payroll Verisma'!R30+'Payroll MRO'!R30</f>
        <v>108</v>
      </c>
      <c r="S48" s="83">
        <f>'Payroll Verisma'!S30+'Payroll MRO'!S30</f>
        <v>52</v>
      </c>
      <c r="T48" s="83">
        <f>'Payroll Verisma'!T30+'Payroll MRO'!T30</f>
        <v>122</v>
      </c>
      <c r="U48" s="83">
        <f>'Payroll Verisma'!U30+'Payroll MRO'!U30</f>
        <v>0</v>
      </c>
      <c r="V48" s="83">
        <f>'Payroll Verisma'!V30+'Payroll MRO'!V30</f>
        <v>0</v>
      </c>
      <c r="W48" s="83">
        <f>'Payroll Verisma'!W30+'Payroll MRO'!W30</f>
        <v>0</v>
      </c>
      <c r="X48" s="83">
        <f>'Payroll Verisma'!X30+'Payroll MRO'!X30</f>
        <v>0</v>
      </c>
      <c r="Y48" s="83">
        <f>'Payroll Verisma'!Y30+'Payroll MRO'!Y30</f>
        <v>46</v>
      </c>
      <c r="Z48" s="83">
        <f>'Payroll Verisma'!Z30+'Payroll MRO'!Z30</f>
        <v>0</v>
      </c>
      <c r="AA48" s="83">
        <f>'Payroll Verisma'!AA30+'Payroll MRO'!AA30</f>
        <v>9</v>
      </c>
      <c r="AB48" s="83">
        <f>'Payroll Verisma'!AB30+'Payroll MRO'!AB30</f>
        <v>30</v>
      </c>
      <c r="AC48" s="83">
        <f>'Payroll Verisma'!AC30+'Payroll MRO'!AC30</f>
        <v>0</v>
      </c>
      <c r="AD48" s="83">
        <f>'Payroll Verisma'!AD30+'Payroll MRO'!AD30</f>
        <v>70</v>
      </c>
      <c r="AE48" s="83">
        <f>'Payroll Verisma'!AE30+'Payroll MRO'!AE30</f>
        <v>4</v>
      </c>
      <c r="AF48" s="83">
        <f>'Payroll Verisma'!AF30+'Payroll MRO'!AF30</f>
        <v>0</v>
      </c>
      <c r="AG48" s="83">
        <f>'Payroll Verisma'!AG30+'Payroll MRO'!AG30</f>
        <v>24</v>
      </c>
      <c r="AH48" s="83">
        <f>'Payroll Verisma'!AH30+'Payroll MRO'!AH30</f>
        <v>0</v>
      </c>
      <c r="AI48" s="83">
        <f>'Payroll Verisma'!AI30+'Payroll MRO'!AI30</f>
        <v>34</v>
      </c>
      <c r="AJ48" s="83">
        <f>'Payroll Verisma'!AJ30+'Payroll MRO'!AJ30</f>
        <v>0</v>
      </c>
      <c r="AK48" s="83">
        <f>'Payroll Verisma'!AK30+'Payroll MRO'!AK30</f>
        <v>29</v>
      </c>
      <c r="AL48" s="83">
        <f>'Payroll Verisma'!AL30+'Payroll MRO'!AL30</f>
        <v>40</v>
      </c>
      <c r="AM48" s="83">
        <f>'Payroll Verisma'!AM30+'Payroll MRO'!AM30</f>
        <v>0</v>
      </c>
      <c r="AN48" s="83">
        <f>'Payroll Verisma'!AN30+'Payroll MRO'!AN30</f>
        <v>37</v>
      </c>
      <c r="AO48" s="83">
        <f>'Payroll Verisma'!AO30+'Payroll MRO'!AO30</f>
        <v>0</v>
      </c>
      <c r="AP48" s="83">
        <f>'Payroll Verisma'!AP30+'Payroll MRO'!AP30</f>
        <v>20</v>
      </c>
      <c r="AQ48" s="83">
        <f>'Payroll Verisma'!AQ30+'Payroll MRO'!AQ30</f>
        <v>9</v>
      </c>
      <c r="AR48" s="83">
        <f>'Payroll Verisma'!AR30+'Payroll MRO'!AR30</f>
        <v>29</v>
      </c>
      <c r="AS48" s="83">
        <f>'Payroll Verisma'!AS30+'Payroll MRO'!AS30</f>
        <v>0</v>
      </c>
      <c r="AT48" s="83">
        <f>'Payroll Verisma'!AT30+'Payroll MRO'!AT30</f>
        <v>54</v>
      </c>
      <c r="AU48" s="83">
        <f>'Payroll Verisma'!AU30+'Payroll MRO'!AU30</f>
        <v>0</v>
      </c>
      <c r="AV48" s="83">
        <f>'Payroll Verisma'!AV30+'Payroll MRO'!AV30</f>
        <v>0</v>
      </c>
      <c r="AW48" s="83">
        <f>'Payroll Verisma'!AW30+'Payroll MRO'!AW30</f>
        <v>22</v>
      </c>
      <c r="AX48" s="83">
        <f>'Payroll Verisma'!AX30+'Payroll MRO'!AX30</f>
        <v>37</v>
      </c>
      <c r="AY48" s="83">
        <f>'Payroll Verisma'!AY30+'Payroll MRO'!AY30</f>
        <v>0</v>
      </c>
      <c r="AZ48" s="83">
        <f>'Payroll Verisma'!AZ30+'Payroll MRO'!AZ30</f>
        <v>0</v>
      </c>
      <c r="BA48" s="83">
        <f>'Payroll Verisma'!BA30+'Payroll MRO'!BA30</f>
        <v>6</v>
      </c>
      <c r="BB48" s="83">
        <f>'Payroll Verisma'!BB30+'Payroll MRO'!BB30</f>
        <v>37</v>
      </c>
      <c r="BC48" s="83">
        <f>'Payroll Verisma'!BC30+'Payroll MRO'!BC30</f>
        <v>26</v>
      </c>
      <c r="BD48" s="83">
        <f>'Payroll Verisma'!BD30+'Payroll MRO'!BD30</f>
        <v>52</v>
      </c>
      <c r="BE48" s="83">
        <f>'Payroll Verisma'!BE30+'Payroll MRO'!BE30</f>
        <v>26</v>
      </c>
      <c r="BF48" s="83">
        <f>'Payroll Verisma'!BF30+'Payroll MRO'!BF30</f>
        <v>18</v>
      </c>
      <c r="BG48" s="83">
        <f>'Payroll Verisma'!BG30+'Payroll MRO'!BG30</f>
        <v>29</v>
      </c>
      <c r="BH48" s="83">
        <f>'Payroll Verisma'!BH30+'Payroll MRO'!BH30</f>
        <v>0</v>
      </c>
      <c r="BI48" s="83">
        <f>'Payroll Verisma'!BI30+'Payroll MRO'!BI30</f>
        <v>66</v>
      </c>
      <c r="BJ48" s="83">
        <f>'Payroll Verisma'!BJ30+'Payroll MRO'!BJ30</f>
        <v>25</v>
      </c>
      <c r="BK48" s="83">
        <f>'Payroll Verisma'!BK30+'Payroll MRO'!BK30</f>
        <v>0</v>
      </c>
      <c r="BL48" s="83">
        <f>'Payroll Verisma'!BL30+'Payroll MRO'!BL30</f>
        <v>20</v>
      </c>
      <c r="BM48" s="83">
        <f>'Payroll Verisma'!BM30+'Payroll MRO'!BM30</f>
        <v>0</v>
      </c>
      <c r="BN48" s="83">
        <f>'Payroll Verisma'!BN30+'Payroll MRO'!BN30</f>
        <v>65</v>
      </c>
      <c r="BO48" s="83">
        <f>'Payroll Verisma'!BO30+'Payroll MRO'!BO30</f>
        <v>25</v>
      </c>
      <c r="BP48" s="83">
        <f>'Payroll Verisma'!BP30+'Payroll MRO'!BP30</f>
        <v>0</v>
      </c>
      <c r="BQ48" s="83">
        <f>'Payroll Verisma'!BQ30+'Payroll MRO'!BQ30</f>
        <v>52</v>
      </c>
      <c r="BR48" s="83">
        <f>'Payroll Verisma'!BR30+'Payroll MRO'!BR30</f>
        <v>0</v>
      </c>
      <c r="BS48" s="83">
        <f>'Payroll Verisma'!BS30+'Payroll MRO'!BS30</f>
        <v>21</v>
      </c>
      <c r="BT48" s="83">
        <f>'Payroll Verisma'!BT30+'Payroll MRO'!BT30</f>
        <v>0</v>
      </c>
      <c r="BU48" s="83">
        <f>'Payroll Verisma'!BU30+'Payroll MRO'!BU30</f>
        <v>45</v>
      </c>
      <c r="BV48" s="83">
        <f>'Payroll Verisma'!BV30+'Payroll MRO'!BV30</f>
        <v>12</v>
      </c>
      <c r="BW48" s="83">
        <f>'Payroll Verisma'!BW30+'Payroll MRO'!BW30</f>
        <v>56</v>
      </c>
      <c r="BX48" s="83">
        <f>'Payroll Verisma'!BX30+'Payroll MRO'!BX30</f>
        <v>0</v>
      </c>
      <c r="BY48" s="83">
        <f>'Payroll Verisma'!BY30+'Payroll MRO'!BY30</f>
        <v>0</v>
      </c>
      <c r="BZ48" s="83">
        <f>'Payroll Verisma'!BZ30+'Payroll MRO'!BZ30</f>
        <v>4</v>
      </c>
      <c r="CA48" s="83">
        <f>'Payroll Verisma'!CA30+'Payroll MRO'!CA30</f>
        <v>62</v>
      </c>
      <c r="CB48" s="83">
        <f>'Payroll Verisma'!CB30+'Payroll MRO'!CB30</f>
        <v>63</v>
      </c>
      <c r="CC48" s="83">
        <f>'Payroll Verisma'!CC30+'Payroll MRO'!CC30</f>
        <v>23</v>
      </c>
      <c r="CD48" s="83">
        <f>'Payroll Verisma'!CD30+'Payroll MRO'!CD30</f>
        <v>160</v>
      </c>
      <c r="CE48" s="83">
        <f>'Payroll Verisma'!CE30+'Payroll MRO'!CE30</f>
        <v>27</v>
      </c>
      <c r="CF48" s="83">
        <f>'Payroll Verisma'!CF30+'Payroll MRO'!CF30</f>
        <v>1</v>
      </c>
      <c r="CG48" s="83">
        <f>'Payroll Verisma'!CG30+'Payroll MRO'!CG30</f>
        <v>0</v>
      </c>
      <c r="CH48" s="83">
        <f>'Payroll Verisma'!CH30+'Payroll MRO'!CH30</f>
        <v>41</v>
      </c>
      <c r="CI48" s="83">
        <f>'Payroll Verisma'!CI30+'Payroll MRO'!CI30</f>
        <v>0</v>
      </c>
      <c r="CJ48" s="83">
        <f>'Payroll Verisma'!CJ30+'Payroll MRO'!CJ30</f>
        <v>163</v>
      </c>
      <c r="CK48" s="83">
        <f>'Payroll Verisma'!CK30+'Payroll MRO'!CK30</f>
        <v>0</v>
      </c>
      <c r="CL48" s="83">
        <f>'Payroll Verisma'!CL30+'Payroll MRO'!CL30</f>
        <v>32</v>
      </c>
      <c r="CM48" s="83">
        <f>'Payroll Verisma'!CM30+'Payroll MRO'!CM30</f>
        <v>0</v>
      </c>
      <c r="CN48" s="83">
        <f>'Payroll Verisma'!CN30+'Payroll MRO'!CN30</f>
        <v>21</v>
      </c>
      <c r="CO48" s="83">
        <f>'Payroll Verisma'!CO30+'Payroll MRO'!CO30</f>
        <v>36</v>
      </c>
      <c r="CP48" s="83">
        <f>'Payroll Verisma'!CP30+'Payroll MRO'!CP30</f>
        <v>70</v>
      </c>
      <c r="CQ48" s="83">
        <f>'Payroll Verisma'!CQ30+'Payroll MRO'!CQ30</f>
        <v>0</v>
      </c>
      <c r="CR48" s="83">
        <f>'Payroll Verisma'!CR30+'Payroll MRO'!CR30</f>
        <v>17</v>
      </c>
      <c r="CS48" s="83">
        <f>'Payroll Verisma'!CS30+'Payroll MRO'!CS30</f>
        <v>10</v>
      </c>
      <c r="CT48" s="83">
        <f>'Payroll Verisma'!CT30+'Payroll MRO'!CT30</f>
        <v>26</v>
      </c>
      <c r="CU48" s="83">
        <f>'Payroll Verisma'!CU30+'Payroll MRO'!CU30</f>
        <v>47</v>
      </c>
      <c r="CV48" s="83">
        <f>'Payroll Verisma'!CV30+'Payroll MRO'!CV30</f>
        <v>0</v>
      </c>
      <c r="CW48" s="83">
        <f>'Payroll Verisma'!CW30+'Payroll MRO'!CW30</f>
        <v>0</v>
      </c>
      <c r="CX48" s="83">
        <f>'Payroll Verisma'!CX30+'Payroll MRO'!CX30</f>
        <v>0</v>
      </c>
      <c r="CY48" s="83">
        <f>'Payroll Verisma'!CY30+'Payroll MRO'!CY30</f>
        <v>15</v>
      </c>
      <c r="CZ48" s="83">
        <f>'Payroll Verisma'!CZ30+'Payroll MRO'!CZ30</f>
        <v>31</v>
      </c>
      <c r="DA48" s="83">
        <f>'Payroll Verisma'!DA30+'Payroll MRO'!DA30</f>
        <v>22</v>
      </c>
      <c r="DB48" s="83">
        <f>'Payroll Verisma'!DB30+'Payroll MRO'!DB30</f>
        <v>0</v>
      </c>
      <c r="DC48" s="83">
        <f>'Payroll Verisma'!DC30+'Payroll MRO'!DC30</f>
        <v>0</v>
      </c>
      <c r="DD48" s="83">
        <f>'Payroll Verisma'!DD30+'Payroll MRO'!DD30</f>
        <v>0</v>
      </c>
      <c r="DE48" s="83">
        <f>'Payroll Verisma'!DE30+'Payroll MRO'!DE30</f>
        <v>21</v>
      </c>
      <c r="DF48" s="83">
        <f>'Payroll Verisma'!DF30+'Payroll MRO'!DF30</f>
        <v>0</v>
      </c>
      <c r="DG48" s="83">
        <f>'Payroll Verisma'!DG30+'Payroll MRO'!DG30</f>
        <v>21</v>
      </c>
      <c r="DH48" s="83">
        <f>'Payroll Verisma'!DH30+'Payroll MRO'!DH30</f>
        <v>0</v>
      </c>
      <c r="DI48" s="83">
        <f>'Payroll Verisma'!DI30+'Payroll MRO'!DI30</f>
        <v>102</v>
      </c>
      <c r="DJ48" s="83">
        <f>'Payroll Verisma'!DJ30+'Payroll MRO'!DJ30</f>
        <v>0</v>
      </c>
      <c r="DK48" s="83">
        <f>'Payroll Verisma'!DK30+'Payroll MRO'!DK30</f>
        <v>46</v>
      </c>
      <c r="DL48" s="83">
        <f>'Payroll Verisma'!DL30+'Payroll MRO'!DL30</f>
        <v>20</v>
      </c>
      <c r="DM48" s="83">
        <f>'Payroll Verisma'!DM30+'Payroll MRO'!DM30</f>
        <v>4</v>
      </c>
      <c r="DN48" s="83">
        <f>'Payroll Verisma'!DN30+'Payroll MRO'!DN30</f>
        <v>76</v>
      </c>
      <c r="DO48" s="83">
        <f>'Payroll Verisma'!DO30+'Payroll MRO'!DO30</f>
        <v>8</v>
      </c>
      <c r="DP48" s="83">
        <f>'Payroll Verisma'!DP30+'Payroll MRO'!DP30</f>
        <v>26</v>
      </c>
      <c r="DQ48" s="83">
        <f>'Payroll Verisma'!DQ30+'Payroll MRO'!DQ30</f>
        <v>42</v>
      </c>
      <c r="DR48" s="83">
        <f>'Payroll Verisma'!DR30+'Payroll MRO'!DR30</f>
        <v>66</v>
      </c>
      <c r="DS48" s="83">
        <f>'Payroll Verisma'!DS30+'Payroll MRO'!DS30</f>
        <v>62</v>
      </c>
      <c r="DT48" s="83">
        <f>'Payroll Verisma'!DT30+'Payroll MRO'!DT30</f>
        <v>62</v>
      </c>
      <c r="DU48" s="83">
        <f>'Payroll Verisma'!DU30+'Payroll MRO'!DU30</f>
        <v>15</v>
      </c>
      <c r="DV48" s="83">
        <f>'Payroll Verisma'!DV30+'Payroll MRO'!DV30</f>
        <v>0</v>
      </c>
      <c r="DW48" s="83">
        <f>'Payroll Verisma'!DW30+'Payroll MRO'!DW30</f>
        <v>4</v>
      </c>
      <c r="DX48" s="83">
        <f>'Payroll Verisma'!DX30+'Payroll MRO'!DX30</f>
        <v>25</v>
      </c>
      <c r="DY48" s="83">
        <f>'Payroll Verisma'!DY30+'Payroll MRO'!DY30</f>
        <v>8</v>
      </c>
      <c r="DZ48" s="83">
        <f>'Payroll Verisma'!DZ30+'Payroll MRO'!DZ30</f>
        <v>72</v>
      </c>
      <c r="EA48" s="83">
        <f>'Payroll Verisma'!EA30+'Payroll MRO'!EA30</f>
        <v>0</v>
      </c>
      <c r="EB48" s="83">
        <f>'Payroll Verisma'!EB30+'Payroll MRO'!EB30</f>
        <v>49</v>
      </c>
      <c r="EC48" s="83">
        <f>'Payroll Verisma'!EC30+'Payroll MRO'!EC30</f>
        <v>10</v>
      </c>
      <c r="ED48" s="83">
        <f>'Payroll Verisma'!ED30+'Payroll MRO'!ED30</f>
        <v>99</v>
      </c>
      <c r="EE48" s="83">
        <f>'Payroll Verisma'!EE30+'Payroll MRO'!EE30</f>
        <v>20</v>
      </c>
      <c r="EF48" s="83">
        <f>'Payroll Verisma'!EF30+'Payroll MRO'!EF30</f>
        <v>37</v>
      </c>
      <c r="EG48" s="83">
        <f>'Payroll Verisma'!EG30+'Payroll MRO'!EG30</f>
        <v>1</v>
      </c>
      <c r="EH48" s="83">
        <f>'Payroll Verisma'!EH30+'Payroll MRO'!EH30</f>
        <v>28</v>
      </c>
      <c r="EI48" s="83">
        <f>'Payroll Verisma'!EI30+'Payroll MRO'!EI30</f>
        <v>40</v>
      </c>
      <c r="EJ48" s="83">
        <f>'Payroll Verisma'!EJ30+'Payroll MRO'!EJ30</f>
        <v>42</v>
      </c>
      <c r="EK48" s="83">
        <f>'Payroll Verisma'!EK30+'Payroll MRO'!EK30</f>
        <v>26</v>
      </c>
      <c r="EL48" s="83">
        <f>'Payroll Verisma'!EL30+'Payroll MRO'!EL30</f>
        <v>44</v>
      </c>
      <c r="EM48" s="83">
        <f>'Payroll Verisma'!EM30+'Payroll MRO'!EM30</f>
        <v>20</v>
      </c>
      <c r="EN48" s="83">
        <f>'Payroll Verisma'!EN30+'Payroll MRO'!EN30</f>
        <v>0</v>
      </c>
      <c r="EO48" s="83">
        <f>'Payroll Verisma'!EO30+'Payroll MRO'!EO30</f>
        <v>15</v>
      </c>
      <c r="EP48" s="83">
        <f>'Payroll Verisma'!EP30+'Payroll MRO'!EP30</f>
        <v>5</v>
      </c>
      <c r="EQ48" s="83">
        <f>'Payroll Verisma'!EQ30+'Payroll MRO'!EQ30</f>
        <v>0</v>
      </c>
      <c r="ER48" s="83">
        <f>'Payroll Verisma'!ER30+'Payroll MRO'!ER30</f>
        <v>31</v>
      </c>
      <c r="ES48" s="83">
        <f>'Payroll Verisma'!ES30+'Payroll MRO'!ES30</f>
        <v>20</v>
      </c>
      <c r="ET48" s="83">
        <f>'Payroll Verisma'!ET30+'Payroll MRO'!ET30</f>
        <v>0</v>
      </c>
      <c r="EU48" s="83">
        <f>'Payroll Verisma'!EU30+'Payroll MRO'!EU30</f>
        <v>170</v>
      </c>
      <c r="EV48" s="83">
        <f>'Payroll Verisma'!EV30+'Payroll MRO'!EV30</f>
        <v>50</v>
      </c>
      <c r="EW48" s="83">
        <f>'Payroll Verisma'!EW30+'Payroll MRO'!EW30</f>
        <v>0</v>
      </c>
      <c r="EX48" s="83">
        <f>'Payroll Verisma'!EX30+'Payroll MRO'!EX30</f>
        <v>11</v>
      </c>
      <c r="EY48" s="83">
        <f>'Payroll Verisma'!EY30+'Payroll MRO'!EY30</f>
        <v>32</v>
      </c>
      <c r="EZ48" s="83">
        <f>'Payroll Verisma'!EZ30+'Payroll MRO'!EZ30</f>
        <v>0</v>
      </c>
      <c r="FA48" s="83">
        <f>'Payroll Verisma'!FA30+'Payroll MRO'!FA30</f>
        <v>0</v>
      </c>
      <c r="FB48" s="83">
        <f>'Payroll Verisma'!FB30+'Payroll MRO'!FB30</f>
        <v>35</v>
      </c>
      <c r="FC48" s="83">
        <f>'Payroll Verisma'!FC30+'Payroll MRO'!FC30</f>
        <v>0</v>
      </c>
      <c r="FD48" s="83">
        <f>'Payroll Verisma'!FD30+'Payroll MRO'!FD30</f>
        <v>0</v>
      </c>
      <c r="FE48" s="83">
        <f>'Payroll Verisma'!FE30+'Payroll MRO'!FE30</f>
        <v>0</v>
      </c>
      <c r="FF48" s="83">
        <f>'Payroll Verisma'!FF30+'Payroll MRO'!FF30</f>
        <v>61</v>
      </c>
      <c r="FG48" s="83">
        <f>'Payroll Verisma'!FG30+'Payroll MRO'!FG30</f>
        <v>0</v>
      </c>
      <c r="FH48" s="83">
        <f>'Payroll Verisma'!FH30+'Payroll MRO'!FH30</f>
        <v>192</v>
      </c>
      <c r="FI48" s="83">
        <f>'Payroll Verisma'!FI30+'Payroll MRO'!FI30</f>
        <v>14</v>
      </c>
      <c r="FJ48" s="83">
        <f>'Payroll Verisma'!FJ30+'Payroll MRO'!FJ30</f>
        <v>0</v>
      </c>
      <c r="FK48" s="83">
        <f>'Payroll Verisma'!FK30+'Payroll MRO'!FK30</f>
        <v>28</v>
      </c>
      <c r="FL48" s="83">
        <f>'Payroll Verisma'!FL30+'Payroll MRO'!FL30</f>
        <v>0</v>
      </c>
      <c r="FM48" s="83">
        <f>'Payroll Verisma'!FM30+'Payroll MRO'!FM30</f>
        <v>0</v>
      </c>
      <c r="FN48" s="83">
        <f>'Payroll Verisma'!FN30+'Payroll MRO'!FN30</f>
        <v>60</v>
      </c>
      <c r="FO48" s="83">
        <f>'Payroll Verisma'!FO30+'Payroll MRO'!FO30</f>
        <v>50</v>
      </c>
      <c r="FP48" s="83">
        <f>'Payroll Verisma'!FP30+'Payroll MRO'!FP30</f>
        <v>48</v>
      </c>
      <c r="FQ48" s="83">
        <f>'Payroll Verisma'!FQ30+'Payroll MRO'!FQ30</f>
        <v>75</v>
      </c>
      <c r="FR48" s="83">
        <f>'Payroll Verisma'!FR30+'Payroll MRO'!FR30</f>
        <v>0</v>
      </c>
      <c r="FS48" s="83">
        <f>'Payroll Verisma'!FS30+'Payroll MRO'!FS30</f>
        <v>71</v>
      </c>
      <c r="FT48" s="83">
        <f>'Payroll Verisma'!FT30+'Payroll MRO'!FT30</f>
        <v>31</v>
      </c>
      <c r="FU48" s="83">
        <f>'Payroll Verisma'!FU30+'Payroll MRO'!FU30</f>
        <v>0</v>
      </c>
      <c r="FV48" s="83">
        <f>'Payroll Verisma'!FV30+'Payroll MRO'!FV30</f>
        <v>10</v>
      </c>
      <c r="FW48" s="83">
        <f>'Payroll Verisma'!FW30+'Payroll MRO'!FW30</f>
        <v>0</v>
      </c>
      <c r="FX48" s="83">
        <f>'Payroll Verisma'!FX30+'Payroll MRO'!FX30</f>
        <v>0</v>
      </c>
      <c r="FY48" s="83">
        <f>'Payroll Verisma'!FY30+'Payroll MRO'!FY30</f>
        <v>41</v>
      </c>
      <c r="FZ48" s="83">
        <f>'Payroll Verisma'!FZ30+'Payroll MRO'!FZ30</f>
        <v>38</v>
      </c>
      <c r="GA48" s="83">
        <f>'Payroll Verisma'!GA30+'Payroll MRO'!GA30</f>
        <v>0</v>
      </c>
      <c r="GB48" s="83">
        <f>'Payroll Verisma'!GB30+'Payroll MRO'!GB30</f>
        <v>1</v>
      </c>
      <c r="GC48" s="83">
        <f>'Payroll Verisma'!GC30+'Payroll MRO'!GC30</f>
        <v>0</v>
      </c>
      <c r="GD48" s="83">
        <f>'Payroll Verisma'!GD30+'Payroll MRO'!GD30</f>
        <v>21</v>
      </c>
      <c r="GE48" s="83">
        <f>'Payroll Verisma'!GE30+'Payroll MRO'!GE30</f>
        <v>0</v>
      </c>
      <c r="GF48" s="83">
        <f>'Payroll Verisma'!GF30+'Payroll MRO'!GF30</f>
        <v>59</v>
      </c>
      <c r="GG48" s="83">
        <f>'Payroll Verisma'!GG30+'Payroll MRO'!GG30</f>
        <v>27</v>
      </c>
      <c r="GH48" s="83">
        <f>'Payroll Verisma'!GH30+'Payroll MRO'!GH30</f>
        <v>17</v>
      </c>
      <c r="GI48" s="83">
        <f>'Payroll Verisma'!GI30+'Payroll MRO'!GI30</f>
        <v>0</v>
      </c>
      <c r="GJ48" s="83">
        <f>'Payroll Verisma'!GJ30+'Payroll MRO'!GJ30</f>
        <v>28</v>
      </c>
      <c r="GK48" s="83">
        <f>'Payroll Verisma'!GK30+'Payroll MRO'!GK30</f>
        <v>14</v>
      </c>
      <c r="GL48" s="83">
        <f>'Payroll Verisma'!GL30+'Payroll MRO'!GL30</f>
        <v>0</v>
      </c>
      <c r="GM48" s="83">
        <f>'Payroll Verisma'!GM30+'Payroll MRO'!GM30</f>
        <v>104</v>
      </c>
      <c r="GN48" s="83">
        <f>'Payroll Verisma'!GN30+'Payroll MRO'!GN30</f>
        <v>34</v>
      </c>
      <c r="GO48" s="83">
        <f>'Payroll Verisma'!GO30+'Payroll MRO'!GO30</f>
        <v>21</v>
      </c>
      <c r="GP48" s="83">
        <f>'Payroll Verisma'!GP30+'Payroll MRO'!GP30</f>
        <v>25</v>
      </c>
      <c r="GQ48" s="83">
        <f>'Payroll Verisma'!GQ30+'Payroll MRO'!GQ30</f>
        <v>0</v>
      </c>
      <c r="GR48" s="83">
        <f>'Payroll Verisma'!GR30+'Payroll MRO'!GR30</f>
        <v>32</v>
      </c>
    </row>
    <row r="49" spans="1:200" ht="15.6">
      <c r="A49" s="81">
        <f t="shared" si="83"/>
        <v>46051</v>
      </c>
      <c r="B49" s="82" t="str">
        <f t="shared" si="82"/>
        <v>Thu</v>
      </c>
      <c r="C49" s="75">
        <f t="shared" si="81"/>
        <v>5235</v>
      </c>
      <c r="D49" s="83">
        <f>'Payroll Verisma'!D31+'Payroll MRO'!D31</f>
        <v>0</v>
      </c>
      <c r="E49" s="83">
        <f>'Payroll Verisma'!E31+'Payroll MRO'!E31</f>
        <v>0</v>
      </c>
      <c r="F49" s="83">
        <f>'Payroll Verisma'!F31+'Payroll MRO'!F31</f>
        <v>6</v>
      </c>
      <c r="G49" s="83">
        <f>'Payroll Verisma'!G31+'Payroll MRO'!G31</f>
        <v>0</v>
      </c>
      <c r="H49" s="83">
        <f>'Payroll Verisma'!H31+'Payroll MRO'!H31</f>
        <v>26</v>
      </c>
      <c r="I49" s="83">
        <f>'Payroll Verisma'!I31+'Payroll MRO'!I31</f>
        <v>37</v>
      </c>
      <c r="J49" s="83">
        <f>'Payroll Verisma'!J31+'Payroll MRO'!J31</f>
        <v>0</v>
      </c>
      <c r="K49" s="83">
        <f>'Payroll Verisma'!K31+'Payroll MRO'!K31</f>
        <v>9</v>
      </c>
      <c r="L49" s="83">
        <f>'Payroll Verisma'!L31+'Payroll MRO'!L31</f>
        <v>0</v>
      </c>
      <c r="M49" s="83">
        <f>'Payroll Verisma'!M31+'Payroll MRO'!M31</f>
        <v>32</v>
      </c>
      <c r="N49" s="83">
        <f>'Payroll Verisma'!N31+'Payroll MRO'!N31</f>
        <v>20</v>
      </c>
      <c r="O49" s="83">
        <f>'Payroll Verisma'!O31+'Payroll MRO'!O31</f>
        <v>0</v>
      </c>
      <c r="P49" s="83">
        <f>'Payroll Verisma'!P31+'Payroll MRO'!P31</f>
        <v>15</v>
      </c>
      <c r="Q49" s="83">
        <f>'Payroll Verisma'!Q31+'Payroll MRO'!Q31</f>
        <v>57</v>
      </c>
      <c r="R49" s="83">
        <f>'Payroll Verisma'!R31+'Payroll MRO'!R31</f>
        <v>110</v>
      </c>
      <c r="S49" s="83">
        <f>'Payroll Verisma'!S31+'Payroll MRO'!S31</f>
        <v>55</v>
      </c>
      <c r="T49" s="83">
        <f>'Payroll Verisma'!T31+'Payroll MRO'!T31</f>
        <v>195</v>
      </c>
      <c r="U49" s="83">
        <f>'Payroll Verisma'!U31+'Payroll MRO'!U31</f>
        <v>0</v>
      </c>
      <c r="V49" s="83">
        <f>'Payroll Verisma'!V31+'Payroll MRO'!V31</f>
        <v>0</v>
      </c>
      <c r="W49" s="83">
        <f>'Payroll Verisma'!W31+'Payroll MRO'!W31</f>
        <v>6</v>
      </c>
      <c r="X49" s="83">
        <f>'Payroll Verisma'!X31+'Payroll MRO'!X31</f>
        <v>2</v>
      </c>
      <c r="Y49" s="83">
        <f>'Payroll Verisma'!Y31+'Payroll MRO'!Y31</f>
        <v>87</v>
      </c>
      <c r="Z49" s="83">
        <f>'Payroll Verisma'!Z31+'Payroll MRO'!Z31</f>
        <v>0</v>
      </c>
      <c r="AA49" s="83">
        <f>'Payroll Verisma'!AA31+'Payroll MRO'!AA31</f>
        <v>17</v>
      </c>
      <c r="AB49" s="83">
        <f>'Payroll Verisma'!AB31+'Payroll MRO'!AB31</f>
        <v>32</v>
      </c>
      <c r="AC49" s="83">
        <f>'Payroll Verisma'!AC31+'Payroll MRO'!AC31</f>
        <v>0</v>
      </c>
      <c r="AD49" s="83">
        <f>'Payroll Verisma'!AD31+'Payroll MRO'!AD31</f>
        <v>41</v>
      </c>
      <c r="AE49" s="83">
        <f>'Payroll Verisma'!AE31+'Payroll MRO'!AE31</f>
        <v>9</v>
      </c>
      <c r="AF49" s="83">
        <f>'Payroll Verisma'!AF31+'Payroll MRO'!AF31</f>
        <v>10</v>
      </c>
      <c r="AG49" s="83">
        <f>'Payroll Verisma'!AG31+'Payroll MRO'!AG31</f>
        <v>21</v>
      </c>
      <c r="AH49" s="83">
        <f>'Payroll Verisma'!AH31+'Payroll MRO'!AH31</f>
        <v>0</v>
      </c>
      <c r="AI49" s="83">
        <f>'Payroll Verisma'!AI31+'Payroll MRO'!AI31</f>
        <v>9</v>
      </c>
      <c r="AJ49" s="83">
        <f>'Payroll Verisma'!AJ31+'Payroll MRO'!AJ31</f>
        <v>0</v>
      </c>
      <c r="AK49" s="83">
        <f>'Payroll Verisma'!AK31+'Payroll MRO'!AK31</f>
        <v>0</v>
      </c>
      <c r="AL49" s="83">
        <f>'Payroll Verisma'!AL31+'Payroll MRO'!AL31</f>
        <v>0</v>
      </c>
      <c r="AM49" s="83">
        <f>'Payroll Verisma'!AM31+'Payroll MRO'!AM31</f>
        <v>12</v>
      </c>
      <c r="AN49" s="83">
        <f>'Payroll Verisma'!AN31+'Payroll MRO'!AN31</f>
        <v>5</v>
      </c>
      <c r="AO49" s="83">
        <f>'Payroll Verisma'!AO31+'Payroll MRO'!AO31</f>
        <v>0</v>
      </c>
      <c r="AP49" s="83">
        <f>'Payroll Verisma'!AP31+'Payroll MRO'!AP31</f>
        <v>10</v>
      </c>
      <c r="AQ49" s="83">
        <f>'Payroll Verisma'!AQ31+'Payroll MRO'!AQ31</f>
        <v>6</v>
      </c>
      <c r="AR49" s="83">
        <f>'Payroll Verisma'!AR31+'Payroll MRO'!AR31</f>
        <v>0</v>
      </c>
      <c r="AS49" s="83">
        <f>'Payroll Verisma'!AS31+'Payroll MRO'!AS31</f>
        <v>0</v>
      </c>
      <c r="AT49" s="83">
        <f>'Payroll Verisma'!AT31+'Payroll MRO'!AT31</f>
        <v>13</v>
      </c>
      <c r="AU49" s="83">
        <f>'Payroll Verisma'!AU31+'Payroll MRO'!AU31</f>
        <v>0</v>
      </c>
      <c r="AV49" s="83">
        <f>'Payroll Verisma'!AV31+'Payroll MRO'!AV31</f>
        <v>0</v>
      </c>
      <c r="AW49" s="83">
        <f>'Payroll Verisma'!AW31+'Payroll MRO'!AW31</f>
        <v>46</v>
      </c>
      <c r="AX49" s="83">
        <f>'Payroll Verisma'!AX31+'Payroll MRO'!AX31</f>
        <v>25</v>
      </c>
      <c r="AY49" s="83">
        <f>'Payroll Verisma'!AY31+'Payroll MRO'!AY31</f>
        <v>0</v>
      </c>
      <c r="AZ49" s="83">
        <f>'Payroll Verisma'!AZ31+'Payroll MRO'!AZ31</f>
        <v>0</v>
      </c>
      <c r="BA49" s="83">
        <f>'Payroll Verisma'!BA31+'Payroll MRO'!BA31</f>
        <v>18</v>
      </c>
      <c r="BB49" s="83">
        <f>'Payroll Verisma'!BB31+'Payroll MRO'!BB31</f>
        <v>49</v>
      </c>
      <c r="BC49" s="83">
        <f>'Payroll Verisma'!BC31+'Payroll MRO'!BC31</f>
        <v>25</v>
      </c>
      <c r="BD49" s="83">
        <f>'Payroll Verisma'!BD31+'Payroll MRO'!BD31</f>
        <v>40</v>
      </c>
      <c r="BE49" s="83">
        <f>'Payroll Verisma'!BE31+'Payroll MRO'!BE31</f>
        <v>11</v>
      </c>
      <c r="BF49" s="83">
        <f>'Payroll Verisma'!BF31+'Payroll MRO'!BF31</f>
        <v>40</v>
      </c>
      <c r="BG49" s="83">
        <f>'Payroll Verisma'!BG31+'Payroll MRO'!BG31</f>
        <v>32</v>
      </c>
      <c r="BH49" s="83">
        <f>'Payroll Verisma'!BH31+'Payroll MRO'!BH31</f>
        <v>0</v>
      </c>
      <c r="BI49" s="83">
        <f>'Payroll Verisma'!BI31+'Payroll MRO'!BI31</f>
        <v>90</v>
      </c>
      <c r="BJ49" s="83">
        <f>'Payroll Verisma'!BJ31+'Payroll MRO'!BJ31</f>
        <v>21</v>
      </c>
      <c r="BK49" s="83">
        <f>'Payroll Verisma'!BK31+'Payroll MRO'!BK31</f>
        <v>4</v>
      </c>
      <c r="BL49" s="83">
        <f>'Payroll Verisma'!BL31+'Payroll MRO'!BL31</f>
        <v>31</v>
      </c>
      <c r="BM49" s="83">
        <f>'Payroll Verisma'!BM31+'Payroll MRO'!BM31</f>
        <v>10</v>
      </c>
      <c r="BN49" s="83">
        <f>'Payroll Verisma'!BN31+'Payroll MRO'!BN31</f>
        <v>53</v>
      </c>
      <c r="BO49" s="83">
        <f>'Payroll Verisma'!BO31+'Payroll MRO'!BO31</f>
        <v>25</v>
      </c>
      <c r="BP49" s="83">
        <f>'Payroll Verisma'!BP31+'Payroll MRO'!BP31</f>
        <v>0</v>
      </c>
      <c r="BQ49" s="83">
        <f>'Payroll Verisma'!BQ31+'Payroll MRO'!BQ31</f>
        <v>0</v>
      </c>
      <c r="BR49" s="83">
        <f>'Payroll Verisma'!BR31+'Payroll MRO'!BR31</f>
        <v>0</v>
      </c>
      <c r="BS49" s="83">
        <f>'Payroll Verisma'!BS31+'Payroll MRO'!BS31</f>
        <v>29</v>
      </c>
      <c r="BT49" s="83">
        <f>'Payroll Verisma'!BT31+'Payroll MRO'!BT31</f>
        <v>0</v>
      </c>
      <c r="BU49" s="83">
        <f>'Payroll Verisma'!BU31+'Payroll MRO'!BU31</f>
        <v>40</v>
      </c>
      <c r="BV49" s="83">
        <f>'Payroll Verisma'!BV31+'Payroll MRO'!BV31</f>
        <v>12</v>
      </c>
      <c r="BW49" s="83">
        <f>'Payroll Verisma'!BW31+'Payroll MRO'!BW31</f>
        <v>38</v>
      </c>
      <c r="BX49" s="83">
        <f>'Payroll Verisma'!BX31+'Payroll MRO'!BX31</f>
        <v>0</v>
      </c>
      <c r="BY49" s="83">
        <f>'Payroll Verisma'!BY31+'Payroll MRO'!BY31</f>
        <v>4</v>
      </c>
      <c r="BZ49" s="83">
        <f>'Payroll Verisma'!BZ31+'Payroll MRO'!BZ31</f>
        <v>84</v>
      </c>
      <c r="CA49" s="83">
        <f>'Payroll Verisma'!CA31+'Payroll MRO'!CA31</f>
        <v>34</v>
      </c>
      <c r="CB49" s="83">
        <f>'Payroll Verisma'!CB31+'Payroll MRO'!CB31</f>
        <v>80</v>
      </c>
      <c r="CC49" s="83">
        <f>'Payroll Verisma'!CC31+'Payroll MRO'!CC31</f>
        <v>6</v>
      </c>
      <c r="CD49" s="83">
        <f>'Payroll Verisma'!CD31+'Payroll MRO'!CD31</f>
        <v>157</v>
      </c>
      <c r="CE49" s="83">
        <f>'Payroll Verisma'!CE31+'Payroll MRO'!CE31</f>
        <v>23</v>
      </c>
      <c r="CF49" s="83">
        <f>'Payroll Verisma'!CF31+'Payroll MRO'!CF31</f>
        <v>9</v>
      </c>
      <c r="CG49" s="83">
        <f>'Payroll Verisma'!CG31+'Payroll MRO'!CG31</f>
        <v>1</v>
      </c>
      <c r="CH49" s="83">
        <f>'Payroll Verisma'!CH31+'Payroll MRO'!CH31</f>
        <v>19</v>
      </c>
      <c r="CI49" s="83">
        <f>'Payroll Verisma'!CI31+'Payroll MRO'!CI31</f>
        <v>0</v>
      </c>
      <c r="CJ49" s="83">
        <f>'Payroll Verisma'!CJ31+'Payroll MRO'!CJ31</f>
        <v>156</v>
      </c>
      <c r="CK49" s="83">
        <f>'Payroll Verisma'!CK31+'Payroll MRO'!CK31</f>
        <v>15</v>
      </c>
      <c r="CL49" s="83">
        <f>'Payroll Verisma'!CL31+'Payroll MRO'!CL31</f>
        <v>24</v>
      </c>
      <c r="CM49" s="83">
        <f>'Payroll Verisma'!CM31+'Payroll MRO'!CM31</f>
        <v>0</v>
      </c>
      <c r="CN49" s="83">
        <f>'Payroll Verisma'!CN31+'Payroll MRO'!CN31</f>
        <v>100</v>
      </c>
      <c r="CO49" s="83">
        <f>'Payroll Verisma'!CO31+'Payroll MRO'!CO31</f>
        <v>2</v>
      </c>
      <c r="CP49" s="83">
        <f>'Payroll Verisma'!CP31+'Payroll MRO'!CP31</f>
        <v>71</v>
      </c>
      <c r="CQ49" s="83">
        <f>'Payroll Verisma'!CQ31+'Payroll MRO'!CQ31</f>
        <v>0</v>
      </c>
      <c r="CR49" s="83">
        <f>'Payroll Verisma'!CR31+'Payroll MRO'!CR31</f>
        <v>17</v>
      </c>
      <c r="CS49" s="83">
        <f>'Payroll Verisma'!CS31+'Payroll MRO'!CS31</f>
        <v>0</v>
      </c>
      <c r="CT49" s="83">
        <f>'Payroll Verisma'!CT31+'Payroll MRO'!CT31</f>
        <v>20</v>
      </c>
      <c r="CU49" s="83">
        <f>'Payroll Verisma'!CU31+'Payroll MRO'!CU31</f>
        <v>0</v>
      </c>
      <c r="CV49" s="83">
        <f>'Payroll Verisma'!CV31+'Payroll MRO'!CV31</f>
        <v>0</v>
      </c>
      <c r="CW49" s="83">
        <f>'Payroll Verisma'!CW31+'Payroll MRO'!CW31</f>
        <v>5</v>
      </c>
      <c r="CX49" s="83">
        <f>'Payroll Verisma'!CX31+'Payroll MRO'!CX31</f>
        <v>0</v>
      </c>
      <c r="CY49" s="83">
        <f>'Payroll Verisma'!CY31+'Payroll MRO'!CY31</f>
        <v>15</v>
      </c>
      <c r="CZ49" s="83">
        <f>'Payroll Verisma'!CZ31+'Payroll MRO'!CZ31</f>
        <v>57</v>
      </c>
      <c r="DA49" s="83">
        <f>'Payroll Verisma'!DA31+'Payroll MRO'!DA31</f>
        <v>22</v>
      </c>
      <c r="DB49" s="83">
        <f>'Payroll Verisma'!DB31+'Payroll MRO'!DB31</f>
        <v>0</v>
      </c>
      <c r="DC49" s="83">
        <f>'Payroll Verisma'!DC31+'Payroll MRO'!DC31</f>
        <v>5</v>
      </c>
      <c r="DD49" s="83">
        <f>'Payroll Verisma'!DD31+'Payroll MRO'!DD31</f>
        <v>34</v>
      </c>
      <c r="DE49" s="83">
        <f>'Payroll Verisma'!DE31+'Payroll MRO'!DE31</f>
        <v>27</v>
      </c>
      <c r="DF49" s="83">
        <f>'Payroll Verisma'!DF31+'Payroll MRO'!DF31</f>
        <v>0</v>
      </c>
      <c r="DG49" s="83">
        <f>'Payroll Verisma'!DG31+'Payroll MRO'!DG31</f>
        <v>20</v>
      </c>
      <c r="DH49" s="83">
        <f>'Payroll Verisma'!DH31+'Payroll MRO'!DH31</f>
        <v>0</v>
      </c>
      <c r="DI49" s="83">
        <f>'Payroll Verisma'!DI31+'Payroll MRO'!DI31</f>
        <v>120</v>
      </c>
      <c r="DJ49" s="83">
        <f>'Payroll Verisma'!DJ31+'Payroll MRO'!DJ31</f>
        <v>10</v>
      </c>
      <c r="DK49" s="83">
        <f>'Payroll Verisma'!DK31+'Payroll MRO'!DK31</f>
        <v>108</v>
      </c>
      <c r="DL49" s="83">
        <f>'Payroll Verisma'!DL31+'Payroll MRO'!DL31</f>
        <v>5</v>
      </c>
      <c r="DM49" s="83">
        <f>'Payroll Verisma'!DM31+'Payroll MRO'!DM31</f>
        <v>0</v>
      </c>
      <c r="DN49" s="83">
        <f>'Payroll Verisma'!DN31+'Payroll MRO'!DN31</f>
        <v>66</v>
      </c>
      <c r="DO49" s="83">
        <f>'Payroll Verisma'!DO31+'Payroll MRO'!DO31</f>
        <v>6</v>
      </c>
      <c r="DP49" s="83">
        <f>'Payroll Verisma'!DP31+'Payroll MRO'!DP31</f>
        <v>21</v>
      </c>
      <c r="DQ49" s="83">
        <f>'Payroll Verisma'!DQ31+'Payroll MRO'!DQ31</f>
        <v>15</v>
      </c>
      <c r="DR49" s="83">
        <f>'Payroll Verisma'!DR31+'Payroll MRO'!DR31</f>
        <v>73</v>
      </c>
      <c r="DS49" s="83">
        <f>'Payroll Verisma'!DS31+'Payroll MRO'!DS31</f>
        <v>65</v>
      </c>
      <c r="DT49" s="83">
        <f>'Payroll Verisma'!DT31+'Payroll MRO'!DT31</f>
        <v>58</v>
      </c>
      <c r="DU49" s="83">
        <f>'Payroll Verisma'!DU31+'Payroll MRO'!DU31</f>
        <v>22</v>
      </c>
      <c r="DV49" s="83">
        <f>'Payroll Verisma'!DV31+'Payroll MRO'!DV31</f>
        <v>0</v>
      </c>
      <c r="DW49" s="83">
        <f>'Payroll Verisma'!DW31+'Payroll MRO'!DW31</f>
        <v>5</v>
      </c>
      <c r="DX49" s="83">
        <f>'Payroll Verisma'!DX31+'Payroll MRO'!DX31</f>
        <v>26</v>
      </c>
      <c r="DY49" s="83">
        <f>'Payroll Verisma'!DY31+'Payroll MRO'!DY31</f>
        <v>41</v>
      </c>
      <c r="DZ49" s="83">
        <f>'Payroll Verisma'!DZ31+'Payroll MRO'!DZ31</f>
        <v>76</v>
      </c>
      <c r="EA49" s="83">
        <f>'Payroll Verisma'!EA31+'Payroll MRO'!EA31</f>
        <v>1</v>
      </c>
      <c r="EB49" s="83">
        <f>'Payroll Verisma'!EB31+'Payroll MRO'!EB31</f>
        <v>48</v>
      </c>
      <c r="EC49" s="83">
        <f>'Payroll Verisma'!EC31+'Payroll MRO'!EC31</f>
        <v>32</v>
      </c>
      <c r="ED49" s="83">
        <f>'Payroll Verisma'!ED31+'Payroll MRO'!ED31</f>
        <v>69</v>
      </c>
      <c r="EE49" s="83">
        <f>'Payroll Verisma'!EE31+'Payroll MRO'!EE31</f>
        <v>9</v>
      </c>
      <c r="EF49" s="83">
        <f>'Payroll Verisma'!EF31+'Payroll MRO'!EF31</f>
        <v>50</v>
      </c>
      <c r="EG49" s="83">
        <f>'Payroll Verisma'!EG31+'Payroll MRO'!EG31</f>
        <v>30</v>
      </c>
      <c r="EH49" s="83">
        <f>'Payroll Verisma'!EH31+'Payroll MRO'!EH31</f>
        <v>9</v>
      </c>
      <c r="EI49" s="83">
        <f>'Payroll Verisma'!EI31+'Payroll MRO'!EI31</f>
        <v>85</v>
      </c>
      <c r="EJ49" s="83">
        <f>'Payroll Verisma'!EJ31+'Payroll MRO'!EJ31</f>
        <v>5</v>
      </c>
      <c r="EK49" s="83">
        <f>'Payroll Verisma'!EK31+'Payroll MRO'!EK31</f>
        <v>52</v>
      </c>
      <c r="EL49" s="83">
        <f>'Payroll Verisma'!EL31+'Payroll MRO'!EL31</f>
        <v>16</v>
      </c>
      <c r="EM49" s="83">
        <f>'Payroll Verisma'!EM31+'Payroll MRO'!EM31</f>
        <v>35</v>
      </c>
      <c r="EN49" s="83">
        <f>'Payroll Verisma'!EN31+'Payroll MRO'!EN31</f>
        <v>0</v>
      </c>
      <c r="EO49" s="83">
        <f>'Payroll Verisma'!EO31+'Payroll MRO'!EO31</f>
        <v>21</v>
      </c>
      <c r="EP49" s="83">
        <f>'Payroll Verisma'!EP31+'Payroll MRO'!EP31</f>
        <v>34</v>
      </c>
      <c r="EQ49" s="83">
        <f>'Payroll Verisma'!EQ31+'Payroll MRO'!EQ31</f>
        <v>16</v>
      </c>
      <c r="ER49" s="83">
        <f>'Payroll Verisma'!ER31+'Payroll MRO'!ER31</f>
        <v>100</v>
      </c>
      <c r="ES49" s="83">
        <f>'Payroll Verisma'!ES31+'Payroll MRO'!ES31</f>
        <v>18</v>
      </c>
      <c r="ET49" s="83">
        <f>'Payroll Verisma'!ET31+'Payroll MRO'!ET31</f>
        <v>0</v>
      </c>
      <c r="EU49" s="83">
        <f>'Payroll Verisma'!EU31+'Payroll MRO'!EU31</f>
        <v>103</v>
      </c>
      <c r="EV49" s="83">
        <f>'Payroll Verisma'!EV31+'Payroll MRO'!EV31</f>
        <v>106</v>
      </c>
      <c r="EW49" s="83">
        <f>'Payroll Verisma'!EW31+'Payroll MRO'!EW31</f>
        <v>30</v>
      </c>
      <c r="EX49" s="83">
        <f>'Payroll Verisma'!EX31+'Payroll MRO'!EX31</f>
        <v>13</v>
      </c>
      <c r="EY49" s="83">
        <f>'Payroll Verisma'!EY31+'Payroll MRO'!EY31</f>
        <v>21</v>
      </c>
      <c r="EZ49" s="83">
        <f>'Payroll Verisma'!EZ31+'Payroll MRO'!EZ31</f>
        <v>18</v>
      </c>
      <c r="FA49" s="83">
        <f>'Payroll Verisma'!FA31+'Payroll MRO'!FA31</f>
        <v>0</v>
      </c>
      <c r="FB49" s="83">
        <f>'Payroll Verisma'!FB31+'Payroll MRO'!FB31</f>
        <v>24</v>
      </c>
      <c r="FC49" s="83">
        <f>'Payroll Verisma'!FC31+'Payroll MRO'!FC31</f>
        <v>0</v>
      </c>
      <c r="FD49" s="83">
        <f>'Payroll Verisma'!FD31+'Payroll MRO'!FD31</f>
        <v>0</v>
      </c>
      <c r="FE49" s="83">
        <f>'Payroll Verisma'!FE31+'Payroll MRO'!FE31</f>
        <v>0</v>
      </c>
      <c r="FF49" s="83">
        <f>'Payroll Verisma'!FF31+'Payroll MRO'!FF31</f>
        <v>31</v>
      </c>
      <c r="FG49" s="83">
        <f>'Payroll Verisma'!FG31+'Payroll MRO'!FG31</f>
        <v>4</v>
      </c>
      <c r="FH49" s="83">
        <f>'Payroll Verisma'!FH31+'Payroll MRO'!FH31</f>
        <v>103</v>
      </c>
      <c r="FI49" s="83">
        <f>'Payroll Verisma'!FI31+'Payroll MRO'!FI31</f>
        <v>10</v>
      </c>
      <c r="FJ49" s="83">
        <f>'Payroll Verisma'!FJ31+'Payroll MRO'!FJ31</f>
        <v>12</v>
      </c>
      <c r="FK49" s="83">
        <f>'Payroll Verisma'!FK31+'Payroll MRO'!FK31</f>
        <v>29</v>
      </c>
      <c r="FL49" s="83">
        <f>'Payroll Verisma'!FL31+'Payroll MRO'!FL31</f>
        <v>4</v>
      </c>
      <c r="FM49" s="83">
        <f>'Payroll Verisma'!FM31+'Payroll MRO'!FM31</f>
        <v>13</v>
      </c>
      <c r="FN49" s="83">
        <f>'Payroll Verisma'!FN31+'Payroll MRO'!FN31</f>
        <v>64</v>
      </c>
      <c r="FO49" s="83">
        <f>'Payroll Verisma'!FO31+'Payroll MRO'!FO31</f>
        <v>23</v>
      </c>
      <c r="FP49" s="83">
        <f>'Payroll Verisma'!FP31+'Payroll MRO'!FP31</f>
        <v>40</v>
      </c>
      <c r="FQ49" s="83">
        <f>'Payroll Verisma'!FQ31+'Payroll MRO'!FQ31</f>
        <v>40</v>
      </c>
      <c r="FR49" s="83">
        <f>'Payroll Verisma'!FR31+'Payroll MRO'!FR31</f>
        <v>0</v>
      </c>
      <c r="FS49" s="83">
        <f>'Payroll Verisma'!FS31+'Payroll MRO'!FS31</f>
        <v>48</v>
      </c>
      <c r="FT49" s="83">
        <f>'Payroll Verisma'!FT31+'Payroll MRO'!FT31</f>
        <v>31</v>
      </c>
      <c r="FU49" s="83">
        <f>'Payroll Verisma'!FU31+'Payroll MRO'!FU31</f>
        <v>0</v>
      </c>
      <c r="FV49" s="83">
        <f>'Payroll Verisma'!FV31+'Payroll MRO'!FV31</f>
        <v>0</v>
      </c>
      <c r="FW49" s="83">
        <f>'Payroll Verisma'!FW31+'Payroll MRO'!FW31</f>
        <v>0</v>
      </c>
      <c r="FX49" s="83">
        <f>'Payroll Verisma'!FX31+'Payroll MRO'!FX31</f>
        <v>14</v>
      </c>
      <c r="FY49" s="83">
        <f>'Payroll Verisma'!FY31+'Payroll MRO'!FY31</f>
        <v>30</v>
      </c>
      <c r="FZ49" s="83">
        <f>'Payroll Verisma'!FZ31+'Payroll MRO'!FZ31</f>
        <v>18</v>
      </c>
      <c r="GA49" s="83">
        <f>'Payroll Verisma'!GA31+'Payroll MRO'!GA31</f>
        <v>0</v>
      </c>
      <c r="GB49" s="83">
        <f>'Payroll Verisma'!GB31+'Payroll MRO'!GB31</f>
        <v>5</v>
      </c>
      <c r="GC49" s="83">
        <f>'Payroll Verisma'!GC31+'Payroll MRO'!GC31</f>
        <v>0</v>
      </c>
      <c r="GD49" s="83">
        <f>'Payroll Verisma'!GD31+'Payroll MRO'!GD31</f>
        <v>0</v>
      </c>
      <c r="GE49" s="83">
        <f>'Payroll Verisma'!GE31+'Payroll MRO'!GE31</f>
        <v>0</v>
      </c>
      <c r="GF49" s="83">
        <f>'Payroll Verisma'!GF31+'Payroll MRO'!GF31</f>
        <v>68</v>
      </c>
      <c r="GG49" s="83">
        <f>'Payroll Verisma'!GG31+'Payroll MRO'!GG31</f>
        <v>94</v>
      </c>
      <c r="GH49" s="83">
        <f>'Payroll Verisma'!GH31+'Payroll MRO'!GH31</f>
        <v>12</v>
      </c>
      <c r="GI49" s="83">
        <f>'Payroll Verisma'!GI31+'Payroll MRO'!GI31</f>
        <v>0</v>
      </c>
      <c r="GJ49" s="83">
        <f>'Payroll Verisma'!GJ31+'Payroll MRO'!GJ31</f>
        <v>53</v>
      </c>
      <c r="GK49" s="83">
        <f>'Payroll Verisma'!GK31+'Payroll MRO'!GK31</f>
        <v>29</v>
      </c>
      <c r="GL49" s="83">
        <f>'Payroll Verisma'!GL31+'Payroll MRO'!GL31</f>
        <v>18</v>
      </c>
      <c r="GM49" s="83">
        <f>'Payroll Verisma'!GM31+'Payroll MRO'!GM31</f>
        <v>102</v>
      </c>
      <c r="GN49" s="83">
        <f>'Payroll Verisma'!GN31+'Payroll MRO'!GN31</f>
        <v>20</v>
      </c>
      <c r="GO49" s="83">
        <f>'Payroll Verisma'!GO31+'Payroll MRO'!GO31</f>
        <v>103</v>
      </c>
      <c r="GP49" s="83">
        <f>'Payroll Verisma'!GP31+'Payroll MRO'!GP31</f>
        <v>44</v>
      </c>
      <c r="GQ49" s="83">
        <f>'Payroll Verisma'!GQ31+'Payroll MRO'!GQ31</f>
        <v>0</v>
      </c>
      <c r="GR49" s="83">
        <f>'Payroll Verisma'!GR31+'Payroll MRO'!GR31</f>
        <v>23</v>
      </c>
    </row>
    <row r="50" spans="1:200" ht="15.6">
      <c r="A50" s="81">
        <f t="shared" si="83"/>
        <v>46052</v>
      </c>
      <c r="B50" s="82" t="str">
        <f t="shared" si="82"/>
        <v>Fri</v>
      </c>
      <c r="C50" s="75">
        <f t="shared" si="81"/>
        <v>5072</v>
      </c>
      <c r="D50" s="83">
        <f>'Payroll Verisma'!D32+'Payroll MRO'!D32</f>
        <v>0</v>
      </c>
      <c r="E50" s="83">
        <f>'Payroll Verisma'!E32+'Payroll MRO'!E32</f>
        <v>8</v>
      </c>
      <c r="F50" s="83">
        <f>'Payroll Verisma'!F32+'Payroll MRO'!F32</f>
        <v>10</v>
      </c>
      <c r="G50" s="83">
        <f>'Payroll Verisma'!G32+'Payroll MRO'!G32</f>
        <v>0</v>
      </c>
      <c r="H50" s="83">
        <f>'Payroll Verisma'!H32+'Payroll MRO'!H32</f>
        <v>29</v>
      </c>
      <c r="I50" s="83">
        <f>'Payroll Verisma'!I32+'Payroll MRO'!I32</f>
        <v>60</v>
      </c>
      <c r="J50" s="83">
        <f>'Payroll Verisma'!J32+'Payroll MRO'!J32</f>
        <v>0</v>
      </c>
      <c r="K50" s="83">
        <f>'Payroll Verisma'!K32+'Payroll MRO'!K32</f>
        <v>12</v>
      </c>
      <c r="L50" s="83">
        <f>'Payroll Verisma'!L32+'Payroll MRO'!L32</f>
        <v>0</v>
      </c>
      <c r="M50" s="83">
        <f>'Payroll Verisma'!M32+'Payroll MRO'!M32</f>
        <v>18</v>
      </c>
      <c r="N50" s="83">
        <f>'Payroll Verisma'!N32+'Payroll MRO'!N32</f>
        <v>79</v>
      </c>
      <c r="O50" s="83">
        <f>'Payroll Verisma'!O32+'Payroll MRO'!O32</f>
        <v>0</v>
      </c>
      <c r="P50" s="83">
        <f>'Payroll Verisma'!P32+'Payroll MRO'!P32</f>
        <v>31</v>
      </c>
      <c r="Q50" s="83">
        <f>'Payroll Verisma'!Q32+'Payroll MRO'!Q32</f>
        <v>32</v>
      </c>
      <c r="R50" s="83">
        <f>'Payroll Verisma'!R32+'Payroll MRO'!R32</f>
        <v>75</v>
      </c>
      <c r="S50" s="83">
        <f>'Payroll Verisma'!S32+'Payroll MRO'!S32</f>
        <v>61</v>
      </c>
      <c r="T50" s="83">
        <f>'Payroll Verisma'!T32+'Payroll MRO'!T32</f>
        <v>145</v>
      </c>
      <c r="U50" s="83">
        <f>'Payroll Verisma'!U32+'Payroll MRO'!U32</f>
        <v>0</v>
      </c>
      <c r="V50" s="83">
        <f>'Payroll Verisma'!V32+'Payroll MRO'!V32</f>
        <v>0</v>
      </c>
      <c r="W50" s="83">
        <f>'Payroll Verisma'!W32+'Payroll MRO'!W32</f>
        <v>8</v>
      </c>
      <c r="X50" s="83">
        <f>'Payroll Verisma'!X32+'Payroll MRO'!X32</f>
        <v>0</v>
      </c>
      <c r="Y50" s="83">
        <f>'Payroll Verisma'!Y32+'Payroll MRO'!Y32</f>
        <v>55</v>
      </c>
      <c r="Z50" s="83">
        <f>'Payroll Verisma'!Z32+'Payroll MRO'!Z32</f>
        <v>12</v>
      </c>
      <c r="AA50" s="83">
        <f>'Payroll Verisma'!AA32+'Payroll MRO'!AA32</f>
        <v>11</v>
      </c>
      <c r="AB50" s="83">
        <f>'Payroll Verisma'!AB32+'Payroll MRO'!AB32</f>
        <v>38</v>
      </c>
      <c r="AC50" s="83">
        <f>'Payroll Verisma'!AC32+'Payroll MRO'!AC32</f>
        <v>0</v>
      </c>
      <c r="AD50" s="83">
        <f>'Payroll Verisma'!AD32+'Payroll MRO'!AD32</f>
        <v>70</v>
      </c>
      <c r="AE50" s="83">
        <f>'Payroll Verisma'!AE32+'Payroll MRO'!AE32</f>
        <v>0</v>
      </c>
      <c r="AF50" s="83">
        <f>'Payroll Verisma'!AF32+'Payroll MRO'!AF32</f>
        <v>15</v>
      </c>
      <c r="AG50" s="83">
        <f>'Payroll Verisma'!AG32+'Payroll MRO'!AG32</f>
        <v>35</v>
      </c>
      <c r="AH50" s="83">
        <f>'Payroll Verisma'!AH32+'Payroll MRO'!AH32</f>
        <v>0</v>
      </c>
      <c r="AI50" s="83">
        <f>'Payroll Verisma'!AI32+'Payroll MRO'!AI32</f>
        <v>59</v>
      </c>
      <c r="AJ50" s="83">
        <f>'Payroll Verisma'!AJ32+'Payroll MRO'!AJ32</f>
        <v>0</v>
      </c>
      <c r="AK50" s="83">
        <f>'Payroll Verisma'!AK32+'Payroll MRO'!AK32</f>
        <v>0</v>
      </c>
      <c r="AL50" s="83">
        <f>'Payroll Verisma'!AL32+'Payroll MRO'!AL32</f>
        <v>0</v>
      </c>
      <c r="AM50" s="83">
        <f>'Payroll Verisma'!AM32+'Payroll MRO'!AM32</f>
        <v>109</v>
      </c>
      <c r="AN50" s="83">
        <f>'Payroll Verisma'!AN32+'Payroll MRO'!AN32</f>
        <v>19</v>
      </c>
      <c r="AO50" s="83">
        <f>'Payroll Verisma'!AO32+'Payroll MRO'!AO32</f>
        <v>0</v>
      </c>
      <c r="AP50" s="83">
        <f>'Payroll Verisma'!AP32+'Payroll MRO'!AP32</f>
        <v>17</v>
      </c>
      <c r="AQ50" s="83">
        <f>'Payroll Verisma'!AQ32+'Payroll MRO'!AQ32</f>
        <v>14</v>
      </c>
      <c r="AR50" s="83">
        <f>'Payroll Verisma'!AR32+'Payroll MRO'!AR32</f>
        <v>0</v>
      </c>
      <c r="AS50" s="83">
        <f>'Payroll Verisma'!AS32+'Payroll MRO'!AS32</f>
        <v>0</v>
      </c>
      <c r="AT50" s="83">
        <f>'Payroll Verisma'!AT32+'Payroll MRO'!AT32</f>
        <v>65</v>
      </c>
      <c r="AU50" s="83">
        <f>'Payroll Verisma'!AU32+'Payroll MRO'!AU32</f>
        <v>0</v>
      </c>
      <c r="AV50" s="83">
        <f>'Payroll Verisma'!AV32+'Payroll MRO'!AV32</f>
        <v>0</v>
      </c>
      <c r="AW50" s="83">
        <f>'Payroll Verisma'!AW32+'Payroll MRO'!AW32</f>
        <v>27</v>
      </c>
      <c r="AX50" s="83">
        <f>'Payroll Verisma'!AX32+'Payroll MRO'!AX32</f>
        <v>62</v>
      </c>
      <c r="AY50" s="83">
        <f>'Payroll Verisma'!AY32+'Payroll MRO'!AY32</f>
        <v>0</v>
      </c>
      <c r="AZ50" s="83">
        <f>'Payroll Verisma'!AZ32+'Payroll MRO'!AZ32</f>
        <v>0</v>
      </c>
      <c r="BA50" s="83">
        <f>'Payroll Verisma'!BA32+'Payroll MRO'!BA32</f>
        <v>33</v>
      </c>
      <c r="BB50" s="83">
        <f>'Payroll Verisma'!BB32+'Payroll MRO'!BB32</f>
        <v>45</v>
      </c>
      <c r="BC50" s="83">
        <f>'Payroll Verisma'!BC32+'Payroll MRO'!BC32</f>
        <v>0</v>
      </c>
      <c r="BD50" s="83">
        <f>'Payroll Verisma'!BD32+'Payroll MRO'!BD32</f>
        <v>71</v>
      </c>
      <c r="BE50" s="83">
        <f>'Payroll Verisma'!BE32+'Payroll MRO'!BE32</f>
        <v>24</v>
      </c>
      <c r="BF50" s="83">
        <f>'Payroll Verisma'!BF32+'Payroll MRO'!BF32</f>
        <v>34</v>
      </c>
      <c r="BG50" s="83">
        <f>'Payroll Verisma'!BG32+'Payroll MRO'!BG32</f>
        <v>39</v>
      </c>
      <c r="BH50" s="83">
        <f>'Payroll Verisma'!BH32+'Payroll MRO'!BH32</f>
        <v>0</v>
      </c>
      <c r="BI50" s="83">
        <f>'Payroll Verisma'!BI32+'Payroll MRO'!BI32</f>
        <v>96</v>
      </c>
      <c r="BJ50" s="83">
        <f>'Payroll Verisma'!BJ32+'Payroll MRO'!BJ32</f>
        <v>20</v>
      </c>
      <c r="BK50" s="83">
        <f>'Payroll Verisma'!BK32+'Payroll MRO'!BK32</f>
        <v>0</v>
      </c>
      <c r="BL50" s="83">
        <f>'Payroll Verisma'!BL32+'Payroll MRO'!BL32</f>
        <v>40</v>
      </c>
      <c r="BM50" s="83">
        <f>'Payroll Verisma'!BM32+'Payroll MRO'!BM32</f>
        <v>0</v>
      </c>
      <c r="BN50" s="83">
        <f>'Payroll Verisma'!BN32+'Payroll MRO'!BN32</f>
        <v>39</v>
      </c>
      <c r="BO50" s="83">
        <f>'Payroll Verisma'!BO32+'Payroll MRO'!BO32</f>
        <v>32</v>
      </c>
      <c r="BP50" s="83">
        <f>'Payroll Verisma'!BP32+'Payroll MRO'!BP32</f>
        <v>0</v>
      </c>
      <c r="BQ50" s="83">
        <f>'Payroll Verisma'!BQ32+'Payroll MRO'!BQ32</f>
        <v>55</v>
      </c>
      <c r="BR50" s="83">
        <f>'Payroll Verisma'!BR32+'Payroll MRO'!BR32</f>
        <v>0</v>
      </c>
      <c r="BS50" s="83">
        <f>'Payroll Verisma'!BS32+'Payroll MRO'!BS32</f>
        <v>15</v>
      </c>
      <c r="BT50" s="83">
        <f>'Payroll Verisma'!BT32+'Payroll MRO'!BT32</f>
        <v>0</v>
      </c>
      <c r="BU50" s="83">
        <f>'Payroll Verisma'!BU32+'Payroll MRO'!BU32</f>
        <v>30</v>
      </c>
      <c r="BV50" s="83">
        <f>'Payroll Verisma'!BV32+'Payroll MRO'!BV32</f>
        <v>25</v>
      </c>
      <c r="BW50" s="83">
        <f>'Payroll Verisma'!BW32+'Payroll MRO'!BW32</f>
        <v>47</v>
      </c>
      <c r="BX50" s="83">
        <f>'Payroll Verisma'!BX32+'Payroll MRO'!BX32</f>
        <v>0</v>
      </c>
      <c r="BY50" s="83">
        <f>'Payroll Verisma'!BY32+'Payroll MRO'!BY32</f>
        <v>0</v>
      </c>
      <c r="BZ50" s="83">
        <f>'Payroll Verisma'!BZ32+'Payroll MRO'!BZ32</f>
        <v>0</v>
      </c>
      <c r="CA50" s="83">
        <f>'Payroll Verisma'!CA32+'Payroll MRO'!CA32</f>
        <v>50</v>
      </c>
      <c r="CB50" s="83">
        <f>'Payroll Verisma'!CB32+'Payroll MRO'!CB32</f>
        <v>48</v>
      </c>
      <c r="CC50" s="83">
        <f>'Payroll Verisma'!CC32+'Payroll MRO'!CC32</f>
        <v>18</v>
      </c>
      <c r="CD50" s="83">
        <f>'Payroll Verisma'!CD32+'Payroll MRO'!CD32</f>
        <v>102</v>
      </c>
      <c r="CE50" s="83">
        <f>'Payroll Verisma'!CE32+'Payroll MRO'!CE32</f>
        <v>16</v>
      </c>
      <c r="CF50" s="83">
        <f>'Payroll Verisma'!CF32+'Payroll MRO'!CF32</f>
        <v>11</v>
      </c>
      <c r="CG50" s="83">
        <f>'Payroll Verisma'!CG32+'Payroll MRO'!CG32</f>
        <v>4</v>
      </c>
      <c r="CH50" s="83">
        <f>'Payroll Verisma'!CH32+'Payroll MRO'!CH32</f>
        <v>50</v>
      </c>
      <c r="CI50" s="83">
        <f>'Payroll Verisma'!CI32+'Payroll MRO'!CI32</f>
        <v>0</v>
      </c>
      <c r="CJ50" s="83">
        <f>'Payroll Verisma'!CJ32+'Payroll MRO'!CJ32</f>
        <v>135</v>
      </c>
      <c r="CK50" s="83">
        <f>'Payroll Verisma'!CK32+'Payroll MRO'!CK32</f>
        <v>15</v>
      </c>
      <c r="CL50" s="83">
        <f>'Payroll Verisma'!CL32+'Payroll MRO'!CL32</f>
        <v>21</v>
      </c>
      <c r="CM50" s="83">
        <f>'Payroll Verisma'!CM32+'Payroll MRO'!CM32</f>
        <v>0</v>
      </c>
      <c r="CN50" s="83">
        <f>'Payroll Verisma'!CN32+'Payroll MRO'!CN32</f>
        <v>96</v>
      </c>
      <c r="CO50" s="83">
        <f>'Payroll Verisma'!CO32+'Payroll MRO'!CO32</f>
        <v>8</v>
      </c>
      <c r="CP50" s="83">
        <f>'Payroll Verisma'!CP32+'Payroll MRO'!CP32</f>
        <v>63</v>
      </c>
      <c r="CQ50" s="83">
        <f>'Payroll Verisma'!CQ32+'Payroll MRO'!CQ32</f>
        <v>0</v>
      </c>
      <c r="CR50" s="83">
        <f>'Payroll Verisma'!CR32+'Payroll MRO'!CR32</f>
        <v>14</v>
      </c>
      <c r="CS50" s="83">
        <f>'Payroll Verisma'!CS32+'Payroll MRO'!CS32</f>
        <v>1</v>
      </c>
      <c r="CT50" s="83">
        <f>'Payroll Verisma'!CT32+'Payroll MRO'!CT32</f>
        <v>26</v>
      </c>
      <c r="CU50" s="83">
        <f>'Payroll Verisma'!CU32+'Payroll MRO'!CU32</f>
        <v>0</v>
      </c>
      <c r="CV50" s="83">
        <f>'Payroll Verisma'!CV32+'Payroll MRO'!CV32</f>
        <v>0</v>
      </c>
      <c r="CW50" s="83">
        <f>'Payroll Verisma'!CW32+'Payroll MRO'!CW32</f>
        <v>5</v>
      </c>
      <c r="CX50" s="83">
        <f>'Payroll Verisma'!CX32+'Payroll MRO'!CX32</f>
        <v>0</v>
      </c>
      <c r="CY50" s="83">
        <f>'Payroll Verisma'!CY32+'Payroll MRO'!CY32</f>
        <v>0</v>
      </c>
      <c r="CZ50" s="83">
        <f>'Payroll Verisma'!CZ32+'Payroll MRO'!CZ32</f>
        <v>27</v>
      </c>
      <c r="DA50" s="83">
        <f>'Payroll Verisma'!DA32+'Payroll MRO'!DA32</f>
        <v>52</v>
      </c>
      <c r="DB50" s="83">
        <f>'Payroll Verisma'!DB32+'Payroll MRO'!DB32</f>
        <v>0</v>
      </c>
      <c r="DC50" s="83">
        <f>'Payroll Verisma'!DC32+'Payroll MRO'!DC32</f>
        <v>0</v>
      </c>
      <c r="DD50" s="83">
        <f>'Payroll Verisma'!DD32+'Payroll MRO'!DD32</f>
        <v>3</v>
      </c>
      <c r="DE50" s="83">
        <f>'Payroll Verisma'!DE32+'Payroll MRO'!DE32</f>
        <v>21</v>
      </c>
      <c r="DF50" s="83">
        <f>'Payroll Verisma'!DF32+'Payroll MRO'!DF32</f>
        <v>0</v>
      </c>
      <c r="DG50" s="83">
        <f>'Payroll Verisma'!DG32+'Payroll MRO'!DG32</f>
        <v>26</v>
      </c>
      <c r="DH50" s="83">
        <f>'Payroll Verisma'!DH32+'Payroll MRO'!DH32</f>
        <v>0</v>
      </c>
      <c r="DI50" s="83">
        <f>'Payroll Verisma'!DI32+'Payroll MRO'!DI32</f>
        <v>51</v>
      </c>
      <c r="DJ50" s="83">
        <f>'Payroll Verisma'!DJ32+'Payroll MRO'!DJ32</f>
        <v>4</v>
      </c>
      <c r="DK50" s="83">
        <f>'Payroll Verisma'!DK32+'Payroll MRO'!DK32</f>
        <v>125</v>
      </c>
      <c r="DL50" s="83">
        <f>'Payroll Verisma'!DL32+'Payroll MRO'!DL32</f>
        <v>5</v>
      </c>
      <c r="DM50" s="83">
        <f>'Payroll Verisma'!DM32+'Payroll MRO'!DM32</f>
        <v>0</v>
      </c>
      <c r="DN50" s="83">
        <f>'Payroll Verisma'!DN32+'Payroll MRO'!DN32</f>
        <v>113</v>
      </c>
      <c r="DO50" s="83">
        <f>'Payroll Verisma'!DO32+'Payroll MRO'!DO32</f>
        <v>0</v>
      </c>
      <c r="DP50" s="83">
        <f>'Payroll Verisma'!DP32+'Payroll MRO'!DP32</f>
        <v>42</v>
      </c>
      <c r="DQ50" s="83">
        <f>'Payroll Verisma'!DQ32+'Payroll MRO'!DQ32</f>
        <v>30</v>
      </c>
      <c r="DR50" s="83">
        <f>'Payroll Verisma'!DR32+'Payroll MRO'!DR32</f>
        <v>60</v>
      </c>
      <c r="DS50" s="83">
        <f>'Payroll Verisma'!DS32+'Payroll MRO'!DS32</f>
        <v>56</v>
      </c>
      <c r="DT50" s="83">
        <f>'Payroll Verisma'!DT32+'Payroll MRO'!DT32</f>
        <v>30</v>
      </c>
      <c r="DU50" s="83">
        <f>'Payroll Verisma'!DU32+'Payroll MRO'!DU32</f>
        <v>1</v>
      </c>
      <c r="DV50" s="83">
        <f>'Payroll Verisma'!DV32+'Payroll MRO'!DV32</f>
        <v>0</v>
      </c>
      <c r="DW50" s="83">
        <f>'Payroll Verisma'!DW32+'Payroll MRO'!DW32</f>
        <v>5</v>
      </c>
      <c r="DX50" s="83">
        <f>'Payroll Verisma'!DX32+'Payroll MRO'!DX32</f>
        <v>16</v>
      </c>
      <c r="DY50" s="83">
        <f>'Payroll Verisma'!DY32+'Payroll MRO'!DY32</f>
        <v>40</v>
      </c>
      <c r="DZ50" s="83">
        <f>'Payroll Verisma'!DZ32+'Payroll MRO'!DZ32</f>
        <v>79</v>
      </c>
      <c r="EA50" s="83">
        <f>'Payroll Verisma'!EA32+'Payroll MRO'!EA32</f>
        <v>5</v>
      </c>
      <c r="EB50" s="83">
        <f>'Payroll Verisma'!EB32+'Payroll MRO'!EB32</f>
        <v>37</v>
      </c>
      <c r="EC50" s="83">
        <f>'Payroll Verisma'!EC32+'Payroll MRO'!EC32</f>
        <v>0</v>
      </c>
      <c r="ED50" s="83">
        <f>'Payroll Verisma'!ED32+'Payroll MRO'!ED32</f>
        <v>38</v>
      </c>
      <c r="EE50" s="83">
        <f>'Payroll Verisma'!EE32+'Payroll MRO'!EE32</f>
        <v>11</v>
      </c>
      <c r="EF50" s="83">
        <f>'Payroll Verisma'!EF32+'Payroll MRO'!EF32</f>
        <v>61</v>
      </c>
      <c r="EG50" s="83">
        <f>'Payroll Verisma'!EG32+'Payroll MRO'!EG32</f>
        <v>10</v>
      </c>
      <c r="EH50" s="83">
        <f>'Payroll Verisma'!EH32+'Payroll MRO'!EH32</f>
        <v>1</v>
      </c>
      <c r="EI50" s="83">
        <f>'Payroll Verisma'!EI32+'Payroll MRO'!EI32</f>
        <v>18</v>
      </c>
      <c r="EJ50" s="83">
        <f>'Payroll Verisma'!EJ32+'Payroll MRO'!EJ32</f>
        <v>32</v>
      </c>
      <c r="EK50" s="83">
        <f>'Payroll Verisma'!EK32+'Payroll MRO'!EK32</f>
        <v>68</v>
      </c>
      <c r="EL50" s="83">
        <f>'Payroll Verisma'!EL32+'Payroll MRO'!EL32</f>
        <v>0</v>
      </c>
      <c r="EM50" s="83">
        <f>'Payroll Verisma'!EM32+'Payroll MRO'!EM32</f>
        <v>30</v>
      </c>
      <c r="EN50" s="83">
        <f>'Payroll Verisma'!EN32+'Payroll MRO'!EN32</f>
        <v>0</v>
      </c>
      <c r="EO50" s="83">
        <f>'Payroll Verisma'!EO32+'Payroll MRO'!EO32</f>
        <v>42</v>
      </c>
      <c r="EP50" s="83">
        <f>'Payroll Verisma'!EP32+'Payroll MRO'!EP32</f>
        <v>0</v>
      </c>
      <c r="EQ50" s="83">
        <f>'Payroll Verisma'!EQ32+'Payroll MRO'!EQ32</f>
        <v>0</v>
      </c>
      <c r="ER50" s="83">
        <f>'Payroll Verisma'!ER32+'Payroll MRO'!ER32</f>
        <v>99</v>
      </c>
      <c r="ES50" s="83">
        <f>'Payroll Verisma'!ES32+'Payroll MRO'!ES32</f>
        <v>20</v>
      </c>
      <c r="ET50" s="83">
        <f>'Payroll Verisma'!ET32+'Payroll MRO'!ET32</f>
        <v>0</v>
      </c>
      <c r="EU50" s="83">
        <f>'Payroll Verisma'!EU32+'Payroll MRO'!EU32</f>
        <v>98</v>
      </c>
      <c r="EV50" s="83">
        <f>'Payroll Verisma'!EV32+'Payroll MRO'!EV32</f>
        <v>96</v>
      </c>
      <c r="EW50" s="83">
        <f>'Payroll Verisma'!EW32+'Payroll MRO'!EW32</f>
        <v>17</v>
      </c>
      <c r="EX50" s="83">
        <f>'Payroll Verisma'!EX32+'Payroll MRO'!EX32</f>
        <v>0</v>
      </c>
      <c r="EY50" s="83">
        <f>'Payroll Verisma'!EY32+'Payroll MRO'!EY32</f>
        <v>47</v>
      </c>
      <c r="EZ50" s="83">
        <f>'Payroll Verisma'!EZ32+'Payroll MRO'!EZ32</f>
        <v>12</v>
      </c>
      <c r="FA50" s="83">
        <f>'Payroll Verisma'!FA32+'Payroll MRO'!FA32</f>
        <v>0</v>
      </c>
      <c r="FB50" s="83">
        <f>'Payroll Verisma'!FB32+'Payroll MRO'!FB32</f>
        <v>41</v>
      </c>
      <c r="FC50" s="83">
        <f>'Payroll Verisma'!FC32+'Payroll MRO'!FC32</f>
        <v>0</v>
      </c>
      <c r="FD50" s="83">
        <f>'Payroll Verisma'!FD32+'Payroll MRO'!FD32</f>
        <v>0</v>
      </c>
      <c r="FE50" s="83">
        <f>'Payroll Verisma'!FE32+'Payroll MRO'!FE32</f>
        <v>0</v>
      </c>
      <c r="FF50" s="83">
        <f>'Payroll Verisma'!FF32+'Payroll MRO'!FF32</f>
        <v>32</v>
      </c>
      <c r="FG50" s="83">
        <f>'Payroll Verisma'!FG32+'Payroll MRO'!FG32</f>
        <v>9</v>
      </c>
      <c r="FH50" s="83">
        <f>'Payroll Verisma'!FH32+'Payroll MRO'!FH32</f>
        <v>56</v>
      </c>
      <c r="FI50" s="83">
        <f>'Payroll Verisma'!FI32+'Payroll MRO'!FI32</f>
        <v>0</v>
      </c>
      <c r="FJ50" s="83">
        <f>'Payroll Verisma'!FJ32+'Payroll MRO'!FJ32</f>
        <v>14</v>
      </c>
      <c r="FK50" s="83">
        <f>'Payroll Verisma'!FK32+'Payroll MRO'!FK32</f>
        <v>29</v>
      </c>
      <c r="FL50" s="83">
        <f>'Payroll Verisma'!FL32+'Payroll MRO'!FL32</f>
        <v>5</v>
      </c>
      <c r="FM50" s="83">
        <f>'Payroll Verisma'!FM32+'Payroll MRO'!FM32</f>
        <v>0</v>
      </c>
      <c r="FN50" s="83">
        <f>'Payroll Verisma'!FN32+'Payroll MRO'!FN32</f>
        <v>39</v>
      </c>
      <c r="FO50" s="83">
        <f>'Payroll Verisma'!FO32+'Payroll MRO'!FO32</f>
        <v>61</v>
      </c>
      <c r="FP50" s="83">
        <f>'Payroll Verisma'!FP32+'Payroll MRO'!FP32</f>
        <v>30</v>
      </c>
      <c r="FQ50" s="83">
        <f>'Payroll Verisma'!FQ32+'Payroll MRO'!FQ32</f>
        <v>56</v>
      </c>
      <c r="FR50" s="83">
        <f>'Payroll Verisma'!FR32+'Payroll MRO'!FR32</f>
        <v>0</v>
      </c>
      <c r="FS50" s="83">
        <f>'Payroll Verisma'!FS32+'Payroll MRO'!FS32</f>
        <v>102</v>
      </c>
      <c r="FT50" s="83">
        <f>'Payroll Verisma'!FT32+'Payroll MRO'!FT32</f>
        <v>22</v>
      </c>
      <c r="FU50" s="83">
        <f>'Payroll Verisma'!FU32+'Payroll MRO'!FU32</f>
        <v>0</v>
      </c>
      <c r="FV50" s="83">
        <f>'Payroll Verisma'!FV32+'Payroll MRO'!FV32</f>
        <v>0</v>
      </c>
      <c r="FW50" s="83">
        <f>'Payroll Verisma'!FW32+'Payroll MRO'!FW32</f>
        <v>5</v>
      </c>
      <c r="FX50" s="83">
        <f>'Payroll Verisma'!FX32+'Payroll MRO'!FX32</f>
        <v>15</v>
      </c>
      <c r="FY50" s="83">
        <f>'Payroll Verisma'!FY32+'Payroll MRO'!FY32</f>
        <v>35</v>
      </c>
      <c r="FZ50" s="83">
        <f>'Payroll Verisma'!FZ32+'Payroll MRO'!FZ32</f>
        <v>41</v>
      </c>
      <c r="GA50" s="83">
        <f>'Payroll Verisma'!GA32+'Payroll MRO'!GA32</f>
        <v>0</v>
      </c>
      <c r="GB50" s="83">
        <f>'Payroll Verisma'!GB32+'Payroll MRO'!GB32</f>
        <v>0</v>
      </c>
      <c r="GC50" s="83">
        <f>'Payroll Verisma'!GC32+'Payroll MRO'!GC32</f>
        <v>0</v>
      </c>
      <c r="GD50" s="83">
        <f>'Payroll Verisma'!GD32+'Payroll MRO'!GD32</f>
        <v>31</v>
      </c>
      <c r="GE50" s="83">
        <f>'Payroll Verisma'!GE32+'Payroll MRO'!GE32</f>
        <v>41</v>
      </c>
      <c r="GF50" s="83">
        <f>'Payroll Verisma'!GF32+'Payroll MRO'!GF32</f>
        <v>41</v>
      </c>
      <c r="GG50" s="83">
        <f>'Payroll Verisma'!GG32+'Payroll MRO'!GG32</f>
        <v>41</v>
      </c>
      <c r="GH50" s="83">
        <f>'Payroll Verisma'!GH32+'Payroll MRO'!GH32</f>
        <v>0</v>
      </c>
      <c r="GI50" s="83">
        <f>'Payroll Verisma'!GI32+'Payroll MRO'!GI32</f>
        <v>0</v>
      </c>
      <c r="GJ50" s="83">
        <f>'Payroll Verisma'!GJ32+'Payroll MRO'!GJ32</f>
        <v>50</v>
      </c>
      <c r="GK50" s="83">
        <f>'Payroll Verisma'!GK32+'Payroll MRO'!GK32</f>
        <v>21</v>
      </c>
      <c r="GL50" s="83">
        <f>'Payroll Verisma'!GL32+'Payroll MRO'!GL32</f>
        <v>25</v>
      </c>
      <c r="GM50" s="83">
        <f>'Payroll Verisma'!GM32+'Payroll MRO'!GM32</f>
        <v>63</v>
      </c>
      <c r="GN50" s="83">
        <f>'Payroll Verisma'!GN32+'Payroll MRO'!GN32</f>
        <v>0</v>
      </c>
      <c r="GO50" s="83">
        <f>'Payroll Verisma'!GO32+'Payroll MRO'!GO32</f>
        <v>94</v>
      </c>
      <c r="GP50" s="83">
        <f>'Payroll Verisma'!GP32+'Payroll MRO'!GP32</f>
        <v>17</v>
      </c>
      <c r="GQ50" s="83">
        <f>'Payroll Verisma'!GQ32+'Payroll MRO'!GQ32</f>
        <v>0</v>
      </c>
      <c r="GR50" s="83">
        <f>'Payroll Verisma'!GR32+'Payroll MRO'!GR32</f>
        <v>24</v>
      </c>
    </row>
    <row r="51" spans="1:200" ht="16.149999999999999" thickBot="1">
      <c r="A51" s="81">
        <f t="shared" si="83"/>
        <v>46053</v>
      </c>
      <c r="B51" s="82" t="str">
        <f t="shared" ref="B51" si="84">TEXT(A51,"DDD")</f>
        <v>Sat</v>
      </c>
      <c r="C51" s="75">
        <f t="shared" si="81"/>
        <v>755</v>
      </c>
      <c r="D51" s="83">
        <f>'Payroll Verisma'!D33+'Payroll MRO'!D33</f>
        <v>0</v>
      </c>
      <c r="E51" s="83">
        <f>'Payroll Verisma'!E33+'Payroll MRO'!E33</f>
        <v>0</v>
      </c>
      <c r="F51" s="83">
        <f>'Payroll Verisma'!F33+'Payroll MRO'!F33</f>
        <v>0</v>
      </c>
      <c r="G51" s="83">
        <f>'Payroll Verisma'!G33+'Payroll MRO'!G33</f>
        <v>0</v>
      </c>
      <c r="H51" s="83">
        <f>'Payroll Verisma'!H33+'Payroll MRO'!H33</f>
        <v>0</v>
      </c>
      <c r="I51" s="83">
        <f>'Payroll Verisma'!I33+'Payroll MRO'!I33</f>
        <v>44</v>
      </c>
      <c r="J51" s="83">
        <f>'Payroll Verisma'!J33+'Payroll MRO'!J33</f>
        <v>0</v>
      </c>
      <c r="K51" s="83">
        <f>'Payroll Verisma'!K33+'Payroll MRO'!K33</f>
        <v>0</v>
      </c>
      <c r="L51" s="83">
        <f>'Payroll Verisma'!L33+'Payroll MRO'!L33</f>
        <v>0</v>
      </c>
      <c r="M51" s="83">
        <f>'Payroll Verisma'!M33+'Payroll MRO'!M33</f>
        <v>12</v>
      </c>
      <c r="N51" s="83">
        <f>'Payroll Verisma'!N33+'Payroll MRO'!N33</f>
        <v>0</v>
      </c>
      <c r="O51" s="83">
        <f>'Payroll Verisma'!O33+'Payroll MRO'!O33</f>
        <v>0</v>
      </c>
      <c r="P51" s="83">
        <f>'Payroll Verisma'!P33+'Payroll MRO'!P33</f>
        <v>6</v>
      </c>
      <c r="Q51" s="83">
        <f>'Payroll Verisma'!Q33+'Payroll MRO'!Q33</f>
        <v>0</v>
      </c>
      <c r="R51" s="83">
        <f>'Payroll Verisma'!R33+'Payroll MRO'!R33</f>
        <v>0</v>
      </c>
      <c r="S51" s="83">
        <f>'Payroll Verisma'!S33+'Payroll MRO'!S33</f>
        <v>0</v>
      </c>
      <c r="T51" s="83">
        <f>'Payroll Verisma'!T33+'Payroll MRO'!T33</f>
        <v>0</v>
      </c>
      <c r="U51" s="83">
        <f>'Payroll Verisma'!U33+'Payroll MRO'!U33</f>
        <v>0</v>
      </c>
      <c r="V51" s="83">
        <f>'Payroll Verisma'!V33+'Payroll MRO'!V33</f>
        <v>0</v>
      </c>
      <c r="W51" s="83">
        <f>'Payroll Verisma'!W33+'Payroll MRO'!W33</f>
        <v>25</v>
      </c>
      <c r="X51" s="83">
        <f>'Payroll Verisma'!X33+'Payroll MRO'!X33</f>
        <v>0</v>
      </c>
      <c r="Y51" s="83">
        <f>'Payroll Verisma'!Y33+'Payroll MRO'!Y33</f>
        <v>45</v>
      </c>
      <c r="Z51" s="83">
        <f>'Payroll Verisma'!Z33+'Payroll MRO'!Z33</f>
        <v>0</v>
      </c>
      <c r="AA51" s="83">
        <f>'Payroll Verisma'!AA33+'Payroll MRO'!AA33</f>
        <v>0</v>
      </c>
      <c r="AB51" s="83">
        <f>'Payroll Verisma'!AB33+'Payroll MRO'!AB33</f>
        <v>0</v>
      </c>
      <c r="AC51" s="83">
        <f>'Payroll Verisma'!AC33+'Payroll MRO'!AC33</f>
        <v>0</v>
      </c>
      <c r="AD51" s="83">
        <f>'Payroll Verisma'!AD33+'Payroll MRO'!AD33</f>
        <v>0</v>
      </c>
      <c r="AE51" s="83">
        <f>'Payroll Verisma'!AE33+'Payroll MRO'!AE33</f>
        <v>0</v>
      </c>
      <c r="AF51" s="83">
        <f>'Payroll Verisma'!AF33+'Payroll MRO'!AF33</f>
        <v>0</v>
      </c>
      <c r="AG51" s="83">
        <f>'Payroll Verisma'!AG33+'Payroll MRO'!AG33</f>
        <v>0</v>
      </c>
      <c r="AH51" s="83">
        <f>'Payroll Verisma'!AH33+'Payroll MRO'!AH33</f>
        <v>0</v>
      </c>
      <c r="AI51" s="83">
        <f>'Payroll Verisma'!AI33+'Payroll MRO'!AI33</f>
        <v>0</v>
      </c>
      <c r="AJ51" s="83">
        <f>'Payroll Verisma'!AJ33+'Payroll MRO'!AJ33</f>
        <v>0</v>
      </c>
      <c r="AK51" s="83">
        <f>'Payroll Verisma'!AK33+'Payroll MRO'!AK33</f>
        <v>0</v>
      </c>
      <c r="AL51" s="83">
        <f>'Payroll Verisma'!AL33+'Payroll MRO'!AL33</f>
        <v>0</v>
      </c>
      <c r="AM51" s="83">
        <f>'Payroll Verisma'!AM33+'Payroll MRO'!AM33</f>
        <v>34</v>
      </c>
      <c r="AN51" s="83">
        <f>'Payroll Verisma'!AN33+'Payroll MRO'!AN33</f>
        <v>30</v>
      </c>
      <c r="AO51" s="83">
        <f>'Payroll Verisma'!AO33+'Payroll MRO'!AO33</f>
        <v>0</v>
      </c>
      <c r="AP51" s="83">
        <f>'Payroll Verisma'!AP33+'Payroll MRO'!AP33</f>
        <v>0</v>
      </c>
      <c r="AQ51" s="83">
        <f>'Payroll Verisma'!AQ33+'Payroll MRO'!AQ33</f>
        <v>0</v>
      </c>
      <c r="AR51" s="83">
        <f>'Payroll Verisma'!AR33+'Payroll MRO'!AR33</f>
        <v>0</v>
      </c>
      <c r="AS51" s="83">
        <f>'Payroll Verisma'!AS33+'Payroll MRO'!AS33</f>
        <v>0</v>
      </c>
      <c r="AT51" s="83">
        <f>'Payroll Verisma'!AT33+'Payroll MRO'!AT33</f>
        <v>0</v>
      </c>
      <c r="AU51" s="83">
        <f>'Payroll Verisma'!AU33+'Payroll MRO'!AU33</f>
        <v>0</v>
      </c>
      <c r="AV51" s="83">
        <f>'Payroll Verisma'!AV33+'Payroll MRO'!AV33</f>
        <v>0</v>
      </c>
      <c r="AW51" s="83">
        <f>'Payroll Verisma'!AW33+'Payroll MRO'!AW33</f>
        <v>0</v>
      </c>
      <c r="AX51" s="83">
        <f>'Payroll Verisma'!AX33+'Payroll MRO'!AX33</f>
        <v>0</v>
      </c>
      <c r="AY51" s="83">
        <f>'Payroll Verisma'!AY33+'Payroll MRO'!AY33</f>
        <v>0</v>
      </c>
      <c r="AZ51" s="83">
        <f>'Payroll Verisma'!AZ33+'Payroll MRO'!AZ33</f>
        <v>0</v>
      </c>
      <c r="BA51" s="83">
        <f>'Payroll Verisma'!BA33+'Payroll MRO'!BA33</f>
        <v>0</v>
      </c>
      <c r="BB51" s="83">
        <f>'Payroll Verisma'!BB33+'Payroll MRO'!BB33</f>
        <v>0</v>
      </c>
      <c r="BC51" s="83">
        <f>'Payroll Verisma'!BC33+'Payroll MRO'!BC33</f>
        <v>0</v>
      </c>
      <c r="BD51" s="83">
        <f>'Payroll Verisma'!BD33+'Payroll MRO'!BD33</f>
        <v>0</v>
      </c>
      <c r="BE51" s="83">
        <f>'Payroll Verisma'!BE33+'Payroll MRO'!BE33</f>
        <v>0</v>
      </c>
      <c r="BF51" s="83">
        <f>'Payroll Verisma'!BF33+'Payroll MRO'!BF33</f>
        <v>50</v>
      </c>
      <c r="BG51" s="83">
        <f>'Payroll Verisma'!BG33+'Payroll MRO'!BG33</f>
        <v>0</v>
      </c>
      <c r="BH51" s="83">
        <f>'Payroll Verisma'!BH33+'Payroll MRO'!BH33</f>
        <v>0</v>
      </c>
      <c r="BI51" s="83">
        <f>'Payroll Verisma'!BI33+'Payroll MRO'!BI33</f>
        <v>0</v>
      </c>
      <c r="BJ51" s="83">
        <f>'Payroll Verisma'!BJ33+'Payroll MRO'!BJ33</f>
        <v>0</v>
      </c>
      <c r="BK51" s="83">
        <f>'Payroll Verisma'!BK33+'Payroll MRO'!BK33</f>
        <v>0</v>
      </c>
      <c r="BL51" s="83">
        <f>'Payroll Verisma'!BL33+'Payroll MRO'!BL33</f>
        <v>0</v>
      </c>
      <c r="BM51" s="83">
        <f>'Payroll Verisma'!BM33+'Payroll MRO'!BM33</f>
        <v>0</v>
      </c>
      <c r="BN51" s="83">
        <f>'Payroll Verisma'!BN33+'Payroll MRO'!BN33</f>
        <v>0</v>
      </c>
      <c r="BO51" s="83">
        <f>'Payroll Verisma'!BO33+'Payroll MRO'!BO33</f>
        <v>0</v>
      </c>
      <c r="BP51" s="83">
        <f>'Payroll Verisma'!BP33+'Payroll MRO'!BP33</f>
        <v>0</v>
      </c>
      <c r="BQ51" s="83">
        <f>'Payroll Verisma'!BQ33+'Payroll MRO'!BQ33</f>
        <v>0</v>
      </c>
      <c r="BR51" s="83">
        <f>'Payroll Verisma'!BR33+'Payroll MRO'!BR33</f>
        <v>0</v>
      </c>
      <c r="BS51" s="83">
        <f>'Payroll Verisma'!BS33+'Payroll MRO'!BS33</f>
        <v>0</v>
      </c>
      <c r="BT51" s="83">
        <f>'Payroll Verisma'!BT33+'Payroll MRO'!BT33</f>
        <v>0</v>
      </c>
      <c r="BU51" s="83">
        <f>'Payroll Verisma'!BU33+'Payroll MRO'!BU33</f>
        <v>0</v>
      </c>
      <c r="BV51" s="83">
        <f>'Payroll Verisma'!BV33+'Payroll MRO'!BV33</f>
        <v>0</v>
      </c>
      <c r="BW51" s="83">
        <f>'Payroll Verisma'!BW33+'Payroll MRO'!BW33</f>
        <v>0</v>
      </c>
      <c r="BX51" s="83">
        <f>'Payroll Verisma'!BX33+'Payroll MRO'!BX33</f>
        <v>0</v>
      </c>
      <c r="BY51" s="83">
        <f>'Payroll Verisma'!BY33+'Payroll MRO'!BY33</f>
        <v>0</v>
      </c>
      <c r="BZ51" s="83">
        <f>'Payroll Verisma'!BZ33+'Payroll MRO'!BZ33</f>
        <v>0</v>
      </c>
      <c r="CA51" s="83">
        <f>'Payroll Verisma'!CA33+'Payroll MRO'!CA33</f>
        <v>0</v>
      </c>
      <c r="CB51" s="83">
        <f>'Payroll Verisma'!CB33+'Payroll MRO'!CB33</f>
        <v>0</v>
      </c>
      <c r="CC51" s="83">
        <f>'Payroll Verisma'!CC33+'Payroll MRO'!CC33</f>
        <v>0</v>
      </c>
      <c r="CD51" s="83">
        <f>'Payroll Verisma'!CD33+'Payroll MRO'!CD33</f>
        <v>169</v>
      </c>
      <c r="CE51" s="83">
        <f>'Payroll Verisma'!CE33+'Payroll MRO'!CE33</f>
        <v>0</v>
      </c>
      <c r="CF51" s="83">
        <f>'Payroll Verisma'!CF33+'Payroll MRO'!CF33</f>
        <v>0</v>
      </c>
      <c r="CG51" s="83">
        <f>'Payroll Verisma'!CG33+'Payroll MRO'!CG33</f>
        <v>0</v>
      </c>
      <c r="CH51" s="83">
        <f>'Payroll Verisma'!CH33+'Payroll MRO'!CH33</f>
        <v>0</v>
      </c>
      <c r="CI51" s="83">
        <f>'Payroll Verisma'!CI33+'Payroll MRO'!CI33</f>
        <v>0</v>
      </c>
      <c r="CJ51" s="83">
        <f>'Payroll Verisma'!CJ33+'Payroll MRO'!CJ33</f>
        <v>30</v>
      </c>
      <c r="CK51" s="83">
        <f>'Payroll Verisma'!CK33+'Payroll MRO'!CK33</f>
        <v>0</v>
      </c>
      <c r="CL51" s="83">
        <f>'Payroll Verisma'!CL33+'Payroll MRO'!CL33</f>
        <v>0</v>
      </c>
      <c r="CM51" s="83">
        <f>'Payroll Verisma'!CM33+'Payroll MRO'!CM33</f>
        <v>0</v>
      </c>
      <c r="CN51" s="83">
        <f>'Payroll Verisma'!CN33+'Payroll MRO'!CN33</f>
        <v>0</v>
      </c>
      <c r="CO51" s="83">
        <f>'Payroll Verisma'!CO33+'Payroll MRO'!CO33</f>
        <v>0</v>
      </c>
      <c r="CP51" s="83">
        <f>'Payroll Verisma'!CP33+'Payroll MRO'!CP33</f>
        <v>0</v>
      </c>
      <c r="CQ51" s="83">
        <f>'Payroll Verisma'!CQ33+'Payroll MRO'!CQ33</f>
        <v>0</v>
      </c>
      <c r="CR51" s="83">
        <f>'Payroll Verisma'!CR33+'Payroll MRO'!CR33</f>
        <v>0</v>
      </c>
      <c r="CS51" s="83">
        <f>'Payroll Verisma'!CS33+'Payroll MRO'!CS33</f>
        <v>0</v>
      </c>
      <c r="CT51" s="83">
        <f>'Payroll Verisma'!CT33+'Payroll MRO'!CT33</f>
        <v>0</v>
      </c>
      <c r="CU51" s="83">
        <f>'Payroll Verisma'!CU33+'Payroll MRO'!CU33</f>
        <v>0</v>
      </c>
      <c r="CV51" s="83">
        <f>'Payroll Verisma'!CV33+'Payroll MRO'!CV33</f>
        <v>0</v>
      </c>
      <c r="CW51" s="83">
        <f>'Payroll Verisma'!CW33+'Payroll MRO'!CW33</f>
        <v>0</v>
      </c>
      <c r="CX51" s="83">
        <f>'Payroll Verisma'!CX33+'Payroll MRO'!CX33</f>
        <v>0</v>
      </c>
      <c r="CY51" s="83">
        <f>'Payroll Verisma'!CY33+'Payroll MRO'!CY33</f>
        <v>0</v>
      </c>
      <c r="CZ51" s="83">
        <f>'Payroll Verisma'!CZ33+'Payroll MRO'!CZ33</f>
        <v>0</v>
      </c>
      <c r="DA51" s="83">
        <f>'Payroll Verisma'!DA33+'Payroll MRO'!DA33</f>
        <v>0</v>
      </c>
      <c r="DB51" s="83">
        <f>'Payroll Verisma'!DB33+'Payroll MRO'!DB33</f>
        <v>0</v>
      </c>
      <c r="DC51" s="83">
        <f>'Payroll Verisma'!DC33+'Payroll MRO'!DC33</f>
        <v>0</v>
      </c>
      <c r="DD51" s="83">
        <f>'Payroll Verisma'!DD33+'Payroll MRO'!DD33</f>
        <v>0</v>
      </c>
      <c r="DE51" s="83">
        <f>'Payroll Verisma'!DE33+'Payroll MRO'!DE33</f>
        <v>0</v>
      </c>
      <c r="DF51" s="83">
        <f>'Payroll Verisma'!DF33+'Payroll MRO'!DF33</f>
        <v>0</v>
      </c>
      <c r="DG51" s="83">
        <f>'Payroll Verisma'!DG33+'Payroll MRO'!DG33</f>
        <v>0</v>
      </c>
      <c r="DH51" s="83">
        <f>'Payroll Verisma'!DH33+'Payroll MRO'!DH33</f>
        <v>0</v>
      </c>
      <c r="DI51" s="83">
        <f>'Payroll Verisma'!DI33+'Payroll MRO'!DI33</f>
        <v>0</v>
      </c>
      <c r="DJ51" s="83">
        <f>'Payroll Verisma'!DJ33+'Payroll MRO'!DJ33</f>
        <v>0</v>
      </c>
      <c r="DK51" s="83">
        <f>'Payroll Verisma'!DK33+'Payroll MRO'!DK33</f>
        <v>152</v>
      </c>
      <c r="DL51" s="83">
        <f>'Payroll Verisma'!DL33+'Payroll MRO'!DL33</f>
        <v>0</v>
      </c>
      <c r="DM51" s="83">
        <f>'Payroll Verisma'!DM33+'Payroll MRO'!DM33</f>
        <v>16</v>
      </c>
      <c r="DN51" s="83">
        <f>'Payroll Verisma'!DN33+'Payroll MRO'!DN33</f>
        <v>3</v>
      </c>
      <c r="DO51" s="83">
        <f>'Payroll Verisma'!DO33+'Payroll MRO'!DO33</f>
        <v>0</v>
      </c>
      <c r="DP51" s="83">
        <f>'Payroll Verisma'!DP33+'Payroll MRO'!DP33</f>
        <v>0</v>
      </c>
      <c r="DQ51" s="83">
        <f>'Payroll Verisma'!DQ33+'Payroll MRO'!DQ33</f>
        <v>0</v>
      </c>
      <c r="DR51" s="83">
        <f>'Payroll Verisma'!DR33+'Payroll MRO'!DR33</f>
        <v>0</v>
      </c>
      <c r="DS51" s="83">
        <f>'Payroll Verisma'!DS33+'Payroll MRO'!DS33</f>
        <v>0</v>
      </c>
      <c r="DT51" s="83">
        <f>'Payroll Verisma'!DT33+'Payroll MRO'!DT33</f>
        <v>0</v>
      </c>
      <c r="DU51" s="83">
        <f>'Payroll Verisma'!DU33+'Payroll MRO'!DU33</f>
        <v>0</v>
      </c>
      <c r="DV51" s="83">
        <f>'Payroll Verisma'!DV33+'Payroll MRO'!DV33</f>
        <v>0</v>
      </c>
      <c r="DW51" s="83">
        <f>'Payroll Verisma'!DW33+'Payroll MRO'!DW33</f>
        <v>0</v>
      </c>
      <c r="DX51" s="83">
        <f>'Payroll Verisma'!DX33+'Payroll MRO'!DX33</f>
        <v>0</v>
      </c>
      <c r="DY51" s="83">
        <f>'Payroll Verisma'!DY33+'Payroll MRO'!DY33</f>
        <v>0</v>
      </c>
      <c r="DZ51" s="83">
        <f>'Payroll Verisma'!DZ33+'Payroll MRO'!DZ33</f>
        <v>72</v>
      </c>
      <c r="EA51" s="83">
        <f>'Payroll Verisma'!EA33+'Payroll MRO'!EA33</f>
        <v>0</v>
      </c>
      <c r="EB51" s="83">
        <f>'Payroll Verisma'!EB33+'Payroll MRO'!EB33</f>
        <v>0</v>
      </c>
      <c r="EC51" s="83">
        <f>'Payroll Verisma'!EC33+'Payroll MRO'!EC33</f>
        <v>0</v>
      </c>
      <c r="ED51" s="83">
        <f>'Payroll Verisma'!ED33+'Payroll MRO'!ED33</f>
        <v>10</v>
      </c>
      <c r="EE51" s="83">
        <f>'Payroll Verisma'!EE33+'Payroll MRO'!EE33</f>
        <v>24</v>
      </c>
      <c r="EF51" s="83">
        <f>'Payroll Verisma'!EF33+'Payroll MRO'!EF33</f>
        <v>0</v>
      </c>
      <c r="EG51" s="83">
        <f>'Payroll Verisma'!EG33+'Payroll MRO'!EG33</f>
        <v>0</v>
      </c>
      <c r="EH51" s="83">
        <f>'Payroll Verisma'!EH33+'Payroll MRO'!EH33</f>
        <v>0</v>
      </c>
      <c r="EI51" s="83">
        <f>'Payroll Verisma'!EI33+'Payroll MRO'!EI33</f>
        <v>0</v>
      </c>
      <c r="EJ51" s="83">
        <f>'Payroll Verisma'!EJ33+'Payroll MRO'!EJ33</f>
        <v>0</v>
      </c>
      <c r="EK51" s="83">
        <f>'Payroll Verisma'!EK33+'Payroll MRO'!EK33</f>
        <v>0</v>
      </c>
      <c r="EL51" s="83">
        <f>'Payroll Verisma'!EL33+'Payroll MRO'!EL33</f>
        <v>0</v>
      </c>
      <c r="EM51" s="83">
        <f>'Payroll Verisma'!EM33+'Payroll MRO'!EM33</f>
        <v>0</v>
      </c>
      <c r="EN51" s="83">
        <f>'Payroll Verisma'!EN33+'Payroll MRO'!EN33</f>
        <v>0</v>
      </c>
      <c r="EO51" s="83">
        <f>'Payroll Verisma'!EO33+'Payroll MRO'!EO33</f>
        <v>0</v>
      </c>
      <c r="EP51" s="83">
        <f>'Payroll Verisma'!EP33+'Payroll MRO'!EP33</f>
        <v>0</v>
      </c>
      <c r="EQ51" s="83">
        <f>'Payroll Verisma'!EQ33+'Payroll MRO'!EQ33</f>
        <v>0</v>
      </c>
      <c r="ER51" s="83">
        <f>'Payroll Verisma'!ER33+'Payroll MRO'!ER33</f>
        <v>0</v>
      </c>
      <c r="ES51" s="83">
        <f>'Payroll Verisma'!ES33+'Payroll MRO'!ES33</f>
        <v>0</v>
      </c>
      <c r="ET51" s="83">
        <f>'Payroll Verisma'!ET33+'Payroll MRO'!ET33</f>
        <v>0</v>
      </c>
      <c r="EU51" s="83">
        <f>'Payroll Verisma'!EU33+'Payroll MRO'!EU33</f>
        <v>0</v>
      </c>
      <c r="EV51" s="83">
        <f>'Payroll Verisma'!EV33+'Payroll MRO'!EV33</f>
        <v>0</v>
      </c>
      <c r="EW51" s="83">
        <f>'Payroll Verisma'!EW33+'Payroll MRO'!EW33</f>
        <v>0</v>
      </c>
      <c r="EX51" s="83">
        <f>'Payroll Verisma'!EX33+'Payroll MRO'!EX33</f>
        <v>0</v>
      </c>
      <c r="EY51" s="83">
        <f>'Payroll Verisma'!EY33+'Payroll MRO'!EY33</f>
        <v>0</v>
      </c>
      <c r="EZ51" s="83">
        <f>'Payroll Verisma'!EZ33+'Payroll MRO'!EZ33</f>
        <v>0</v>
      </c>
      <c r="FA51" s="83">
        <f>'Payroll Verisma'!FA33+'Payroll MRO'!FA33</f>
        <v>0</v>
      </c>
      <c r="FB51" s="83">
        <f>'Payroll Verisma'!FB33+'Payroll MRO'!FB33</f>
        <v>0</v>
      </c>
      <c r="FC51" s="83">
        <f>'Payroll Verisma'!FC33+'Payroll MRO'!FC33</f>
        <v>0</v>
      </c>
      <c r="FD51" s="83">
        <f>'Payroll Verisma'!FD33+'Payroll MRO'!FD33</f>
        <v>0</v>
      </c>
      <c r="FE51" s="83">
        <f>'Payroll Verisma'!FE33+'Payroll MRO'!FE33</f>
        <v>0</v>
      </c>
      <c r="FF51" s="83">
        <f>'Payroll Verisma'!FF33+'Payroll MRO'!FF33</f>
        <v>0</v>
      </c>
      <c r="FG51" s="83">
        <f>'Payroll Verisma'!FG33+'Payroll MRO'!FG33</f>
        <v>0</v>
      </c>
      <c r="FH51" s="83">
        <f>'Payroll Verisma'!FH33+'Payroll MRO'!FH33</f>
        <v>0</v>
      </c>
      <c r="FI51" s="83">
        <f>'Payroll Verisma'!FI33+'Payroll MRO'!FI33</f>
        <v>0</v>
      </c>
      <c r="FJ51" s="83">
        <f>'Payroll Verisma'!FJ33+'Payroll MRO'!FJ33</f>
        <v>0</v>
      </c>
      <c r="FK51" s="83">
        <f>'Payroll Verisma'!FK33+'Payroll MRO'!FK33</f>
        <v>0</v>
      </c>
      <c r="FL51" s="83">
        <f>'Payroll Verisma'!FL33+'Payroll MRO'!FL33</f>
        <v>0</v>
      </c>
      <c r="FM51" s="83">
        <f>'Payroll Verisma'!FM33+'Payroll MRO'!FM33</f>
        <v>0</v>
      </c>
      <c r="FN51" s="83">
        <f>'Payroll Verisma'!FN33+'Payroll MRO'!FN33</f>
        <v>0</v>
      </c>
      <c r="FO51" s="83">
        <f>'Payroll Verisma'!FO33+'Payroll MRO'!FO33</f>
        <v>0</v>
      </c>
      <c r="FP51" s="83">
        <f>'Payroll Verisma'!FP33+'Payroll MRO'!FP33</f>
        <v>33</v>
      </c>
      <c r="FQ51" s="83">
        <f>'Payroll Verisma'!FQ33+'Payroll MRO'!FQ33</f>
        <v>0</v>
      </c>
      <c r="FR51" s="83">
        <f>'Payroll Verisma'!FR33+'Payroll MRO'!FR33</f>
        <v>0</v>
      </c>
      <c r="FS51" s="83">
        <f>'Payroll Verisma'!FS33+'Payroll MRO'!FS33</f>
        <v>0</v>
      </c>
      <c r="FT51" s="83">
        <f>'Payroll Verisma'!FT33+'Payroll MRO'!FT33</f>
        <v>0</v>
      </c>
      <c r="FU51" s="83">
        <f>'Payroll Verisma'!FU33+'Payroll MRO'!FU33</f>
        <v>0</v>
      </c>
      <c r="FV51" s="83">
        <f>'Payroll Verisma'!FV33+'Payroll MRO'!FV33</f>
        <v>0</v>
      </c>
      <c r="FW51" s="83">
        <f>'Payroll Verisma'!FW33+'Payroll MRO'!FW33</f>
        <v>0</v>
      </c>
      <c r="FX51" s="83">
        <f>'Payroll Verisma'!FX33+'Payroll MRO'!FX33</f>
        <v>0</v>
      </c>
      <c r="FY51" s="83">
        <f>'Payroll Verisma'!FY33+'Payroll MRO'!FY33</f>
        <v>0</v>
      </c>
      <c r="FZ51" s="83">
        <f>'Payroll Verisma'!FZ33+'Payroll MRO'!FZ33</f>
        <v>0</v>
      </c>
      <c r="GA51" s="83">
        <f>'Payroll Verisma'!GA33+'Payroll MRO'!GA33</f>
        <v>0</v>
      </c>
      <c r="GB51" s="83">
        <f>'Payroll Verisma'!GB33+'Payroll MRO'!GB33</f>
        <v>0</v>
      </c>
      <c r="GC51" s="83">
        <f>'Payroll Verisma'!GC33+'Payroll MRO'!GC33</f>
        <v>0</v>
      </c>
      <c r="GD51" s="83">
        <f>'Payroll Verisma'!GD33+'Payroll MRO'!GD33</f>
        <v>0</v>
      </c>
      <c r="GE51" s="83">
        <f>'Payroll Verisma'!GE33+'Payroll MRO'!GE33</f>
        <v>0</v>
      </c>
      <c r="GF51" s="83">
        <f>'Payroll Verisma'!GF33+'Payroll MRO'!GF33</f>
        <v>0</v>
      </c>
      <c r="GG51" s="83">
        <f>'Payroll Verisma'!GG33+'Payroll MRO'!GG33</f>
        <v>0</v>
      </c>
      <c r="GH51" s="83">
        <f>'Payroll Verisma'!GH33+'Payroll MRO'!GH33</f>
        <v>0</v>
      </c>
      <c r="GI51" s="83">
        <f>'Payroll Verisma'!GI33+'Payroll MRO'!GI33</f>
        <v>0</v>
      </c>
      <c r="GJ51" s="83">
        <f>'Payroll Verisma'!GJ33+'Payroll MRO'!GJ33</f>
        <v>0</v>
      </c>
      <c r="GK51" s="83">
        <f>'Payroll Verisma'!GK33+'Payroll MRO'!GK33</f>
        <v>0</v>
      </c>
      <c r="GL51" s="83">
        <f>'Payroll Verisma'!GL33+'Payroll MRO'!GL33</f>
        <v>0</v>
      </c>
      <c r="GM51" s="83">
        <f>'Payroll Verisma'!GM33+'Payroll MRO'!GM33</f>
        <v>0</v>
      </c>
      <c r="GN51" s="83">
        <f>'Payroll Verisma'!GN33+'Payroll MRO'!GN33</f>
        <v>0</v>
      </c>
      <c r="GO51" s="83">
        <f>'Payroll Verisma'!GO33+'Payroll MRO'!GO33</f>
        <v>0</v>
      </c>
      <c r="GP51" s="83">
        <f>'Payroll Verisma'!GP33+'Payroll MRO'!GP33</f>
        <v>0</v>
      </c>
      <c r="GQ51" s="83">
        <f>'Payroll Verisma'!GQ33+'Payroll MRO'!GQ33</f>
        <v>0</v>
      </c>
      <c r="GR51" s="83">
        <f>'Payroll Verisma'!GR33+'Payroll MRO'!GR33</f>
        <v>0</v>
      </c>
    </row>
    <row r="52" spans="1:200" ht="16.149999999999999" thickBot="1">
      <c r="A52" s="206"/>
      <c r="B52" s="207"/>
      <c r="C52" s="208">
        <f>SUM(C21:C51)</f>
        <v>118326</v>
      </c>
      <c r="D52" s="209">
        <f>SUM(D21:D51)</f>
        <v>0</v>
      </c>
      <c r="E52" s="209">
        <f t="shared" ref="E52:BP52" si="85">SUM(E21:E51)</f>
        <v>613</v>
      </c>
      <c r="F52" s="209">
        <f t="shared" si="85"/>
        <v>16</v>
      </c>
      <c r="G52" s="209">
        <f t="shared" si="85"/>
        <v>16</v>
      </c>
      <c r="H52" s="209">
        <f>SUM(H21:H51)</f>
        <v>637</v>
      </c>
      <c r="I52" s="209">
        <f t="shared" si="85"/>
        <v>1223</v>
      </c>
      <c r="J52" s="209">
        <f t="shared" si="85"/>
        <v>0</v>
      </c>
      <c r="K52" s="209">
        <f t="shared" si="85"/>
        <v>21</v>
      </c>
      <c r="L52" s="209">
        <f t="shared" si="85"/>
        <v>0</v>
      </c>
      <c r="M52" s="209">
        <f t="shared" si="85"/>
        <v>186</v>
      </c>
      <c r="N52" s="209">
        <f t="shared" si="85"/>
        <v>894</v>
      </c>
      <c r="O52" s="209">
        <f t="shared" si="85"/>
        <v>672</v>
      </c>
      <c r="P52" s="209">
        <f t="shared" si="85"/>
        <v>714</v>
      </c>
      <c r="Q52" s="209">
        <f t="shared" si="85"/>
        <v>667</v>
      </c>
      <c r="R52" s="209">
        <f t="shared" si="85"/>
        <v>2118</v>
      </c>
      <c r="S52" s="209">
        <f t="shared" si="85"/>
        <v>1001</v>
      </c>
      <c r="T52" s="209">
        <f t="shared" si="85"/>
        <v>3121</v>
      </c>
      <c r="U52" s="209">
        <f t="shared" si="85"/>
        <v>269</v>
      </c>
      <c r="V52" s="209">
        <f t="shared" si="85"/>
        <v>300</v>
      </c>
      <c r="W52" s="209">
        <f t="shared" si="85"/>
        <v>213</v>
      </c>
      <c r="X52" s="209">
        <f t="shared" si="85"/>
        <v>2</v>
      </c>
      <c r="Y52" s="209">
        <f t="shared" si="85"/>
        <v>1565</v>
      </c>
      <c r="Z52" s="209">
        <f t="shared" si="85"/>
        <v>814</v>
      </c>
      <c r="AA52" s="209">
        <f t="shared" si="85"/>
        <v>403</v>
      </c>
      <c r="AB52" s="209">
        <f t="shared" si="85"/>
        <v>497</v>
      </c>
      <c r="AC52" s="209">
        <f t="shared" si="85"/>
        <v>0</v>
      </c>
      <c r="AD52" s="209">
        <f t="shared" si="85"/>
        <v>1156</v>
      </c>
      <c r="AE52" s="209">
        <f t="shared" si="85"/>
        <v>123</v>
      </c>
      <c r="AF52" s="209">
        <f t="shared" si="85"/>
        <v>25</v>
      </c>
      <c r="AG52" s="209">
        <f t="shared" si="85"/>
        <v>793</v>
      </c>
      <c r="AH52" s="209">
        <f t="shared" si="85"/>
        <v>252</v>
      </c>
      <c r="AI52" s="209">
        <f t="shared" si="85"/>
        <v>239</v>
      </c>
      <c r="AJ52" s="209">
        <f t="shared" si="85"/>
        <v>0</v>
      </c>
      <c r="AK52" s="209">
        <f t="shared" si="85"/>
        <v>146</v>
      </c>
      <c r="AL52" s="209">
        <f t="shared" si="85"/>
        <v>155</v>
      </c>
      <c r="AM52" s="209">
        <f t="shared" si="85"/>
        <v>441</v>
      </c>
      <c r="AN52" s="209">
        <f t="shared" si="85"/>
        <v>300</v>
      </c>
      <c r="AO52" s="209">
        <f t="shared" si="85"/>
        <v>33</v>
      </c>
      <c r="AP52" s="209">
        <f t="shared" si="85"/>
        <v>293</v>
      </c>
      <c r="AQ52" s="209">
        <f t="shared" si="85"/>
        <v>106</v>
      </c>
      <c r="AR52" s="209">
        <f t="shared" si="85"/>
        <v>541</v>
      </c>
      <c r="AS52" s="209">
        <f t="shared" si="85"/>
        <v>0</v>
      </c>
      <c r="AT52" s="209">
        <f t="shared" si="85"/>
        <v>567</v>
      </c>
      <c r="AU52" s="209">
        <f t="shared" si="85"/>
        <v>171</v>
      </c>
      <c r="AV52" s="209">
        <f t="shared" si="85"/>
        <v>72</v>
      </c>
      <c r="AW52" s="209">
        <f t="shared" si="85"/>
        <v>826</v>
      </c>
      <c r="AX52" s="209">
        <f t="shared" si="85"/>
        <v>1161</v>
      </c>
      <c r="AY52" s="209">
        <f t="shared" si="85"/>
        <v>58</v>
      </c>
      <c r="AZ52" s="209">
        <f t="shared" si="85"/>
        <v>252</v>
      </c>
      <c r="BA52" s="209">
        <f t="shared" si="85"/>
        <v>1374</v>
      </c>
      <c r="BB52" s="209">
        <f t="shared" si="85"/>
        <v>1153</v>
      </c>
      <c r="BC52" s="209">
        <f t="shared" si="85"/>
        <v>314</v>
      </c>
      <c r="BD52" s="209">
        <f t="shared" si="85"/>
        <v>1736</v>
      </c>
      <c r="BE52" s="209">
        <f t="shared" si="85"/>
        <v>586</v>
      </c>
      <c r="BF52" s="209">
        <f t="shared" si="85"/>
        <v>207</v>
      </c>
      <c r="BG52" s="209">
        <f t="shared" si="85"/>
        <v>716</v>
      </c>
      <c r="BH52" s="209">
        <f t="shared" si="85"/>
        <v>103</v>
      </c>
      <c r="BI52" s="209">
        <f t="shared" si="85"/>
        <v>887</v>
      </c>
      <c r="BJ52" s="209">
        <f t="shared" si="85"/>
        <v>365</v>
      </c>
      <c r="BK52" s="209">
        <f t="shared" si="85"/>
        <v>4</v>
      </c>
      <c r="BL52" s="209">
        <f t="shared" si="85"/>
        <v>808</v>
      </c>
      <c r="BM52" s="209">
        <f t="shared" si="85"/>
        <v>10</v>
      </c>
      <c r="BN52" s="209">
        <f t="shared" si="85"/>
        <v>492</v>
      </c>
      <c r="BO52" s="209">
        <f t="shared" si="85"/>
        <v>518</v>
      </c>
      <c r="BP52" s="209">
        <f t="shared" si="85"/>
        <v>334</v>
      </c>
      <c r="BQ52" s="209">
        <f t="shared" ref="BQ52:EB52" si="86">SUM(BQ21:BQ51)</f>
        <v>522</v>
      </c>
      <c r="BR52" s="209">
        <f t="shared" si="86"/>
        <v>0</v>
      </c>
      <c r="BS52" s="209">
        <f t="shared" si="86"/>
        <v>340</v>
      </c>
      <c r="BT52" s="209">
        <f t="shared" si="86"/>
        <v>0</v>
      </c>
      <c r="BU52" s="209">
        <f t="shared" si="86"/>
        <v>927</v>
      </c>
      <c r="BV52" s="209">
        <f t="shared" si="86"/>
        <v>358</v>
      </c>
      <c r="BW52" s="209">
        <f t="shared" si="86"/>
        <v>897</v>
      </c>
      <c r="BX52" s="209">
        <f t="shared" si="86"/>
        <v>411</v>
      </c>
      <c r="BY52" s="209">
        <f t="shared" si="86"/>
        <v>4</v>
      </c>
      <c r="BZ52" s="209">
        <f t="shared" si="86"/>
        <v>1844</v>
      </c>
      <c r="CA52" s="209">
        <f t="shared" si="86"/>
        <v>993</v>
      </c>
      <c r="CB52" s="209">
        <f t="shared" si="86"/>
        <v>995</v>
      </c>
      <c r="CC52" s="209">
        <f t="shared" si="86"/>
        <v>481</v>
      </c>
      <c r="CD52" s="209">
        <f t="shared" si="86"/>
        <v>3422</v>
      </c>
      <c r="CE52" s="209">
        <f t="shared" si="86"/>
        <v>266</v>
      </c>
      <c r="CF52" s="209">
        <f t="shared" si="86"/>
        <v>170</v>
      </c>
      <c r="CG52" s="209">
        <f t="shared" si="86"/>
        <v>5</v>
      </c>
      <c r="CH52" s="209">
        <f t="shared" si="86"/>
        <v>965</v>
      </c>
      <c r="CI52" s="209">
        <f t="shared" si="86"/>
        <v>0</v>
      </c>
      <c r="CJ52" s="209">
        <f t="shared" si="86"/>
        <v>3295</v>
      </c>
      <c r="CK52" s="209">
        <f t="shared" si="86"/>
        <v>30</v>
      </c>
      <c r="CL52" s="209">
        <f t="shared" si="86"/>
        <v>801</v>
      </c>
      <c r="CM52" s="209">
        <f t="shared" si="86"/>
        <v>0</v>
      </c>
      <c r="CN52" s="209">
        <f t="shared" si="86"/>
        <v>947</v>
      </c>
      <c r="CO52" s="209">
        <f t="shared" si="86"/>
        <v>141</v>
      </c>
      <c r="CP52" s="209">
        <f t="shared" si="86"/>
        <v>593</v>
      </c>
      <c r="CQ52" s="209">
        <f t="shared" si="86"/>
        <v>0</v>
      </c>
      <c r="CR52" s="209">
        <f t="shared" si="86"/>
        <v>434</v>
      </c>
      <c r="CS52" s="209">
        <f t="shared" si="86"/>
        <v>107</v>
      </c>
      <c r="CT52" s="209">
        <f t="shared" si="86"/>
        <v>624</v>
      </c>
      <c r="CU52" s="209">
        <f t="shared" si="86"/>
        <v>1172</v>
      </c>
      <c r="CV52" s="209">
        <f t="shared" si="86"/>
        <v>124</v>
      </c>
      <c r="CW52" s="209">
        <f t="shared" si="86"/>
        <v>10</v>
      </c>
      <c r="CX52" s="209">
        <f t="shared" si="86"/>
        <v>0</v>
      </c>
      <c r="CY52" s="209">
        <f t="shared" si="86"/>
        <v>1437</v>
      </c>
      <c r="CZ52" s="209">
        <f t="shared" si="86"/>
        <v>737</v>
      </c>
      <c r="DA52" s="209">
        <f t="shared" si="86"/>
        <v>746</v>
      </c>
      <c r="DB52" s="209">
        <f t="shared" si="86"/>
        <v>0</v>
      </c>
      <c r="DC52" s="209">
        <f t="shared" si="86"/>
        <v>5</v>
      </c>
      <c r="DD52" s="209">
        <f t="shared" si="86"/>
        <v>596</v>
      </c>
      <c r="DE52" s="209">
        <f t="shared" si="86"/>
        <v>802</v>
      </c>
      <c r="DF52" s="209">
        <f t="shared" si="86"/>
        <v>0</v>
      </c>
      <c r="DG52" s="209">
        <f t="shared" si="86"/>
        <v>541</v>
      </c>
      <c r="DH52" s="209">
        <f t="shared" si="86"/>
        <v>246</v>
      </c>
      <c r="DI52" s="209">
        <f t="shared" si="86"/>
        <v>1819</v>
      </c>
      <c r="DJ52" s="209">
        <f t="shared" si="86"/>
        <v>14</v>
      </c>
      <c r="DK52" s="209">
        <f t="shared" si="86"/>
        <v>3473</v>
      </c>
      <c r="DL52" s="209">
        <f t="shared" si="86"/>
        <v>253</v>
      </c>
      <c r="DM52" s="209">
        <f t="shared" si="86"/>
        <v>326</v>
      </c>
      <c r="DN52" s="209">
        <f t="shared" si="86"/>
        <v>1480</v>
      </c>
      <c r="DO52" s="209">
        <f t="shared" si="86"/>
        <v>252</v>
      </c>
      <c r="DP52" s="209">
        <f t="shared" si="86"/>
        <v>340</v>
      </c>
      <c r="DQ52" s="209">
        <f t="shared" si="86"/>
        <v>692</v>
      </c>
      <c r="DR52" s="209">
        <f t="shared" si="86"/>
        <v>1269</v>
      </c>
      <c r="DS52" s="209">
        <f t="shared" si="86"/>
        <v>978</v>
      </c>
      <c r="DT52" s="209">
        <f t="shared" si="86"/>
        <v>1068</v>
      </c>
      <c r="DU52" s="209">
        <f t="shared" si="86"/>
        <v>385</v>
      </c>
      <c r="DV52" s="209">
        <f t="shared" si="86"/>
        <v>12</v>
      </c>
      <c r="DW52" s="209">
        <f t="shared" si="86"/>
        <v>14</v>
      </c>
      <c r="DX52" s="209">
        <f t="shared" si="86"/>
        <v>603</v>
      </c>
      <c r="DY52" s="209">
        <f t="shared" si="86"/>
        <v>799</v>
      </c>
      <c r="DZ52" s="209">
        <f t="shared" si="86"/>
        <v>1686</v>
      </c>
      <c r="EA52" s="209">
        <f t="shared" si="86"/>
        <v>6</v>
      </c>
      <c r="EB52" s="209">
        <f t="shared" si="86"/>
        <v>811</v>
      </c>
      <c r="EC52" s="209">
        <f t="shared" ref="EC52:FA52" si="87">SUM(EC21:EC51)</f>
        <v>225</v>
      </c>
      <c r="ED52" s="209">
        <f t="shared" si="87"/>
        <v>1708</v>
      </c>
      <c r="EE52" s="209">
        <f t="shared" si="87"/>
        <v>259</v>
      </c>
      <c r="EF52" s="209">
        <f t="shared" si="87"/>
        <v>1089</v>
      </c>
      <c r="EG52" s="209">
        <f t="shared" si="87"/>
        <v>78</v>
      </c>
      <c r="EH52" s="209">
        <f t="shared" si="87"/>
        <v>157</v>
      </c>
      <c r="EI52" s="209">
        <f t="shared" si="87"/>
        <v>1019</v>
      </c>
      <c r="EJ52" s="209">
        <f t="shared" si="87"/>
        <v>645</v>
      </c>
      <c r="EK52" s="209">
        <f t="shared" si="87"/>
        <v>728</v>
      </c>
      <c r="EL52" s="209">
        <f t="shared" si="87"/>
        <v>767</v>
      </c>
      <c r="EM52" s="209">
        <f t="shared" si="87"/>
        <v>694</v>
      </c>
      <c r="EN52" s="209">
        <f t="shared" si="87"/>
        <v>644</v>
      </c>
      <c r="EO52" s="209">
        <f t="shared" si="87"/>
        <v>729</v>
      </c>
      <c r="EP52" s="209">
        <f t="shared" si="87"/>
        <v>372</v>
      </c>
      <c r="EQ52" s="209">
        <f t="shared" si="87"/>
        <v>236</v>
      </c>
      <c r="ER52" s="209">
        <f t="shared" si="87"/>
        <v>389</v>
      </c>
      <c r="ES52" s="209">
        <f t="shared" si="87"/>
        <v>236</v>
      </c>
      <c r="ET52" s="209">
        <f t="shared" si="87"/>
        <v>761</v>
      </c>
      <c r="EU52" s="209">
        <f t="shared" si="87"/>
        <v>1362</v>
      </c>
      <c r="EV52" s="209">
        <f t="shared" si="87"/>
        <v>1387</v>
      </c>
      <c r="EW52" s="209">
        <f t="shared" si="87"/>
        <v>444</v>
      </c>
      <c r="EX52" s="209">
        <f t="shared" si="87"/>
        <v>530</v>
      </c>
      <c r="EY52" s="209">
        <f t="shared" si="87"/>
        <v>508</v>
      </c>
      <c r="EZ52" s="209">
        <f t="shared" si="87"/>
        <v>254</v>
      </c>
      <c r="FA52" s="209">
        <f t="shared" si="87"/>
        <v>0</v>
      </c>
      <c r="FB52" s="209">
        <f t="shared" ref="FB52:GL52" si="88">SUM(FB21:FB51)</f>
        <v>370</v>
      </c>
      <c r="FC52" s="209">
        <f t="shared" si="88"/>
        <v>0</v>
      </c>
      <c r="FD52" s="209">
        <f t="shared" si="88"/>
        <v>98</v>
      </c>
      <c r="FE52" s="209">
        <f t="shared" si="88"/>
        <v>110</v>
      </c>
      <c r="FF52" s="209">
        <f t="shared" si="88"/>
        <v>809</v>
      </c>
      <c r="FG52" s="209">
        <f t="shared" si="88"/>
        <v>13</v>
      </c>
      <c r="FH52" s="209">
        <f t="shared" si="88"/>
        <v>4160</v>
      </c>
      <c r="FI52" s="209">
        <f t="shared" si="88"/>
        <v>458</v>
      </c>
      <c r="FJ52" s="209">
        <f t="shared" si="88"/>
        <v>26</v>
      </c>
      <c r="FK52" s="209">
        <f t="shared" si="88"/>
        <v>669</v>
      </c>
      <c r="FL52" s="209">
        <f t="shared" si="88"/>
        <v>9</v>
      </c>
      <c r="FM52" s="209">
        <f t="shared" si="88"/>
        <v>156</v>
      </c>
      <c r="FN52" s="209">
        <f t="shared" si="88"/>
        <v>440</v>
      </c>
      <c r="FO52" s="209">
        <f t="shared" si="88"/>
        <v>846</v>
      </c>
      <c r="FP52" s="209">
        <f t="shared" si="88"/>
        <v>882</v>
      </c>
      <c r="FQ52" s="209">
        <f t="shared" si="88"/>
        <v>1636</v>
      </c>
      <c r="FR52" s="209">
        <f t="shared" si="88"/>
        <v>100</v>
      </c>
      <c r="FS52" s="209">
        <f t="shared" si="88"/>
        <v>1463</v>
      </c>
      <c r="FT52" s="209">
        <f t="shared" si="88"/>
        <v>785</v>
      </c>
      <c r="FU52" s="209">
        <f t="shared" si="88"/>
        <v>0</v>
      </c>
      <c r="FV52" s="209">
        <f t="shared" si="88"/>
        <v>141</v>
      </c>
      <c r="FW52" s="209">
        <f t="shared" si="88"/>
        <v>5</v>
      </c>
      <c r="FX52" s="209">
        <f t="shared" si="88"/>
        <v>29</v>
      </c>
      <c r="FY52" s="209">
        <f t="shared" si="88"/>
        <v>616</v>
      </c>
      <c r="FZ52" s="209">
        <f t="shared" si="88"/>
        <v>804</v>
      </c>
      <c r="GA52" s="209">
        <f t="shared" si="88"/>
        <v>32</v>
      </c>
      <c r="GB52" s="209">
        <f t="shared" si="88"/>
        <v>705</v>
      </c>
      <c r="GC52" s="209">
        <f t="shared" si="88"/>
        <v>0</v>
      </c>
      <c r="GD52" s="209">
        <f t="shared" si="88"/>
        <v>698</v>
      </c>
      <c r="GE52" s="209">
        <f t="shared" si="88"/>
        <v>1227</v>
      </c>
      <c r="GF52" s="209">
        <f t="shared" si="88"/>
        <v>647</v>
      </c>
      <c r="GG52" s="209">
        <f t="shared" si="88"/>
        <v>847</v>
      </c>
      <c r="GH52" s="209">
        <f t="shared" si="88"/>
        <v>245</v>
      </c>
      <c r="GI52" s="209">
        <f t="shared" si="88"/>
        <v>85</v>
      </c>
      <c r="GJ52" s="209">
        <f t="shared" si="88"/>
        <v>1390</v>
      </c>
      <c r="GK52" s="209">
        <f t="shared" si="88"/>
        <v>1081</v>
      </c>
      <c r="GL52" s="209">
        <f t="shared" si="88"/>
        <v>723</v>
      </c>
      <c r="GM52" s="209">
        <f t="shared" ref="GM52:GR52" si="89">SUM(GM21:GM51)</f>
        <v>2216</v>
      </c>
      <c r="GN52" s="209">
        <f t="shared" si="89"/>
        <v>706</v>
      </c>
      <c r="GO52" s="209">
        <f t="shared" si="89"/>
        <v>995</v>
      </c>
      <c r="GP52" s="209">
        <f t="shared" si="89"/>
        <v>747</v>
      </c>
      <c r="GQ52" s="209">
        <f t="shared" si="89"/>
        <v>0</v>
      </c>
      <c r="GR52" s="209">
        <f t="shared" si="89"/>
        <v>589</v>
      </c>
    </row>
    <row r="53" spans="1:200" ht="15.6">
      <c r="C53" s="211">
        <f>C52-'Processing Count'!G24-'Processing Count'!G59</f>
        <v>100959</v>
      </c>
    </row>
  </sheetData>
  <mergeCells count="208">
    <mergeCell ref="GH3:GH4"/>
    <mergeCell ref="GI3:GI4"/>
    <mergeCell ref="GJ3:GJ4"/>
    <mergeCell ref="GK3:GK4"/>
    <mergeCell ref="GL3:GL4"/>
    <mergeCell ref="FV3:FV4"/>
    <mergeCell ref="FW3:FW4"/>
    <mergeCell ref="FX3:FX4"/>
    <mergeCell ref="FY3:FY4"/>
    <mergeCell ref="FZ3:FZ4"/>
    <mergeCell ref="GA3:GA4"/>
    <mergeCell ref="GB3:GB4"/>
    <mergeCell ref="GC3:GC4"/>
    <mergeCell ref="GD3:GD4"/>
    <mergeCell ref="FP3:FP4"/>
    <mergeCell ref="FQ3:FQ4"/>
    <mergeCell ref="FR3:FR4"/>
    <mergeCell ref="FS3:FS4"/>
    <mergeCell ref="FT3:FT4"/>
    <mergeCell ref="FU3:FU4"/>
    <mergeCell ref="GE3:GE4"/>
    <mergeCell ref="GF3:GF4"/>
    <mergeCell ref="GG3:GG4"/>
    <mergeCell ref="EW3:EW4"/>
    <mergeCell ref="DZ3:DZ4"/>
    <mergeCell ref="EA3:EA4"/>
    <mergeCell ref="EB3:EB4"/>
    <mergeCell ref="EC3:EC4"/>
    <mergeCell ref="ED3:ED4"/>
    <mergeCell ref="EE3:EE4"/>
    <mergeCell ref="EF3:EF4"/>
    <mergeCell ref="EG3:EG4"/>
    <mergeCell ref="EH3:EH4"/>
    <mergeCell ref="EN3:EN4"/>
    <mergeCell ref="EI3:EI4"/>
    <mergeCell ref="EJ3:EJ4"/>
    <mergeCell ref="EK3:EK4"/>
    <mergeCell ref="EL3:EL4"/>
    <mergeCell ref="EM3:EM4"/>
    <mergeCell ref="EO3:EO4"/>
    <mergeCell ref="EP3:EP4"/>
    <mergeCell ref="EQ3:EQ4"/>
    <mergeCell ref="DV3:DV4"/>
    <mergeCell ref="DW3:DW4"/>
    <mergeCell ref="DX3:DX4"/>
    <mergeCell ref="DY3:DY4"/>
    <mergeCell ref="ER3:ER4"/>
    <mergeCell ref="ES3:ES4"/>
    <mergeCell ref="ET3:ET4"/>
    <mergeCell ref="EU3:EU4"/>
    <mergeCell ref="EV3:EV4"/>
    <mergeCell ref="DM3:DM4"/>
    <mergeCell ref="DN3:DN4"/>
    <mergeCell ref="DO3:DO4"/>
    <mergeCell ref="DP3:DP4"/>
    <mergeCell ref="DQ3:DQ4"/>
    <mergeCell ref="DR3:DR4"/>
    <mergeCell ref="DS3:DS4"/>
    <mergeCell ref="DT3:DT4"/>
    <mergeCell ref="DU3:DU4"/>
    <mergeCell ref="DD3:DD4"/>
    <mergeCell ref="DE3:DE4"/>
    <mergeCell ref="DF3:DF4"/>
    <mergeCell ref="DG3:DG4"/>
    <mergeCell ref="DH3:DH4"/>
    <mergeCell ref="DI3:DI4"/>
    <mergeCell ref="DJ3:DJ4"/>
    <mergeCell ref="DK3:DK4"/>
    <mergeCell ref="DL3:DL4"/>
    <mergeCell ref="CU3:CU4"/>
    <mergeCell ref="CV3:CV4"/>
    <mergeCell ref="CW3:CW4"/>
    <mergeCell ref="CX3:CX4"/>
    <mergeCell ref="CY3:CY4"/>
    <mergeCell ref="CZ3:CZ4"/>
    <mergeCell ref="DA3:DA4"/>
    <mergeCell ref="DB3:DB4"/>
    <mergeCell ref="DC3:DC4"/>
    <mergeCell ref="P3:P4"/>
    <mergeCell ref="H3:H4"/>
    <mergeCell ref="U3:U4"/>
    <mergeCell ref="A9:B9"/>
    <mergeCell ref="A11:B11"/>
    <mergeCell ref="A13:B13"/>
    <mergeCell ref="A19:B19"/>
    <mergeCell ref="J3:J4"/>
    <mergeCell ref="A14:C14"/>
    <mergeCell ref="A7:C7"/>
    <mergeCell ref="A6:C6"/>
    <mergeCell ref="A5:C5"/>
    <mergeCell ref="B4:C4"/>
    <mergeCell ref="G3:G4"/>
    <mergeCell ref="I3:I4"/>
    <mergeCell ref="D3:D4"/>
    <mergeCell ref="E3:E4"/>
    <mergeCell ref="F3:F4"/>
    <mergeCell ref="M3:M4"/>
    <mergeCell ref="A3:B3"/>
    <mergeCell ref="K3:K4"/>
    <mergeCell ref="L3:L4"/>
    <mergeCell ref="O3:O4"/>
    <mergeCell ref="N3:N4"/>
    <mergeCell ref="V3:V4"/>
    <mergeCell ref="W3:W4"/>
    <mergeCell ref="Q3:Q4"/>
    <mergeCell ref="R3:R4"/>
    <mergeCell ref="AM3:AM4"/>
    <mergeCell ref="AG3:AG4"/>
    <mergeCell ref="AJ3:AJ4"/>
    <mergeCell ref="AR3:AR4"/>
    <mergeCell ref="AF3:AF4"/>
    <mergeCell ref="AO3:AO4"/>
    <mergeCell ref="AP3:AP4"/>
    <mergeCell ref="AQ3:AQ4"/>
    <mergeCell ref="AB3:AB4"/>
    <mergeCell ref="AD3:AD4"/>
    <mergeCell ref="AE3:AE4"/>
    <mergeCell ref="AC3:AC4"/>
    <mergeCell ref="T3:T4"/>
    <mergeCell ref="Y3:Y4"/>
    <mergeCell ref="S3:S4"/>
    <mergeCell ref="Z3:Z4"/>
    <mergeCell ref="X3:X4"/>
    <mergeCell ref="AN3:AN4"/>
    <mergeCell ref="BT3:BT4"/>
    <mergeCell ref="BA3:BA4"/>
    <mergeCell ref="BB3:BB4"/>
    <mergeCell ref="BH3:BH4"/>
    <mergeCell ref="BI3:BI4"/>
    <mergeCell ref="BC3:BC4"/>
    <mergeCell ref="BD3:BD4"/>
    <mergeCell ref="BE3:BE4"/>
    <mergeCell ref="BG3:BG4"/>
    <mergeCell ref="BF3:BF4"/>
    <mergeCell ref="BP3:BP4"/>
    <mergeCell ref="BQ3:BQ4"/>
    <mergeCell ref="BR3:BR4"/>
    <mergeCell ref="BS3:BS4"/>
    <mergeCell ref="AZ3:AZ4"/>
    <mergeCell ref="AS3:AS4"/>
    <mergeCell ref="AT3:AT4"/>
    <mergeCell ref="AW3:AW4"/>
    <mergeCell ref="AU3:AU4"/>
    <mergeCell ref="AA3:AA4"/>
    <mergeCell ref="AH3:AH4"/>
    <mergeCell ref="AI3:AI4"/>
    <mergeCell ref="AV3:AV4"/>
    <mergeCell ref="AK3:AK4"/>
    <mergeCell ref="AL3:AL4"/>
    <mergeCell ref="AX3:AX4"/>
    <mergeCell ref="AY3:AY4"/>
    <mergeCell ref="CO3:CO4"/>
    <mergeCell ref="CF3:CF4"/>
    <mergeCell ref="CG3:CG4"/>
    <mergeCell ref="CP3:CP4"/>
    <mergeCell ref="CQ3:CQ4"/>
    <mergeCell ref="CR3:CR4"/>
    <mergeCell ref="CS3:CS4"/>
    <mergeCell ref="CT3:CT4"/>
    <mergeCell ref="A2:B2"/>
    <mergeCell ref="BV3:BV4"/>
    <mergeCell ref="BW3:BW4"/>
    <mergeCell ref="BX3:BX4"/>
    <mergeCell ref="BY3:BY4"/>
    <mergeCell ref="BZ3:BZ4"/>
    <mergeCell ref="CA3:CA4"/>
    <mergeCell ref="CB3:CB4"/>
    <mergeCell ref="CC3:CC4"/>
    <mergeCell ref="BM3:BM4"/>
    <mergeCell ref="BN3:BN4"/>
    <mergeCell ref="BO3:BO4"/>
    <mergeCell ref="BJ3:BJ4"/>
    <mergeCell ref="BK3:BK4"/>
    <mergeCell ref="BL3:BL4"/>
    <mergeCell ref="BU3:BU4"/>
    <mergeCell ref="CD3:CD4"/>
    <mergeCell ref="CE3:CE4"/>
    <mergeCell ref="CH3:CH4"/>
    <mergeCell ref="CI3:CI4"/>
    <mergeCell ref="CJ3:CJ4"/>
    <mergeCell ref="CK3:CK4"/>
    <mergeCell ref="CL3:CL4"/>
    <mergeCell ref="CM3:CM4"/>
    <mergeCell ref="CN3:CN4"/>
    <mergeCell ref="GN3:GN4"/>
    <mergeCell ref="GO3:GO4"/>
    <mergeCell ref="GP3:GP4"/>
    <mergeCell ref="GQ3:GQ4"/>
    <mergeCell ref="GR3:GR4"/>
    <mergeCell ref="GM3:GM4"/>
    <mergeCell ref="EX3:EX4"/>
    <mergeCell ref="EY3:EY4"/>
    <mergeCell ref="EZ3:EZ4"/>
    <mergeCell ref="FA3:FA4"/>
    <mergeCell ref="FB3:FB4"/>
    <mergeCell ref="FC3:FC4"/>
    <mergeCell ref="FD3:FD4"/>
    <mergeCell ref="FE3:FE4"/>
    <mergeCell ref="FF3:FF4"/>
    <mergeCell ref="FG3:FG4"/>
    <mergeCell ref="FH3:FH4"/>
    <mergeCell ref="FI3:FI4"/>
    <mergeCell ref="FJ3:FJ4"/>
    <mergeCell ref="FK3:FK4"/>
    <mergeCell ref="FL3:FL4"/>
    <mergeCell ref="FM3:FM4"/>
    <mergeCell ref="FN3:FN4"/>
    <mergeCell ref="FO3:FO4"/>
  </mergeCells>
  <conditionalFormatting sqref="C1">
    <cfRule type="cellIs" dxfId="23" priority="1" operator="lessThan">
      <formula>0</formula>
    </cfRule>
    <cfRule type="cellIs" dxfId="22" priority="2" operator="greaterThan">
      <formula>0</formula>
    </cfRule>
  </conditionalFormatting>
  <conditionalFormatting sqref="D7:GR7">
    <cfRule type="cellIs" dxfId="21" priority="67" operator="greaterThan">
      <formula>20.99</formula>
    </cfRule>
    <cfRule type="cellIs" dxfId="20" priority="68" operator="between">
      <formula>15.99</formula>
      <formula>21</formula>
    </cfRule>
    <cfRule type="cellIs" dxfId="19" priority="69" operator="between">
      <formula>15.99</formula>
      <formula>21</formula>
    </cfRule>
    <cfRule type="cellIs" dxfId="18" priority="70" operator="between">
      <formula>12.99</formula>
      <formula>16</formula>
    </cfRule>
    <cfRule type="cellIs" dxfId="17" priority="71" operator="lessThan">
      <formula>13</formula>
    </cfRule>
    <cfRule type="cellIs" dxfId="16" priority="72" operator="greaterThan">
      <formula>21</formula>
    </cfRule>
  </conditionalFormatting>
  <conditionalFormatting sqref="D21:GR51">
    <cfRule type="cellIs" dxfId="15" priority="6" operator="greaterThan">
      <formula>0</formula>
    </cfRule>
    <cfRule type="cellIs" dxfId="14" priority="7" operator="lessThan">
      <formula>1</formula>
    </cfRule>
  </conditionalFormatting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86BEF9E4-8D5F-43FE-AADA-5BEAD5920B0E}">
            <xm:f>NOT(ISERROR(SEARCH("-",D21)))</xm:f>
            <xm:f>"-"</xm:f>
            <x14:dxf>
              <fill>
                <patternFill>
                  <bgColor rgb="FFFFFF00"/>
                </patternFill>
              </fill>
            </x14:dxf>
          </x14:cfRule>
          <xm:sqref>D21:GR51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6EBB7-75F4-4850-885B-A097CA0722F0}">
  <dimension ref="A1:Q61"/>
  <sheetViews>
    <sheetView zoomScale="85" zoomScaleNormal="85" workbookViewId="0">
      <pane xSplit="2" ySplit="2" topLeftCell="O3" activePane="bottomRight" state="frozen"/>
      <selection pane="bottomRight" activeCell="O21" sqref="O21"/>
      <selection pane="bottomLeft" activeCell="A3" sqref="A3"/>
      <selection pane="topRight" activeCell="C1" sqref="C1"/>
    </sheetView>
  </sheetViews>
  <sheetFormatPr defaultColWidth="21.85546875" defaultRowHeight="14.45"/>
  <cols>
    <col min="1" max="1" width="31.42578125" customWidth="1"/>
    <col min="2" max="2" width="11.140625" bestFit="1" customWidth="1"/>
    <col min="3" max="3" width="13" bestFit="1" customWidth="1"/>
    <col min="4" max="4" width="17.28515625" bestFit="1" customWidth="1"/>
    <col min="5" max="5" width="11.85546875" bestFit="1" customWidth="1"/>
    <col min="6" max="6" width="13" bestFit="1" customWidth="1"/>
    <col min="7" max="7" width="14.7109375" bestFit="1" customWidth="1"/>
    <col min="8" max="8" width="12.7109375" bestFit="1" customWidth="1"/>
    <col min="9" max="9" width="16.5703125" bestFit="1" customWidth="1"/>
    <col min="10" max="10" width="18" bestFit="1" customWidth="1"/>
    <col min="11" max="11" width="21.7109375" bestFit="1" customWidth="1"/>
    <col min="12" max="12" width="11.85546875" bestFit="1" customWidth="1"/>
    <col min="13" max="13" width="14.7109375" bestFit="1" customWidth="1"/>
    <col min="14" max="14" width="5.140625" bestFit="1" customWidth="1"/>
    <col min="15" max="15" width="6.140625" bestFit="1" customWidth="1"/>
  </cols>
  <sheetData>
    <row r="1" spans="1:17">
      <c r="A1" s="21" t="s">
        <v>2</v>
      </c>
      <c r="B1" s="21" t="s">
        <v>3</v>
      </c>
      <c r="C1" s="17" t="s">
        <v>4</v>
      </c>
      <c r="D1" s="17" t="s">
        <v>10</v>
      </c>
      <c r="E1" s="17" t="s">
        <v>177</v>
      </c>
      <c r="F1" s="17" t="s">
        <v>259</v>
      </c>
      <c r="G1" s="17" t="s">
        <v>199</v>
      </c>
      <c r="H1" s="41" t="s">
        <v>236</v>
      </c>
      <c r="I1" s="41" t="s">
        <v>5</v>
      </c>
      <c r="J1" s="41" t="s">
        <v>128</v>
      </c>
      <c r="K1" s="41" t="s">
        <v>82</v>
      </c>
      <c r="L1" s="41" t="s">
        <v>201</v>
      </c>
      <c r="M1" s="41" t="s">
        <v>7</v>
      </c>
      <c r="Q1" s="198">
        <f>P1-G34</f>
        <v>0</v>
      </c>
    </row>
    <row r="2" spans="1:17" ht="15.6">
      <c r="A2" s="104" t="s">
        <v>260</v>
      </c>
      <c r="B2" s="105">
        <f t="shared" ref="B2:B12" si="0">SUM(C2:M2)</f>
        <v>22170.25</v>
      </c>
      <c r="C2" s="103">
        <f t="shared" ref="C2:M2" si="1">SUM(C55,C58,C61)</f>
        <v>4391.5</v>
      </c>
      <c r="D2" s="103">
        <f t="shared" si="1"/>
        <v>284.5</v>
      </c>
      <c r="E2" s="103">
        <f t="shared" si="1"/>
        <v>3836</v>
      </c>
      <c r="F2" s="103">
        <f t="shared" si="1"/>
        <v>3846</v>
      </c>
      <c r="G2" s="103">
        <f t="shared" si="1"/>
        <v>4781</v>
      </c>
      <c r="H2" s="103">
        <f t="shared" si="1"/>
        <v>0</v>
      </c>
      <c r="I2" s="103">
        <f t="shared" si="1"/>
        <v>229.5</v>
      </c>
      <c r="J2" s="103">
        <f t="shared" si="1"/>
        <v>0</v>
      </c>
      <c r="K2" s="103">
        <f t="shared" si="1"/>
        <v>0</v>
      </c>
      <c r="L2" s="103">
        <f t="shared" si="1"/>
        <v>1282</v>
      </c>
      <c r="M2" s="103">
        <f t="shared" si="1"/>
        <v>3519.75</v>
      </c>
      <c r="Q2" s="198">
        <f>F14-P2</f>
        <v>163</v>
      </c>
    </row>
    <row r="3" spans="1:17">
      <c r="A3" s="71" t="str">
        <f>'Processing Count'!A2</f>
        <v>Ahwataukee</v>
      </c>
      <c r="B3" s="53">
        <f t="shared" si="0"/>
        <v>0</v>
      </c>
      <c r="C3" s="57">
        <f>IFERROR(HLOOKUP(C$1,'Processing Count'!$C$1:$E$16,2,0),0)</f>
        <v>0</v>
      </c>
      <c r="D3" s="57">
        <f>IFERROR(HLOOKUP(D$1,'Processing Count'!$C$1:$E$16,2,0),0)</f>
        <v>0</v>
      </c>
      <c r="E3" s="57">
        <v>0</v>
      </c>
      <c r="F3" s="57">
        <f>IFERROR(HLOOKUP(F$1,'Processing Count'!$C$1:$E$16,2,0),0)</f>
        <v>0</v>
      </c>
      <c r="G3" s="57">
        <v>0</v>
      </c>
      <c r="H3" s="57">
        <f>IFERROR(HLOOKUP(H$1,'Processing Count'!$C$1:$E$16,2,0),0)</f>
        <v>0</v>
      </c>
      <c r="I3" s="57">
        <f>IFERROR(HLOOKUP(I$1,'Processing Count'!$C$1:$E$16,2,0),0)</f>
        <v>0</v>
      </c>
      <c r="J3" s="57">
        <f>IFERROR(HLOOKUP(J$1,'Processing Count'!$C$1:$E$16,2,0),0)</f>
        <v>0</v>
      </c>
      <c r="K3" s="57">
        <f>IFERROR(HLOOKUP(K$1,'Processing Count'!$C$1:$E$16,2,0),0)</f>
        <v>0</v>
      </c>
      <c r="L3" s="57"/>
      <c r="M3" s="57">
        <f>IFERROR(HLOOKUP(M$1,'Processing Count'!$C$1:$E$16,2,0),0)</f>
        <v>0</v>
      </c>
    </row>
    <row r="4" spans="1:17">
      <c r="A4" s="71" t="str">
        <f>'Processing Count'!A3</f>
        <v>Aprima_Processing</v>
      </c>
      <c r="B4" s="53">
        <f t="shared" si="0"/>
        <v>53</v>
      </c>
      <c r="C4" s="57">
        <f>IFERROR(HLOOKUP(C$1,'Processing Count'!$C$1:$E$16,3,0),0)</f>
        <v>0</v>
      </c>
      <c r="D4" s="57">
        <f>IFERROR(HLOOKUP(D$1,'Processing Count'!$C$1:$E$16,3,0),0)</f>
        <v>0</v>
      </c>
      <c r="E4" s="57">
        <f>'Processing Count'!G3</f>
        <v>53</v>
      </c>
      <c r="F4" s="57">
        <f>IFERROR(HLOOKUP(F$1,'Processing Count'!$C$1:$E$16,3,0),0)</f>
        <v>0</v>
      </c>
      <c r="G4" s="57">
        <v>0</v>
      </c>
      <c r="H4" s="57">
        <f>IFERROR(HLOOKUP(H$1,'Processing Count'!$C$1:$E$16,3,0),0)</f>
        <v>0</v>
      </c>
      <c r="I4" s="57">
        <f>IFERROR(HLOOKUP(I$1,'Processing Count'!$C$1:$E$16,3,0),0)</f>
        <v>0</v>
      </c>
      <c r="J4" s="57">
        <f>IFERROR(HLOOKUP(J$1,'Processing Count'!$C$1:$E$16,3,0),0)</f>
        <v>0</v>
      </c>
      <c r="K4" s="57">
        <f>IFERROR(HLOOKUP(K$1,'Processing Count'!$C$1:$E$16,3,0),0)</f>
        <v>0</v>
      </c>
      <c r="L4" s="57"/>
      <c r="M4" s="57">
        <f>IFERROR(HLOOKUP(M$1,'Processing Count'!$C$1:$E$16,3,0),0)</f>
        <v>0</v>
      </c>
    </row>
    <row r="5" spans="1:17">
      <c r="A5" s="71" t="str">
        <f>'Processing Count'!A4</f>
        <v>Bronx-Care Processing</v>
      </c>
      <c r="B5" s="53">
        <f t="shared" si="0"/>
        <v>997</v>
      </c>
      <c r="C5" s="102">
        <f>IFERROR(HLOOKUP(C$1,'Processing Count'!$C$1:$E$16,4,0),0)</f>
        <v>0</v>
      </c>
      <c r="D5" s="102">
        <f>IFERROR(HLOOKUP(D$1,'Processing Count'!$C$1:$E$16,4,0),0)</f>
        <v>0</v>
      </c>
      <c r="E5" s="102">
        <f>IFERROR(HLOOKUP(E$1,'Processing Count'!$C$1:$E$16,4,0),0)</f>
        <v>0</v>
      </c>
      <c r="F5" s="102">
        <f>'Processing Count'!G4</f>
        <v>997</v>
      </c>
      <c r="G5" s="102"/>
      <c r="H5" s="102">
        <f>IFERROR(HLOOKUP(H$1,'Processing Count'!E$1:$E$16,4,0),0)</f>
        <v>0</v>
      </c>
      <c r="I5" s="102">
        <f>IFERROR(HLOOKUP(I$1,'Processing Count'!$E$1:F$16,4,0),0)</f>
        <v>0</v>
      </c>
      <c r="J5" s="102">
        <f>IFERROR(HLOOKUP(J$1,'Processing Count'!$E$1:G$16,4,0),0)</f>
        <v>0</v>
      </c>
      <c r="K5" s="102">
        <f>IFERROR(HLOOKUP(K$1,'Processing Count'!$E$1:H$16,4,0),0)</f>
        <v>0</v>
      </c>
      <c r="L5" s="102"/>
      <c r="M5" s="102">
        <f>IFERROR(HLOOKUP(M$1,'Processing Count'!$E$1:I$16,4,0),0)</f>
        <v>0</v>
      </c>
    </row>
    <row r="6" spans="1:17">
      <c r="A6" s="71" t="str">
        <f>'Processing Count'!A6</f>
        <v>Evara-Health Processing</v>
      </c>
      <c r="B6" s="53">
        <f t="shared" si="0"/>
        <v>0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</row>
    <row r="7" spans="1:17">
      <c r="A7" s="71" t="str">
        <f>'Processing Count'!A7</f>
        <v>Meritas</v>
      </c>
      <c r="B7" s="53">
        <f t="shared" si="0"/>
        <v>9</v>
      </c>
      <c r="C7" s="57"/>
      <c r="D7" s="57"/>
      <c r="E7" s="57">
        <f>'Processing Count'!G7</f>
        <v>9</v>
      </c>
      <c r="F7" s="57"/>
      <c r="G7" s="57"/>
      <c r="H7" s="57"/>
      <c r="I7" s="57"/>
      <c r="J7" s="57"/>
      <c r="K7" s="57"/>
      <c r="L7" s="57"/>
      <c r="M7" s="57"/>
    </row>
    <row r="8" spans="1:17">
      <c r="A8" s="71" t="str">
        <f>'Processing Count'!A8</f>
        <v>NKCH Processing</v>
      </c>
      <c r="B8" s="53">
        <f t="shared" si="0"/>
        <v>257</v>
      </c>
      <c r="C8" s="57"/>
      <c r="D8" s="57"/>
      <c r="E8" s="57">
        <f>'Processing Count'!G8</f>
        <v>257</v>
      </c>
      <c r="F8" s="57"/>
      <c r="G8" s="57"/>
      <c r="H8" s="57"/>
      <c r="I8" s="57"/>
      <c r="J8" s="57"/>
      <c r="K8" s="57"/>
      <c r="L8" s="57"/>
      <c r="M8" s="57"/>
    </row>
    <row r="9" spans="1:17">
      <c r="A9" s="71" t="str">
        <f>'Processing Count'!A9</f>
        <v>NYP EMR</v>
      </c>
      <c r="B9" s="53">
        <f t="shared" si="0"/>
        <v>59</v>
      </c>
      <c r="C9" s="57"/>
      <c r="D9" s="57"/>
      <c r="E9" s="57"/>
      <c r="F9" s="57"/>
      <c r="G9" s="57"/>
      <c r="H9" s="57"/>
      <c r="I9" s="57"/>
      <c r="J9" s="57"/>
      <c r="K9" s="57"/>
      <c r="L9" s="57"/>
      <c r="M9" s="57">
        <f>'Processing Count'!G9</f>
        <v>59</v>
      </c>
    </row>
    <row r="10" spans="1:17">
      <c r="A10" s="71" t="str">
        <f>'Processing Count'!A10</f>
        <v>Eisenhower</v>
      </c>
      <c r="B10" s="53">
        <f t="shared" si="0"/>
        <v>124</v>
      </c>
      <c r="C10" s="57"/>
      <c r="D10" s="57"/>
      <c r="E10" s="57"/>
      <c r="F10" s="57"/>
      <c r="G10" s="57">
        <f>'Processing Count'!G10</f>
        <v>124</v>
      </c>
      <c r="H10" s="57"/>
      <c r="I10" s="57"/>
      <c r="J10" s="57"/>
      <c r="K10" s="57"/>
      <c r="L10" s="57"/>
      <c r="M10" s="57"/>
    </row>
    <row r="11" spans="1:17">
      <c r="A11" s="71" t="str">
        <f>'Processing Count'!A11</f>
        <v>Washington Family</v>
      </c>
      <c r="B11" s="53">
        <f t="shared" si="0"/>
        <v>0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</row>
    <row r="12" spans="1:17">
      <c r="A12" s="71" t="str">
        <f>'Processing Count'!A12</f>
        <v>AZA-Processing</v>
      </c>
      <c r="B12" s="53">
        <f t="shared" si="0"/>
        <v>65</v>
      </c>
      <c r="C12" s="57"/>
      <c r="D12" s="57"/>
      <c r="E12" s="57">
        <f>'Processing Count'!G12</f>
        <v>65</v>
      </c>
      <c r="F12" s="57"/>
      <c r="G12" s="57"/>
      <c r="H12" s="57"/>
      <c r="I12" s="57"/>
      <c r="J12" s="57"/>
      <c r="K12" s="57"/>
      <c r="L12" s="57"/>
      <c r="M12" s="57"/>
    </row>
    <row r="13" spans="1:17">
      <c r="A13" s="71" t="str">
        <f>'Processing Count'!A17</f>
        <v>InterMed DDS</v>
      </c>
      <c r="B13" s="53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</row>
    <row r="14" spans="1:17">
      <c r="A14" s="71" t="s">
        <v>261</v>
      </c>
      <c r="B14" s="53">
        <f>SUM(C14:M14)</f>
        <v>163</v>
      </c>
      <c r="C14" s="57"/>
      <c r="D14" s="57"/>
      <c r="E14" s="57"/>
      <c r="F14" s="57">
        <f>'Processing Count'!G18</f>
        <v>163</v>
      </c>
      <c r="G14" s="57"/>
      <c r="H14" s="57"/>
      <c r="I14" s="57"/>
      <c r="J14" s="57"/>
      <c r="K14" s="57"/>
      <c r="L14" s="57"/>
      <c r="M14" s="57"/>
    </row>
    <row r="15" spans="1:17">
      <c r="A15" s="71" t="str">
        <f>'Processing Count'!A14</f>
        <v>Spring Branch-Processing</v>
      </c>
      <c r="B15" s="53">
        <f>SUM(C15:M15)</f>
        <v>0</v>
      </c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</row>
    <row r="16" spans="1:17">
      <c r="A16" s="71" t="str">
        <f>'Processing Count'!A19</f>
        <v>J.O.Wyatt Clinic-Processing</v>
      </c>
      <c r="B16" s="53">
        <f>SUM(C16:M16)</f>
        <v>59</v>
      </c>
      <c r="C16" s="57"/>
      <c r="D16" s="57"/>
      <c r="E16" s="57"/>
      <c r="F16" s="57">
        <f>'Processing Count'!G19</f>
        <v>59</v>
      </c>
      <c r="G16" s="57"/>
      <c r="H16" s="57"/>
      <c r="I16" s="57"/>
      <c r="J16" s="57"/>
      <c r="K16" s="57"/>
      <c r="L16" s="57"/>
      <c r="M16" s="57"/>
    </row>
    <row r="17" spans="1:15">
      <c r="A17" s="71" t="str">
        <f>'Processing Count'!A20</f>
        <v>Riverton Family HC-Processing</v>
      </c>
      <c r="B17" s="53">
        <f>SUM(C17:M17)</f>
        <v>46</v>
      </c>
      <c r="C17" s="57"/>
      <c r="D17" s="57"/>
      <c r="E17" s="57"/>
      <c r="F17" s="57">
        <f>'Processing Count'!G20</f>
        <v>46</v>
      </c>
      <c r="G17" s="57"/>
      <c r="H17" s="57"/>
      <c r="I17" s="57"/>
      <c r="J17" s="57"/>
      <c r="K17" s="57"/>
      <c r="L17" s="57"/>
      <c r="M17" s="57"/>
    </row>
    <row r="18" spans="1:15">
      <c r="A18" s="21" t="s">
        <v>233</v>
      </c>
      <c r="B18" s="114">
        <f>SUM(C18:M18)</f>
        <v>835</v>
      </c>
      <c r="C18" s="106">
        <f>SUM(C3:C4,C6:C17)</f>
        <v>0</v>
      </c>
      <c r="D18" s="106">
        <f t="shared" ref="D18:M18" si="2">SUM(D3:D4,D6:D17)</f>
        <v>0</v>
      </c>
      <c r="E18" s="106">
        <f t="shared" si="2"/>
        <v>384</v>
      </c>
      <c r="F18" s="106">
        <f t="shared" si="2"/>
        <v>268</v>
      </c>
      <c r="G18" s="106">
        <f t="shared" si="2"/>
        <v>124</v>
      </c>
      <c r="H18" s="106">
        <f t="shared" si="2"/>
        <v>0</v>
      </c>
      <c r="I18" s="106">
        <f t="shared" si="2"/>
        <v>0</v>
      </c>
      <c r="J18" s="106">
        <f t="shared" si="2"/>
        <v>0</v>
      </c>
      <c r="K18" s="106">
        <f t="shared" si="2"/>
        <v>0</v>
      </c>
      <c r="L18" s="106">
        <f t="shared" ref="L18" si="3">SUM(L3:L4,L6:L17)</f>
        <v>0</v>
      </c>
      <c r="M18" s="106">
        <f t="shared" si="2"/>
        <v>59</v>
      </c>
    </row>
    <row r="19" spans="1:15">
      <c r="A19" s="21" t="s">
        <v>262</v>
      </c>
      <c r="B19" s="97">
        <v>0.5</v>
      </c>
      <c r="C19" s="86">
        <v>0.5</v>
      </c>
      <c r="D19" s="86">
        <f>C19+0</f>
        <v>0.5</v>
      </c>
      <c r="E19" s="86">
        <f t="shared" ref="E19:K19" si="4">D19+0</f>
        <v>0.5</v>
      </c>
      <c r="F19" s="86">
        <f t="shared" si="4"/>
        <v>0.5</v>
      </c>
      <c r="G19" s="86">
        <f t="shared" si="4"/>
        <v>0.5</v>
      </c>
      <c r="H19" s="86">
        <f t="shared" si="4"/>
        <v>0.5</v>
      </c>
      <c r="I19" s="86">
        <f t="shared" si="4"/>
        <v>0.5</v>
      </c>
      <c r="J19" s="86">
        <f t="shared" si="4"/>
        <v>0.5</v>
      </c>
      <c r="K19" s="86">
        <f t="shared" si="4"/>
        <v>0.5</v>
      </c>
      <c r="L19" s="86">
        <f t="shared" ref="L19" si="5">K19+0</f>
        <v>0.5</v>
      </c>
      <c r="M19" s="86">
        <f>K19+0</f>
        <v>0.5</v>
      </c>
    </row>
    <row r="20" spans="1:15">
      <c r="A20" s="21" t="s">
        <v>263</v>
      </c>
      <c r="B20" s="97">
        <f>SUM(C20:M20)</f>
        <v>417.5</v>
      </c>
      <c r="C20" s="86">
        <f>C18*C19</f>
        <v>0</v>
      </c>
      <c r="D20" s="86">
        <f t="shared" ref="D20:H20" si="6">D18*D19</f>
        <v>0</v>
      </c>
      <c r="E20" s="86">
        <f t="shared" si="6"/>
        <v>192</v>
      </c>
      <c r="F20" s="86">
        <f t="shared" si="6"/>
        <v>134</v>
      </c>
      <c r="G20" s="86">
        <f t="shared" si="6"/>
        <v>62</v>
      </c>
      <c r="H20" s="86">
        <f t="shared" si="6"/>
        <v>0</v>
      </c>
      <c r="I20" s="86">
        <f t="shared" ref="I20:J20" si="7">I18*I19</f>
        <v>0</v>
      </c>
      <c r="J20" s="86">
        <f t="shared" si="7"/>
        <v>0</v>
      </c>
      <c r="K20" s="86">
        <f t="shared" ref="K20:L20" si="8">K18*K19</f>
        <v>0</v>
      </c>
      <c r="L20" s="86">
        <f t="shared" si="8"/>
        <v>0</v>
      </c>
      <c r="M20" s="86">
        <f t="shared" ref="M20" si="9">M18*M19</f>
        <v>29.5</v>
      </c>
    </row>
    <row r="21" spans="1:15">
      <c r="A21" s="99" t="s">
        <v>264</v>
      </c>
      <c r="B21" s="114">
        <f>SUM(C21:M21)</f>
        <v>41089</v>
      </c>
      <c r="C21" s="189">
        <v>14000</v>
      </c>
      <c r="D21" s="189"/>
      <c r="E21" s="189">
        <v>14128</v>
      </c>
      <c r="F21" s="189">
        <v>6872</v>
      </c>
      <c r="G21" s="189"/>
      <c r="H21" s="189"/>
      <c r="I21" s="189"/>
      <c r="J21" s="189"/>
      <c r="K21" s="189"/>
      <c r="L21" s="189">
        <v>5128</v>
      </c>
      <c r="M21" s="189">
        <v>961</v>
      </c>
      <c r="O21" s="198"/>
    </row>
    <row r="22" spans="1:15">
      <c r="A22" s="99" t="s">
        <v>265</v>
      </c>
      <c r="B22" s="97">
        <v>0.25</v>
      </c>
      <c r="C22" s="190">
        <f>B22+0</f>
        <v>0.25</v>
      </c>
      <c r="D22" s="190">
        <f t="shared" ref="D22" si="10">C22+0</f>
        <v>0.25</v>
      </c>
      <c r="E22" s="190">
        <f t="shared" ref="E22" si="11">D22+0</f>
        <v>0.25</v>
      </c>
      <c r="F22" s="190">
        <f t="shared" ref="F22" si="12">E22+0</f>
        <v>0.25</v>
      </c>
      <c r="G22" s="190">
        <f t="shared" ref="G22" si="13">F22+0</f>
        <v>0.25</v>
      </c>
      <c r="H22" s="190">
        <f t="shared" ref="H22" si="14">G22+0</f>
        <v>0.25</v>
      </c>
      <c r="I22" s="190">
        <f t="shared" ref="I22" si="15">H22+0</f>
        <v>0.25</v>
      </c>
      <c r="J22" s="190">
        <f t="shared" ref="J22" si="16">I22+0</f>
        <v>0.25</v>
      </c>
      <c r="K22" s="190">
        <f t="shared" ref="K22:L22" si="17">J22+0</f>
        <v>0.25</v>
      </c>
      <c r="L22" s="190">
        <f t="shared" si="17"/>
        <v>0.25</v>
      </c>
      <c r="M22" s="190">
        <f t="shared" ref="M22" si="18">K22+0</f>
        <v>0.25</v>
      </c>
    </row>
    <row r="23" spans="1:15">
      <c r="A23" s="99" t="s">
        <v>266</v>
      </c>
      <c r="B23" s="97">
        <f>SUM(C23:M23)</f>
        <v>10272.25</v>
      </c>
      <c r="C23" s="190">
        <f>C21*C22</f>
        <v>3500</v>
      </c>
      <c r="D23" s="190">
        <f t="shared" ref="D23:M23" si="19">D21*D22</f>
        <v>0</v>
      </c>
      <c r="E23" s="190">
        <f t="shared" si="19"/>
        <v>3532</v>
      </c>
      <c r="F23" s="190">
        <f t="shared" si="19"/>
        <v>1718</v>
      </c>
      <c r="G23" s="190">
        <f t="shared" si="19"/>
        <v>0</v>
      </c>
      <c r="H23" s="190">
        <f t="shared" si="19"/>
        <v>0</v>
      </c>
      <c r="I23" s="190">
        <f t="shared" si="19"/>
        <v>0</v>
      </c>
      <c r="J23" s="190">
        <f t="shared" si="19"/>
        <v>0</v>
      </c>
      <c r="K23" s="190">
        <f t="shared" si="19"/>
        <v>0</v>
      </c>
      <c r="L23" s="190">
        <f t="shared" ref="L23" si="20">L21*L22</f>
        <v>1282</v>
      </c>
      <c r="M23" s="190">
        <f t="shared" si="19"/>
        <v>240.25</v>
      </c>
    </row>
    <row r="24" spans="1:15">
      <c r="A24" s="99" t="s">
        <v>267</v>
      </c>
      <c r="B24" s="97">
        <v>2</v>
      </c>
      <c r="C24" s="190">
        <v>2</v>
      </c>
      <c r="D24" s="190">
        <f>C24+0</f>
        <v>2</v>
      </c>
      <c r="E24" s="190">
        <f t="shared" ref="E24:K24" si="21">D24+0</f>
        <v>2</v>
      </c>
      <c r="F24" s="190">
        <f t="shared" si="21"/>
        <v>2</v>
      </c>
      <c r="G24" s="190">
        <f t="shared" si="21"/>
        <v>2</v>
      </c>
      <c r="H24" s="190">
        <f t="shared" si="21"/>
        <v>2</v>
      </c>
      <c r="I24" s="190">
        <f t="shared" si="21"/>
        <v>2</v>
      </c>
      <c r="J24" s="190">
        <f t="shared" si="21"/>
        <v>2</v>
      </c>
      <c r="K24" s="190">
        <f t="shared" si="21"/>
        <v>2</v>
      </c>
      <c r="L24" s="190">
        <f t="shared" ref="L24" si="22">K24+0</f>
        <v>2</v>
      </c>
      <c r="M24" s="190">
        <f>K24+0</f>
        <v>2</v>
      </c>
    </row>
    <row r="25" spans="1:15">
      <c r="A25" s="99" t="s">
        <v>268</v>
      </c>
      <c r="B25" s="97">
        <f t="shared" ref="B25:B52" si="23">SUM(C25:M25)</f>
        <v>1994</v>
      </c>
      <c r="C25" s="86">
        <f t="shared" ref="C25:H25" si="24">C5*C24</f>
        <v>0</v>
      </c>
      <c r="D25" s="86">
        <f t="shared" si="24"/>
        <v>0</v>
      </c>
      <c r="E25" s="86">
        <f t="shared" si="24"/>
        <v>0</v>
      </c>
      <c r="F25" s="86">
        <f t="shared" si="24"/>
        <v>1994</v>
      </c>
      <c r="G25" s="86">
        <f t="shared" si="24"/>
        <v>0</v>
      </c>
      <c r="H25" s="86">
        <f t="shared" si="24"/>
        <v>0</v>
      </c>
      <c r="I25" s="86">
        <f t="shared" ref="I25:J25" si="25">I5*I24</f>
        <v>0</v>
      </c>
      <c r="J25" s="86">
        <f t="shared" si="25"/>
        <v>0</v>
      </c>
      <c r="K25" s="86">
        <f t="shared" ref="K25:L25" si="26">K5*K24</f>
        <v>0</v>
      </c>
      <c r="L25" s="86">
        <f t="shared" si="26"/>
        <v>0</v>
      </c>
      <c r="M25" s="86">
        <f t="shared" ref="M25" si="27">M5*M24</f>
        <v>0</v>
      </c>
    </row>
    <row r="26" spans="1:15">
      <c r="A26" s="21" t="s">
        <v>269</v>
      </c>
      <c r="B26" s="178">
        <f t="shared" si="23"/>
        <v>12683.75</v>
      </c>
      <c r="C26" s="100">
        <f>SUM(C20,C23,C25)</f>
        <v>3500</v>
      </c>
      <c r="D26" s="100">
        <f t="shared" ref="D26:M26" si="28">SUM(D20,D23,D25)</f>
        <v>0</v>
      </c>
      <c r="E26" s="100">
        <f t="shared" si="28"/>
        <v>3724</v>
      </c>
      <c r="F26" s="100">
        <f>SUM(F20,F23,F25)</f>
        <v>3846</v>
      </c>
      <c r="G26" s="100">
        <f t="shared" si="28"/>
        <v>62</v>
      </c>
      <c r="H26" s="100">
        <f t="shared" si="28"/>
        <v>0</v>
      </c>
      <c r="I26" s="100">
        <f t="shared" si="28"/>
        <v>0</v>
      </c>
      <c r="J26" s="100">
        <f t="shared" si="28"/>
        <v>0</v>
      </c>
      <c r="K26" s="100">
        <f t="shared" si="28"/>
        <v>0</v>
      </c>
      <c r="L26" s="100">
        <f t="shared" si="28"/>
        <v>1282</v>
      </c>
      <c r="M26" s="100">
        <f t="shared" si="28"/>
        <v>269.75</v>
      </c>
    </row>
    <row r="27" spans="1:15">
      <c r="A27" s="71" t="str">
        <f>'Processing Count'!A28</f>
        <v>Banner Health_Processing</v>
      </c>
      <c r="B27" s="101">
        <f t="shared" si="23"/>
        <v>0</v>
      </c>
      <c r="C27" s="19">
        <f>IFERROR(VLOOKUP(A27,'Processing Count'!A27:E53,5,0),0)</f>
        <v>0</v>
      </c>
      <c r="D27" s="19"/>
      <c r="E27" s="19">
        <f>IFERROR(VLOOKUP(A27,'Processing Count'!A27:C53,3,0),0)</f>
        <v>0</v>
      </c>
      <c r="F27" s="19">
        <f>IFERROR(VLOOKUP(A27,'Processing Count'!A27:D53,4,0),0)</f>
        <v>0</v>
      </c>
      <c r="G27" s="19">
        <f>IFERROR(VLOOKUP(A27,'Processing Count'!A27:F53,6,0),0)</f>
        <v>0</v>
      </c>
      <c r="H27" s="19"/>
      <c r="I27" s="19"/>
      <c r="J27" s="19"/>
      <c r="K27" s="19"/>
      <c r="L27" s="19"/>
      <c r="M27" s="19"/>
    </row>
    <row r="28" spans="1:15">
      <c r="A28" s="71" t="str">
        <f>'Processing Count'!A29</f>
        <v>Duke_Processing</v>
      </c>
      <c r="B28" s="101">
        <f t="shared" si="23"/>
        <v>981</v>
      </c>
      <c r="C28" s="19">
        <f>IFERROR(VLOOKUP(A28,'Processing Count'!A28:E59,5,0),0)</f>
        <v>981</v>
      </c>
      <c r="D28" s="19"/>
      <c r="E28" s="19">
        <f>IFERROR(VLOOKUP(A28,'Processing Count'!A28:C59,3,0),0)</f>
        <v>0</v>
      </c>
      <c r="F28" s="19">
        <f>IFERROR(VLOOKUP(A28,'Processing Count'!A28:D59,4,0),0)</f>
        <v>0</v>
      </c>
      <c r="G28" s="19">
        <f>IFERROR(VLOOKUP(A28,'Processing Count'!A28:F59,6,0),0)</f>
        <v>0</v>
      </c>
      <c r="H28" s="19"/>
      <c r="I28" s="19"/>
      <c r="J28" s="19"/>
      <c r="K28" s="19"/>
      <c r="L28" s="19"/>
      <c r="M28" s="19"/>
    </row>
    <row r="29" spans="1:15">
      <c r="A29" s="71" t="str">
        <f>'Processing Count'!A30</f>
        <v>North Side_Processing</v>
      </c>
      <c r="B29" s="101">
        <f t="shared" si="23"/>
        <v>7186</v>
      </c>
      <c r="C29" s="19">
        <f>IFERROR(VLOOKUP(A29,'Processing Count'!A29:E60,5,0),0)</f>
        <v>0</v>
      </c>
      <c r="D29" s="19"/>
      <c r="E29" s="19">
        <f>IFERROR(VLOOKUP(A29,'Processing Count'!A29:C60,3,0),0)</f>
        <v>0</v>
      </c>
      <c r="F29" s="19">
        <f>IFERROR(VLOOKUP(A29,'Processing Count'!A29:D60,4,0),0)</f>
        <v>0</v>
      </c>
      <c r="G29" s="19">
        <f>IFERROR(VLOOKUP(A29,'Processing Count'!A29:F60,6,0),0)</f>
        <v>7186</v>
      </c>
      <c r="H29" s="19"/>
      <c r="I29" s="19"/>
      <c r="J29" s="19"/>
      <c r="K29" s="19"/>
      <c r="L29" s="19"/>
      <c r="M29" s="19"/>
    </row>
    <row r="30" spans="1:15">
      <c r="A30" s="71" t="str">
        <f>'Processing Count'!A31</f>
        <v>Penn_Processing</v>
      </c>
      <c r="B30" s="101">
        <f t="shared" si="23"/>
        <v>0</v>
      </c>
      <c r="C30" s="19">
        <f>IFERROR(VLOOKUP(A30,'Processing Count'!A30:E61,5,0),0)</f>
        <v>0</v>
      </c>
      <c r="D30" s="19"/>
      <c r="E30" s="19">
        <f>IFERROR(VLOOKUP(A30,'Processing Count'!A30:C61,3,0),0)</f>
        <v>0</v>
      </c>
      <c r="F30" s="19">
        <f>IFERROR(VLOOKUP(A30,'Processing Count'!A30:D61,4,0),0)</f>
        <v>0</v>
      </c>
      <c r="G30" s="19">
        <f>IFERROR(VLOOKUP(A30,'Processing Count'!A30:F61,6,0),0)</f>
        <v>0</v>
      </c>
      <c r="H30" s="19"/>
      <c r="I30" s="19"/>
      <c r="J30" s="19"/>
      <c r="K30" s="19"/>
      <c r="L30" s="19"/>
      <c r="M30" s="19"/>
    </row>
    <row r="31" spans="1:15">
      <c r="A31" s="71" t="str">
        <f>'Processing Count'!A32</f>
        <v>Trinity CT&amp;MI Processing</v>
      </c>
      <c r="B31" s="101">
        <f t="shared" si="23"/>
        <v>0</v>
      </c>
      <c r="C31" s="19">
        <f>IFERROR(VLOOKUP(A31,'Processing Count'!A31:E62,5,0),0)</f>
        <v>0</v>
      </c>
      <c r="D31" s="19"/>
      <c r="E31" s="19">
        <f>IFERROR(VLOOKUP(A31,'Processing Count'!A31:C62,3,0),0)</f>
        <v>0</v>
      </c>
      <c r="F31" s="19">
        <f>IFERROR(VLOOKUP(A31,'Processing Count'!A31:D62,4,0),0)</f>
        <v>0</v>
      </c>
      <c r="G31" s="19">
        <f>IFERROR(VLOOKUP(A31,'Processing Count'!A31:F62,6,0),0)</f>
        <v>0</v>
      </c>
      <c r="H31" s="19"/>
      <c r="I31" s="19"/>
      <c r="J31" s="19"/>
      <c r="K31" s="19"/>
      <c r="L31" s="19"/>
      <c r="M31" s="19"/>
    </row>
    <row r="32" spans="1:15">
      <c r="A32" s="71" t="str">
        <f>'Processing Count'!A33</f>
        <v>Trinity IHA_Processing</v>
      </c>
      <c r="B32" s="101">
        <f t="shared" si="23"/>
        <v>0</v>
      </c>
      <c r="C32" s="19">
        <f>IFERROR(VLOOKUP(A32,'Processing Count'!A32:E63,5,0),0)</f>
        <v>0</v>
      </c>
      <c r="D32" s="19"/>
      <c r="E32" s="19">
        <f>IFERROR(VLOOKUP(A32,'Processing Count'!A32:C63,3,0),0)</f>
        <v>0</v>
      </c>
      <c r="F32" s="19">
        <f>IFERROR(VLOOKUP(A32,'Processing Count'!A32:D63,4,0),0)</f>
        <v>0</v>
      </c>
      <c r="G32" s="19">
        <f>IFERROR(VLOOKUP(A32,'Processing Count'!A32:F63,6,0),0)</f>
        <v>0</v>
      </c>
      <c r="H32" s="19"/>
      <c r="I32" s="19"/>
      <c r="J32" s="19"/>
      <c r="K32" s="19"/>
      <c r="L32" s="19"/>
      <c r="M32" s="19"/>
    </row>
    <row r="33" spans="1:13">
      <c r="A33" s="71" t="str">
        <f>'Processing Count'!A34</f>
        <v>Trinity Albany _Processing</v>
      </c>
      <c r="B33" s="101">
        <f t="shared" si="23"/>
        <v>0</v>
      </c>
      <c r="C33" s="19">
        <f>IFERROR(VLOOKUP(A33,'Processing Count'!A33:E64,5,0),0)</f>
        <v>0</v>
      </c>
      <c r="D33" s="19"/>
      <c r="E33" s="19">
        <f>IFERROR(VLOOKUP(A33,'Processing Count'!A33:C64,3,0),0)</f>
        <v>0</v>
      </c>
      <c r="F33" s="19">
        <f>IFERROR(VLOOKUP(A33,'Processing Count'!A33:D64,4,0),0)</f>
        <v>0</v>
      </c>
      <c r="G33" s="19">
        <f>IFERROR(VLOOKUP(A33,'Processing Count'!A33:F64,6,0),0)</f>
        <v>0</v>
      </c>
      <c r="H33" s="19"/>
      <c r="I33" s="19"/>
      <c r="J33" s="19"/>
      <c r="K33" s="19"/>
      <c r="L33" s="19"/>
      <c r="M33" s="19"/>
    </row>
    <row r="34" spans="1:13">
      <c r="A34" s="71" t="str">
        <f>'Processing Count'!A35</f>
        <v>Corewell Processing</v>
      </c>
      <c r="B34" s="101">
        <f t="shared" si="23"/>
        <v>0</v>
      </c>
      <c r="C34" s="19">
        <f>IFERROR(VLOOKUP(A34,'Processing Count'!A34:E65,5,0),0)</f>
        <v>0</v>
      </c>
      <c r="D34" s="19"/>
      <c r="E34" s="19">
        <f>IFERROR(VLOOKUP(A34,'Processing Count'!A34:C65,3,0),0)</f>
        <v>0</v>
      </c>
      <c r="F34" s="19">
        <f>IFERROR(VLOOKUP(A34,'Processing Count'!A34:D65,4,0),0)</f>
        <v>0</v>
      </c>
      <c r="G34" s="19">
        <f>IFERROR(VLOOKUP(A34,'Processing Count'!A34:F65,6,0),0)</f>
        <v>0</v>
      </c>
      <c r="H34" s="19"/>
      <c r="I34" s="19"/>
      <c r="J34" s="19">
        <f>IFERROR(HLOOKUP(J$1,'Processing Count'!$C$27:$F$47,9,0),0)</f>
        <v>0</v>
      </c>
      <c r="K34" s="19">
        <f>IFERROR(HLOOKUP(K$1,'Processing Count'!$C$27:$F$47,9,0),0)</f>
        <v>0</v>
      </c>
      <c r="L34" s="19"/>
      <c r="M34" s="19">
        <f>IFERROR(HLOOKUP(M$1,'Processing Count'!$C$27:$F$47,9,0),0)</f>
        <v>0</v>
      </c>
    </row>
    <row r="35" spans="1:13">
      <c r="A35" s="71" t="str">
        <f>'Processing Count'!A36</f>
        <v>Trinity-Loyola Processing</v>
      </c>
      <c r="B35" s="101">
        <f t="shared" si="23"/>
        <v>292</v>
      </c>
      <c r="C35" s="19">
        <f>IFERROR(VLOOKUP(A35,'Processing Count'!A35:E66,5,0),0)</f>
        <v>292</v>
      </c>
      <c r="D35" s="19"/>
      <c r="E35" s="19">
        <f>IFERROR(VLOOKUP(A35,'Processing Count'!A35:C66,3,0),0)</f>
        <v>0</v>
      </c>
      <c r="F35" s="19">
        <f>IFERROR(VLOOKUP(A35,'Processing Count'!A35:D66,4,0),0)</f>
        <v>0</v>
      </c>
      <c r="G35" s="19">
        <f>IFERROR(VLOOKUP(A35,'Processing Count'!A35:F66,6,0),0)</f>
        <v>0</v>
      </c>
      <c r="H35" s="19"/>
      <c r="I35" s="19"/>
      <c r="J35" s="19"/>
      <c r="K35" s="19"/>
      <c r="L35" s="19"/>
      <c r="M35" s="19"/>
    </row>
    <row r="36" spans="1:13">
      <c r="A36" s="71" t="str">
        <f>'Processing Count'!A38</f>
        <v>Trinity-New England Processing</v>
      </c>
      <c r="B36" s="101">
        <f t="shared" si="23"/>
        <v>0</v>
      </c>
      <c r="C36" s="19">
        <f>IFERROR(VLOOKUP(A36,'Processing Count'!A36:E67,5,0),0)</f>
        <v>0</v>
      </c>
      <c r="D36" s="19"/>
      <c r="E36" s="19">
        <f>IFERROR(VLOOKUP(A36,'Processing Count'!A36:C67,3,0),0)</f>
        <v>0</v>
      </c>
      <c r="F36" s="19">
        <f>IFERROR(VLOOKUP(A36,'Processing Count'!A36:D67,4,0),0)</f>
        <v>0</v>
      </c>
      <c r="G36" s="19">
        <f>IFERROR(VLOOKUP(A36,'Processing Count'!A36:F67,6,0),0)</f>
        <v>0</v>
      </c>
      <c r="H36" s="19"/>
      <c r="I36" s="19"/>
      <c r="J36" s="19"/>
      <c r="K36" s="19"/>
      <c r="L36" s="19"/>
      <c r="M36" s="19"/>
    </row>
    <row r="37" spans="1:13">
      <c r="A37" s="71" t="str">
        <f>'Processing Count'!A39</f>
        <v>Tidelands Health Processing</v>
      </c>
      <c r="B37" s="101">
        <f t="shared" si="23"/>
        <v>0</v>
      </c>
      <c r="C37" s="19">
        <f>IFERROR(VLOOKUP(A37,'Processing Count'!A37:E68,5,0),0)</f>
        <v>0</v>
      </c>
      <c r="D37" s="19"/>
      <c r="E37" s="19">
        <f>IFERROR(VLOOKUP(A37,'Processing Count'!A37:C68,3,0),0)</f>
        <v>0</v>
      </c>
      <c r="F37" s="19">
        <f>IFERROR(VLOOKUP(A37,'Processing Count'!A37:D68,4,0),0)</f>
        <v>0</v>
      </c>
      <c r="G37" s="19">
        <f>IFERROR(VLOOKUP(A37,'Processing Count'!A37:F68,6,0),0)</f>
        <v>0</v>
      </c>
      <c r="H37" s="19"/>
      <c r="I37" s="19"/>
      <c r="J37" s="19"/>
      <c r="K37" s="19"/>
      <c r="L37" s="19"/>
      <c r="M37" s="19"/>
    </row>
    <row r="38" spans="1:13">
      <c r="A38" s="71" t="str">
        <f>'Processing Count'!A40</f>
        <v>Cape Cod Processing</v>
      </c>
      <c r="B38" s="101">
        <f t="shared" si="23"/>
        <v>2252</v>
      </c>
      <c r="C38" s="19">
        <f>IFERROR(VLOOKUP(A38,'Processing Count'!A38:E69,5,0),0)</f>
        <v>0</v>
      </c>
      <c r="D38" s="19"/>
      <c r="E38" s="19">
        <f>IFERROR(VLOOKUP(A38,'Processing Count'!A38:C69,3,0),0)</f>
        <v>0</v>
      </c>
      <c r="F38" s="19">
        <f>IFERROR(VLOOKUP(A38,'Processing Count'!A38:D69,4,0),0)</f>
        <v>0</v>
      </c>
      <c r="G38" s="19">
        <f>IFERROR(VLOOKUP(A38,'Processing Count'!A38:F69,6,0),0)</f>
        <v>2252</v>
      </c>
      <c r="H38" s="19"/>
      <c r="I38" s="19"/>
      <c r="J38" s="19"/>
      <c r="K38" s="19"/>
      <c r="L38" s="19"/>
      <c r="M38" s="19"/>
    </row>
    <row r="39" spans="1:13">
      <c r="A39" s="71" t="str">
        <f>'Processing Count'!A41</f>
        <v>Fairview Processing</v>
      </c>
      <c r="B39" s="101">
        <f t="shared" si="23"/>
        <v>0</v>
      </c>
      <c r="C39" s="19">
        <f>IFERROR(VLOOKUP(A39,'Processing Count'!A39:E70,5,0),0)</f>
        <v>0</v>
      </c>
      <c r="D39" s="19"/>
      <c r="E39" s="19">
        <f>IFERROR(VLOOKUP(A39,'Processing Count'!A39:C70,3,0),0)</f>
        <v>0</v>
      </c>
      <c r="F39" s="19">
        <f>IFERROR(VLOOKUP(A39,'Processing Count'!A39:D70,4,0),0)</f>
        <v>0</v>
      </c>
      <c r="G39" s="19">
        <f>IFERROR(VLOOKUP(A39,'Processing Count'!A39:F70,6,0),0)</f>
        <v>0</v>
      </c>
      <c r="H39" s="19"/>
      <c r="I39" s="19"/>
      <c r="J39" s="19"/>
      <c r="K39" s="19"/>
      <c r="L39" s="19"/>
      <c r="M39" s="19"/>
    </row>
    <row r="40" spans="1:13">
      <c r="A40" s="71" t="str">
        <f>'Processing Count'!A42</f>
        <v>Memorial health Care processing</v>
      </c>
      <c r="B40" s="101">
        <f t="shared" si="23"/>
        <v>0</v>
      </c>
      <c r="C40" s="19">
        <f>IFERROR(VLOOKUP(A40,'Processing Count'!A40:E71,5,0),0)</f>
        <v>0</v>
      </c>
      <c r="D40" s="19"/>
      <c r="E40" s="19">
        <f>IFERROR(VLOOKUP(A40,'Processing Count'!A40:C71,3,0),0)</f>
        <v>0</v>
      </c>
      <c r="F40" s="19">
        <f>IFERROR(VLOOKUP(A40,'Processing Count'!A40:D71,4,0),0)</f>
        <v>0</v>
      </c>
      <c r="G40" s="19">
        <f>IFERROR(VLOOKUP(A40,'Processing Count'!A40:F71,6,0),0)</f>
        <v>0</v>
      </c>
      <c r="H40" s="19"/>
      <c r="I40" s="19"/>
      <c r="J40" s="19"/>
      <c r="K40" s="19"/>
      <c r="L40" s="19"/>
      <c r="M40" s="19"/>
    </row>
    <row r="41" spans="1:13">
      <c r="A41" s="71" t="str">
        <f>'Processing Count'!A43</f>
        <v>Wellstar Processing</v>
      </c>
      <c r="B41" s="101">
        <f t="shared" si="23"/>
        <v>0</v>
      </c>
      <c r="C41" s="19">
        <f>IFERROR(VLOOKUP(A41,'Processing Count'!A41:E72,5,0),0)</f>
        <v>0</v>
      </c>
      <c r="D41" s="19"/>
      <c r="E41" s="19">
        <f>IFERROR(VLOOKUP(A41,'Processing Count'!A41:C72,3,0),0)</f>
        <v>0</v>
      </c>
      <c r="F41" s="19">
        <f>IFERROR(VLOOKUP(A41,'Processing Count'!A41:D72,4,0),0)</f>
        <v>0</v>
      </c>
      <c r="G41" s="19">
        <f>IFERROR(VLOOKUP(A41,'Processing Count'!A41:F72,6,0),0)</f>
        <v>0</v>
      </c>
      <c r="H41" s="19"/>
      <c r="I41" s="19"/>
      <c r="J41" s="19"/>
      <c r="K41" s="19"/>
      <c r="L41" s="19"/>
      <c r="M41" s="19"/>
    </row>
    <row r="42" spans="1:13">
      <c r="A42" s="71" t="str">
        <f>'Processing Count'!A44</f>
        <v>Franciscan Processing</v>
      </c>
      <c r="B42" s="101">
        <f t="shared" si="23"/>
        <v>0</v>
      </c>
      <c r="C42" s="19">
        <f>IFERROR(VLOOKUP(A42,'Processing Count'!A42:E73,5,0),0)</f>
        <v>0</v>
      </c>
      <c r="D42" s="19"/>
      <c r="E42" s="19">
        <f>IFERROR(VLOOKUP(A42,'Processing Count'!A42:C73,3,0),0)</f>
        <v>0</v>
      </c>
      <c r="F42" s="19">
        <f>IFERROR(VLOOKUP(A42,'Processing Count'!A42:D73,4,0),0)</f>
        <v>0</v>
      </c>
      <c r="G42" s="19">
        <f>IFERROR(VLOOKUP(A42,'Processing Count'!A42:F73,6,0),0)</f>
        <v>0</v>
      </c>
      <c r="H42" s="19"/>
      <c r="I42" s="19"/>
      <c r="J42" s="19"/>
      <c r="K42" s="19"/>
      <c r="L42" s="19"/>
      <c r="M42" s="19"/>
    </row>
    <row r="43" spans="1:13">
      <c r="A43" s="71" t="str">
        <f>'Processing Count'!A45</f>
        <v>Cox Healthcare Processing</v>
      </c>
      <c r="B43" s="101">
        <f t="shared" si="23"/>
        <v>0</v>
      </c>
      <c r="C43" s="19">
        <f>IFERROR(VLOOKUP(A43,'Processing Count'!A43:E74,5,0),0)</f>
        <v>0</v>
      </c>
      <c r="D43" s="19"/>
      <c r="E43" s="19">
        <f>IFERROR(VLOOKUP(A43,'Processing Count'!A43:C74,3,0),0)</f>
        <v>0</v>
      </c>
      <c r="F43" s="19">
        <f>IFERROR(VLOOKUP(A43,'Processing Count'!A43:D74,4,0),0)</f>
        <v>0</v>
      </c>
      <c r="G43" s="19">
        <f>IFERROR(VLOOKUP(A43,'Processing Count'!A43:F74,6,0),0)</f>
        <v>0</v>
      </c>
      <c r="H43" s="19"/>
      <c r="I43" s="19"/>
      <c r="J43" s="19"/>
      <c r="K43" s="19"/>
      <c r="L43" s="19"/>
      <c r="M43" s="19"/>
    </row>
    <row r="44" spans="1:13">
      <c r="A44" s="71" t="str">
        <f>'Processing Count'!A46</f>
        <v>TriHealth Processing</v>
      </c>
      <c r="B44" s="101">
        <f t="shared" si="23"/>
        <v>510</v>
      </c>
      <c r="C44" s="19">
        <f>IFERROR(VLOOKUP(A44,'Processing Count'!A44:E75,5,0),0)</f>
        <v>510</v>
      </c>
      <c r="D44" s="19"/>
      <c r="E44" s="19">
        <f>IFERROR(VLOOKUP(A44,'Processing Count'!A44:C75,3,0),0)</f>
        <v>0</v>
      </c>
      <c r="F44" s="19">
        <f>IFERROR(VLOOKUP(A44,'Processing Count'!A44:D75,4,0),0)</f>
        <v>0</v>
      </c>
      <c r="G44" s="19">
        <f>IFERROR(VLOOKUP(A44,'Processing Count'!A44:F75,6,0),0)</f>
        <v>0</v>
      </c>
      <c r="H44" s="19"/>
      <c r="I44" s="19"/>
      <c r="J44" s="19"/>
      <c r="K44" s="19"/>
      <c r="L44" s="19"/>
      <c r="M44" s="19"/>
    </row>
    <row r="45" spans="1:13">
      <c r="A45" s="71" t="str">
        <f>'Processing Count'!A47</f>
        <v>MRO Correspondence Project</v>
      </c>
      <c r="B45" s="101">
        <f t="shared" si="23"/>
        <v>0</v>
      </c>
      <c r="C45" s="19">
        <f>IFERROR(VLOOKUP(A45,'Processing Count'!A45:E76,5,0),0)</f>
        <v>0</v>
      </c>
      <c r="D45" s="19"/>
      <c r="E45" s="19">
        <f>IFERROR(VLOOKUP(A45,'Processing Count'!A45:C76,3,0),0)</f>
        <v>0</v>
      </c>
      <c r="F45" s="19">
        <f>IFERROR(VLOOKUP(A45,'Processing Count'!A45:D76,4,0),0)</f>
        <v>0</v>
      </c>
      <c r="G45" s="19">
        <f>IFERROR(VLOOKUP(A45,'Processing Count'!A45:F76,6,0),0)</f>
        <v>0</v>
      </c>
      <c r="H45" s="19"/>
      <c r="I45" s="19"/>
      <c r="J45" s="19"/>
      <c r="K45" s="19"/>
      <c r="L45" s="19"/>
      <c r="M45" s="19"/>
    </row>
    <row r="46" spans="1:13">
      <c r="A46" s="71" t="str">
        <f>'Processing Count'!A48</f>
        <v>MCHS Processing</v>
      </c>
      <c r="B46" s="101">
        <f t="shared" si="23"/>
        <v>0</v>
      </c>
      <c r="C46" s="19">
        <f>IFERROR(VLOOKUP(A46,'Processing Count'!A46:E77,5,0),0)</f>
        <v>0</v>
      </c>
      <c r="D46" s="19"/>
      <c r="E46" s="19">
        <f>IFERROR(VLOOKUP(A46,'Processing Count'!A46:C77,3,0),0)</f>
        <v>0</v>
      </c>
      <c r="F46" s="19">
        <f>IFERROR(VLOOKUP(A46,'Processing Count'!A46:D77,4,0),0)</f>
        <v>0</v>
      </c>
      <c r="G46" s="19">
        <f>IFERROR(VLOOKUP(A46,'Processing Count'!A46:F77,6,0),0)</f>
        <v>0</v>
      </c>
      <c r="H46" s="19"/>
      <c r="I46" s="19"/>
      <c r="J46" s="19"/>
      <c r="K46" s="19"/>
      <c r="L46" s="19"/>
      <c r="M46" s="19"/>
    </row>
    <row r="47" spans="1:13">
      <c r="A47" s="71" t="str">
        <f>'Processing Count'!A49</f>
        <v>OU Health Processing</v>
      </c>
      <c r="B47" s="101">
        <f t="shared" si="23"/>
        <v>0</v>
      </c>
      <c r="C47" s="19">
        <f>IFERROR(VLOOKUP(A47,'Processing Count'!A47:E78,5,0),0)</f>
        <v>0</v>
      </c>
      <c r="D47" s="19"/>
      <c r="E47" s="19">
        <f>IFERROR(VLOOKUP(A47,'Processing Count'!A47:C78,3,0),0)</f>
        <v>0</v>
      </c>
      <c r="F47" s="19">
        <f>IFERROR(VLOOKUP(A47,'Processing Count'!A47:D78,4,0),0)</f>
        <v>0</v>
      </c>
      <c r="G47" s="19">
        <f>IFERROR(VLOOKUP(A47,'Processing Count'!A47:F78,6,0),0)</f>
        <v>0</v>
      </c>
      <c r="H47" s="19"/>
      <c r="I47" s="19"/>
      <c r="J47" s="19"/>
      <c r="K47" s="19"/>
      <c r="L47" s="19"/>
      <c r="M47" s="19"/>
    </row>
    <row r="48" spans="1:13">
      <c r="A48" s="71" t="str">
        <f>'Processing Count'!A50</f>
        <v>Trinity Alphonsus Processing</v>
      </c>
      <c r="B48" s="101">
        <f t="shared" si="23"/>
        <v>0</v>
      </c>
      <c r="C48" s="19">
        <f>IFERROR(VLOOKUP(A48,'Processing Count'!A48:E79,5,0),0)</f>
        <v>0</v>
      </c>
      <c r="D48" s="19"/>
      <c r="E48" s="19">
        <f>IFERROR(VLOOKUP(A48,'Processing Count'!A48:C79,3,0),0)</f>
        <v>0</v>
      </c>
      <c r="F48" s="19">
        <f>IFERROR(VLOOKUP(A48,'Processing Count'!A48:D79,4,0),0)</f>
        <v>0</v>
      </c>
      <c r="G48" s="19">
        <f>IFERROR(VLOOKUP(A48,'Processing Count'!A48:F79,6,0),0)</f>
        <v>0</v>
      </c>
      <c r="H48" s="19"/>
      <c r="I48" s="19"/>
      <c r="J48" s="19"/>
      <c r="K48" s="19"/>
      <c r="L48" s="19"/>
      <c r="M48" s="19"/>
    </row>
    <row r="49" spans="1:13">
      <c r="A49" s="71" t="str">
        <f>'Processing Count'!A51</f>
        <v>Stamford Health Processing</v>
      </c>
      <c r="B49" s="101">
        <f t="shared" si="23"/>
        <v>0</v>
      </c>
      <c r="C49" s="19">
        <f>IFERROR(VLOOKUP(A49,'Processing Count'!A49:E80,5,0),0)</f>
        <v>0</v>
      </c>
      <c r="D49" s="19"/>
      <c r="E49" s="19">
        <f>IFERROR(VLOOKUP(A49,'Processing Count'!A49:C80,3,0),0)</f>
        <v>0</v>
      </c>
      <c r="F49" s="19">
        <f>IFERROR(VLOOKUP(A49,'Processing Count'!A49:D80,4,0),0)</f>
        <v>0</v>
      </c>
      <c r="G49" s="19">
        <f>IFERROR(VLOOKUP(A49,'Processing Count'!A49:F80,6,0),0)</f>
        <v>0</v>
      </c>
      <c r="H49" s="19"/>
      <c r="I49" s="19"/>
      <c r="J49" s="19"/>
      <c r="K49" s="19"/>
      <c r="L49" s="19"/>
      <c r="M49" s="19"/>
    </row>
    <row r="50" spans="1:13">
      <c r="A50" s="71" t="str">
        <f>'Processing Count'!A52</f>
        <v>Rothman Processing</v>
      </c>
      <c r="B50" s="101">
        <f t="shared" si="23"/>
        <v>224</v>
      </c>
      <c r="C50" s="19">
        <f>IFERROR(VLOOKUP(A50,'Processing Count'!A50:E81,5,0),0)</f>
        <v>0</v>
      </c>
      <c r="D50" s="19"/>
      <c r="E50" s="19">
        <f>'Processing Count'!G52</f>
        <v>224</v>
      </c>
      <c r="F50" s="19">
        <f>IFERROR(VLOOKUP(A50,'Processing Count'!A50:D81,4,0),0)</f>
        <v>0</v>
      </c>
      <c r="G50" s="19">
        <f>IFERROR(VLOOKUP(A50,'Processing Count'!A50:F81,6,0),0)</f>
        <v>0</v>
      </c>
      <c r="H50" s="19"/>
      <c r="I50" s="19"/>
      <c r="J50" s="19"/>
      <c r="K50" s="19"/>
      <c r="L50" s="19"/>
      <c r="M50" s="19"/>
    </row>
    <row r="51" spans="1:13">
      <c r="A51" s="71" t="str">
        <f>'Processing Count'!A53</f>
        <v>Christus Health-Processing</v>
      </c>
      <c r="B51" s="101">
        <f t="shared" si="23"/>
        <v>0</v>
      </c>
      <c r="C51" s="19">
        <v>0</v>
      </c>
      <c r="D51" s="19"/>
      <c r="E51" s="19">
        <f>IFERROR(VLOOKUP(A51,'Processing Count'!A51:C82,3,0),0)</f>
        <v>0</v>
      </c>
      <c r="F51" s="19">
        <f>IFERROR(VLOOKUP(A51,'Processing Count'!A51:D82,4,0),0)</f>
        <v>0</v>
      </c>
      <c r="G51" s="19">
        <f>IFERROR(VLOOKUP(A51,'Processing Count'!A51:F82,6,0),0)</f>
        <v>0</v>
      </c>
      <c r="H51" s="19"/>
      <c r="I51" s="19"/>
      <c r="J51" s="19"/>
      <c r="K51" s="19"/>
      <c r="L51" s="19"/>
      <c r="M51" s="19"/>
    </row>
    <row r="52" spans="1:13">
      <c r="A52" s="21" t="s">
        <v>233</v>
      </c>
      <c r="B52" s="179">
        <f t="shared" si="23"/>
        <v>11445</v>
      </c>
      <c r="C52" s="98">
        <f t="shared" ref="C52:M52" si="29">SUM(C27:C51)</f>
        <v>1783</v>
      </c>
      <c r="D52" s="98">
        <f t="shared" si="29"/>
        <v>0</v>
      </c>
      <c r="E52" s="98">
        <f t="shared" si="29"/>
        <v>224</v>
      </c>
      <c r="F52" s="98">
        <f t="shared" si="29"/>
        <v>0</v>
      </c>
      <c r="G52" s="98">
        <f t="shared" si="29"/>
        <v>9438</v>
      </c>
      <c r="H52" s="98">
        <f t="shared" si="29"/>
        <v>0</v>
      </c>
      <c r="I52" s="98">
        <f t="shared" si="29"/>
        <v>0</v>
      </c>
      <c r="J52" s="98">
        <f t="shared" si="29"/>
        <v>0</v>
      </c>
      <c r="K52" s="98">
        <f t="shared" si="29"/>
        <v>0</v>
      </c>
      <c r="L52" s="98">
        <f t="shared" ref="L52" si="30">SUM(L27:L51)</f>
        <v>0</v>
      </c>
      <c r="M52" s="98">
        <f t="shared" si="29"/>
        <v>0</v>
      </c>
    </row>
    <row r="53" spans="1:13">
      <c r="A53" s="21" t="s">
        <v>270</v>
      </c>
      <c r="B53" s="97">
        <v>0.5</v>
      </c>
      <c r="C53" s="86">
        <v>0.5</v>
      </c>
      <c r="D53" s="86">
        <f>C53+0</f>
        <v>0.5</v>
      </c>
      <c r="E53" s="86">
        <f t="shared" ref="E53:K53" si="31">D53+0</f>
        <v>0.5</v>
      </c>
      <c r="F53" s="86">
        <f t="shared" si="31"/>
        <v>0.5</v>
      </c>
      <c r="G53" s="86">
        <f t="shared" si="31"/>
        <v>0.5</v>
      </c>
      <c r="H53" s="86">
        <f t="shared" si="31"/>
        <v>0.5</v>
      </c>
      <c r="I53" s="86">
        <f t="shared" si="31"/>
        <v>0.5</v>
      </c>
      <c r="J53" s="86">
        <f t="shared" si="31"/>
        <v>0.5</v>
      </c>
      <c r="K53" s="86">
        <f t="shared" si="31"/>
        <v>0.5</v>
      </c>
      <c r="L53" s="86">
        <f t="shared" ref="L53" si="32">K53+0</f>
        <v>0.5</v>
      </c>
      <c r="M53" s="86">
        <f>K53+0</f>
        <v>0.5</v>
      </c>
    </row>
    <row r="54" spans="1:13">
      <c r="A54" s="21" t="s">
        <v>271</v>
      </c>
      <c r="B54" s="97">
        <f>SUM(C54:M54)</f>
        <v>5722.5</v>
      </c>
      <c r="C54" s="86">
        <f>C52*C53</f>
        <v>891.5</v>
      </c>
      <c r="D54" s="86">
        <f t="shared" ref="D54:F54" si="33">D52*D53</f>
        <v>0</v>
      </c>
      <c r="E54" s="86">
        <f t="shared" si="33"/>
        <v>112</v>
      </c>
      <c r="F54" s="86">
        <f t="shared" si="33"/>
        <v>0</v>
      </c>
      <c r="G54" s="86">
        <f t="shared" ref="G54:H54" si="34">G52*G53</f>
        <v>4719</v>
      </c>
      <c r="H54" s="86">
        <f t="shared" si="34"/>
        <v>0</v>
      </c>
      <c r="I54" s="86">
        <f t="shared" ref="I54:J54" si="35">I52*I53</f>
        <v>0</v>
      </c>
      <c r="J54" s="86">
        <f t="shared" si="35"/>
        <v>0</v>
      </c>
      <c r="K54" s="86">
        <f t="shared" ref="K54:L54" si="36">K52*K53</f>
        <v>0</v>
      </c>
      <c r="L54" s="86">
        <f t="shared" si="36"/>
        <v>0</v>
      </c>
      <c r="M54" s="86">
        <f t="shared" ref="M54" si="37">M52*M53</f>
        <v>0</v>
      </c>
    </row>
    <row r="55" spans="1:13" ht="27.6">
      <c r="A55" s="21" t="s">
        <v>272</v>
      </c>
      <c r="B55" s="178">
        <f>SUM(C55:M55)</f>
        <v>18406.25</v>
      </c>
      <c r="C55" s="100">
        <f t="shared" ref="C55:M55" si="38">SUM(C26,C54)</f>
        <v>4391.5</v>
      </c>
      <c r="D55" s="100">
        <f t="shared" si="38"/>
        <v>0</v>
      </c>
      <c r="E55" s="100">
        <f t="shared" si="38"/>
        <v>3836</v>
      </c>
      <c r="F55" s="100">
        <f t="shared" si="38"/>
        <v>3846</v>
      </c>
      <c r="G55" s="100">
        <f t="shared" si="38"/>
        <v>4781</v>
      </c>
      <c r="H55" s="100">
        <f t="shared" si="38"/>
        <v>0</v>
      </c>
      <c r="I55" s="100">
        <f t="shared" si="38"/>
        <v>0</v>
      </c>
      <c r="J55" s="100">
        <f t="shared" si="38"/>
        <v>0</v>
      </c>
      <c r="K55" s="100">
        <f t="shared" si="38"/>
        <v>0</v>
      </c>
      <c r="L55" s="100">
        <f t="shared" si="38"/>
        <v>1282</v>
      </c>
      <c r="M55" s="100">
        <f t="shared" si="38"/>
        <v>269.75</v>
      </c>
    </row>
    <row r="56" spans="1:13">
      <c r="A56" s="47" t="s">
        <v>273</v>
      </c>
      <c r="B56" s="53">
        <f>SUM(C56:M56)</f>
        <v>6838</v>
      </c>
      <c r="C56" s="50"/>
      <c r="D56" s="50"/>
      <c r="E56" s="50"/>
      <c r="F56" s="50"/>
      <c r="G56" s="50"/>
      <c r="H56" s="50"/>
      <c r="I56" s="50">
        <v>338</v>
      </c>
      <c r="J56" s="50"/>
      <c r="K56" s="50"/>
      <c r="L56" s="50"/>
      <c r="M56" s="50">
        <v>6500</v>
      </c>
    </row>
    <row r="57" spans="1:13">
      <c r="A57" s="47" t="s">
        <v>274</v>
      </c>
      <c r="B57" s="54">
        <v>0.5</v>
      </c>
      <c r="C57" s="51">
        <v>0.5</v>
      </c>
      <c r="D57" s="51">
        <f>C57+0</f>
        <v>0.5</v>
      </c>
      <c r="E57" s="51">
        <f t="shared" ref="E57:K57" si="39">D57+0</f>
        <v>0.5</v>
      </c>
      <c r="F57" s="51">
        <f t="shared" si="39"/>
        <v>0.5</v>
      </c>
      <c r="G57" s="51">
        <f t="shared" si="39"/>
        <v>0.5</v>
      </c>
      <c r="H57" s="51">
        <f t="shared" si="39"/>
        <v>0.5</v>
      </c>
      <c r="I57" s="51">
        <f t="shared" si="39"/>
        <v>0.5</v>
      </c>
      <c r="J57" s="51">
        <f t="shared" si="39"/>
        <v>0.5</v>
      </c>
      <c r="K57" s="51">
        <f t="shared" si="39"/>
        <v>0.5</v>
      </c>
      <c r="L57" s="51">
        <f t="shared" ref="L57" si="40">K57+0</f>
        <v>0.5</v>
      </c>
      <c r="M57" s="51">
        <f>K57+0</f>
        <v>0.5</v>
      </c>
    </row>
    <row r="58" spans="1:13">
      <c r="A58" s="47" t="s">
        <v>1</v>
      </c>
      <c r="B58" s="178">
        <f>SUM(C58:M58)</f>
        <v>3419</v>
      </c>
      <c r="C58" s="51">
        <f t="shared" ref="C58" si="41">C56*C57</f>
        <v>0</v>
      </c>
      <c r="D58" s="51">
        <f t="shared" ref="D58:F58" si="42">D56*D57</f>
        <v>0</v>
      </c>
      <c r="E58" s="51">
        <f t="shared" si="42"/>
        <v>0</v>
      </c>
      <c r="F58" s="51">
        <f t="shared" si="42"/>
        <v>0</v>
      </c>
      <c r="G58" s="51">
        <f t="shared" ref="G58:H58" si="43">G56*G57</f>
        <v>0</v>
      </c>
      <c r="H58" s="51">
        <f t="shared" si="43"/>
        <v>0</v>
      </c>
      <c r="I58" s="51">
        <f t="shared" ref="I58:J58" si="44">I56*I57</f>
        <v>169</v>
      </c>
      <c r="J58" s="51">
        <f t="shared" si="44"/>
        <v>0</v>
      </c>
      <c r="K58" s="51">
        <f t="shared" ref="K58:L58" si="45">K56*K57</f>
        <v>0</v>
      </c>
      <c r="L58" s="51">
        <f t="shared" si="45"/>
        <v>0</v>
      </c>
      <c r="M58" s="51">
        <f t="shared" ref="M58" si="46">M56*M57</f>
        <v>3250</v>
      </c>
    </row>
    <row r="59" spans="1:13">
      <c r="A59" s="71" t="s">
        <v>275</v>
      </c>
      <c r="B59" s="53">
        <f>SUM(C59:M59)</f>
        <v>690</v>
      </c>
      <c r="C59" s="65"/>
      <c r="D59" s="65">
        <v>569</v>
      </c>
      <c r="E59" s="65"/>
      <c r="F59" s="65"/>
      <c r="G59" s="65"/>
      <c r="H59" s="65"/>
      <c r="I59" s="65">
        <v>121</v>
      </c>
      <c r="J59" s="65"/>
      <c r="K59" s="65"/>
      <c r="L59" s="65"/>
      <c r="M59" s="65"/>
    </row>
    <row r="60" spans="1:13">
      <c r="A60" s="71" t="s">
        <v>274</v>
      </c>
      <c r="B60" s="54">
        <v>0.5</v>
      </c>
      <c r="C60" s="52">
        <v>0.5</v>
      </c>
      <c r="D60" s="52">
        <f>C60+0</f>
        <v>0.5</v>
      </c>
      <c r="E60" s="52">
        <f t="shared" ref="E60:K60" si="47">D60+0</f>
        <v>0.5</v>
      </c>
      <c r="F60" s="52">
        <f t="shared" si="47"/>
        <v>0.5</v>
      </c>
      <c r="G60" s="52">
        <f t="shared" si="47"/>
        <v>0.5</v>
      </c>
      <c r="H60" s="52">
        <f t="shared" si="47"/>
        <v>0.5</v>
      </c>
      <c r="I60" s="52">
        <f t="shared" si="47"/>
        <v>0.5</v>
      </c>
      <c r="J60" s="52">
        <f t="shared" si="47"/>
        <v>0.5</v>
      </c>
      <c r="K60" s="52">
        <f t="shared" si="47"/>
        <v>0.5</v>
      </c>
      <c r="L60" s="52">
        <f t="shared" ref="L60" si="48">K60+0</f>
        <v>0.5</v>
      </c>
      <c r="M60" s="52">
        <f>K60+0</f>
        <v>0.5</v>
      </c>
    </row>
    <row r="61" spans="1:13">
      <c r="A61" s="71" t="s">
        <v>1</v>
      </c>
      <c r="B61" s="178">
        <f>SUM(C61:M61)</f>
        <v>345</v>
      </c>
      <c r="C61" s="100">
        <f>C58*C60</f>
        <v>0</v>
      </c>
      <c r="D61" s="100">
        <f t="shared" ref="D61" si="49">D59*D60</f>
        <v>284.5</v>
      </c>
      <c r="E61" s="100">
        <f t="shared" ref="E61:F61" si="50">E59*E60</f>
        <v>0</v>
      </c>
      <c r="F61" s="100">
        <f t="shared" si="50"/>
        <v>0</v>
      </c>
      <c r="G61" s="100">
        <f t="shared" ref="G61:H61" si="51">G59*G60</f>
        <v>0</v>
      </c>
      <c r="H61" s="100">
        <f t="shared" si="51"/>
        <v>0</v>
      </c>
      <c r="I61" s="100">
        <f t="shared" ref="I61:J61" si="52">I59*I60</f>
        <v>60.5</v>
      </c>
      <c r="J61" s="100">
        <f t="shared" si="52"/>
        <v>0</v>
      </c>
      <c r="K61" s="100">
        <f t="shared" ref="K61:L61" si="53">K59*K60</f>
        <v>0</v>
      </c>
      <c r="L61" s="100">
        <f t="shared" si="53"/>
        <v>0</v>
      </c>
      <c r="M61" s="100">
        <f t="shared" ref="M61" si="54">M59*M60</f>
        <v>0</v>
      </c>
    </row>
  </sheetData>
  <pageMargins left="0.7" right="0.7" top="0.75" bottom="0.75" header="0.3" footer="0.3"/>
  <ignoredErrors>
    <ignoredError sqref="D22 D24 D20 E20:J20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B832-6B81-47FC-A165-465E80B1C88A}">
  <dimension ref="A1:GZ70"/>
  <sheetViews>
    <sheetView zoomScale="90" zoomScaleNormal="90" workbookViewId="0">
      <pane xSplit="7" ySplit="1" topLeftCell="H34" activePane="bottomRight" state="frozen"/>
      <selection pane="bottomRight" activeCell="A52" sqref="A52"/>
      <selection pane="bottomLeft" activeCell="A2" sqref="A2"/>
      <selection pane="topRight" activeCell="H1" sqref="H1"/>
    </sheetView>
  </sheetViews>
  <sheetFormatPr defaultColWidth="22.7109375" defaultRowHeight="13.9"/>
  <cols>
    <col min="1" max="1" width="34.85546875" style="172" bestFit="1" customWidth="1"/>
    <col min="2" max="2" width="6.42578125" style="172" bestFit="1" customWidth="1"/>
    <col min="3" max="3" width="6.7109375" style="172" bestFit="1" customWidth="1"/>
    <col min="4" max="4" width="9.7109375" style="172" bestFit="1" customWidth="1"/>
    <col min="5" max="5" width="5.7109375" style="172" bestFit="1" customWidth="1"/>
    <col min="6" max="6" width="8.5703125" style="172" bestFit="1" customWidth="1"/>
    <col min="7" max="7" width="11.140625" style="172" bestFit="1" customWidth="1"/>
    <col min="8" max="8" width="5.7109375" style="172" bestFit="1" customWidth="1"/>
    <col min="9" max="9" width="12.7109375" style="172" bestFit="1" customWidth="1"/>
    <col min="10" max="11" width="10.7109375" style="172" bestFit="1" customWidth="1"/>
    <col min="12" max="12" width="8.85546875" style="172" bestFit="1" customWidth="1"/>
    <col min="13" max="13" width="9.28515625" style="172" bestFit="1" customWidth="1"/>
    <col min="14" max="14" width="13" style="172" bestFit="1" customWidth="1"/>
    <col min="15" max="15" width="15.5703125" style="172" bestFit="1" customWidth="1"/>
    <col min="16" max="16" width="10.7109375" style="172" bestFit="1" customWidth="1"/>
    <col min="17" max="17" width="10.85546875" style="172" bestFit="1" customWidth="1"/>
    <col min="18" max="18" width="11.28515625" style="172" bestFit="1" customWidth="1"/>
    <col min="19" max="19" width="10.85546875" style="172" bestFit="1" customWidth="1"/>
    <col min="20" max="20" width="15.28515625" style="172" bestFit="1" customWidth="1"/>
    <col min="21" max="21" width="9.7109375" style="172" bestFit="1" customWidth="1"/>
    <col min="22" max="22" width="11.42578125" style="172" bestFit="1" customWidth="1"/>
    <col min="23" max="23" width="11.85546875" style="172" bestFit="1" customWidth="1"/>
    <col min="24" max="24" width="16.85546875" style="172" bestFit="1" customWidth="1"/>
    <col min="25" max="25" width="13.140625" style="172" bestFit="1" customWidth="1"/>
    <col min="26" max="26" width="22" style="172" bestFit="1" customWidth="1"/>
    <col min="27" max="27" width="11.7109375" style="172" bestFit="1" customWidth="1"/>
    <col min="28" max="28" width="13" style="172" bestFit="1" customWidth="1"/>
    <col min="29" max="29" width="19.42578125" style="172" bestFit="1" customWidth="1"/>
    <col min="30" max="30" width="12.42578125" style="172" bestFit="1" customWidth="1"/>
    <col min="31" max="31" width="13.28515625" style="172" bestFit="1" customWidth="1"/>
    <col min="32" max="32" width="13.85546875" style="172" bestFit="1" customWidth="1"/>
    <col min="33" max="33" width="18.140625" style="172" bestFit="1" customWidth="1"/>
    <col min="34" max="34" width="11.28515625" style="172" bestFit="1" customWidth="1"/>
    <col min="35" max="35" width="13.5703125" style="172" bestFit="1" customWidth="1"/>
    <col min="36" max="36" width="9.42578125" style="172" bestFit="1" customWidth="1"/>
    <col min="37" max="37" width="16" style="172" bestFit="1" customWidth="1"/>
    <col min="38" max="38" width="15.85546875" style="172" bestFit="1" customWidth="1"/>
    <col min="39" max="39" width="11.140625" style="172" bestFit="1" customWidth="1"/>
    <col min="40" max="40" width="21" style="172" bestFit="1" customWidth="1"/>
    <col min="41" max="41" width="17.28515625" style="172" bestFit="1" customWidth="1"/>
    <col min="42" max="42" width="8.28515625" style="172" bestFit="1" customWidth="1"/>
    <col min="43" max="43" width="18.7109375" style="172" bestFit="1" customWidth="1"/>
    <col min="44" max="44" width="8.7109375" style="172" bestFit="1" customWidth="1"/>
    <col min="45" max="45" width="12" style="172" bestFit="1" customWidth="1"/>
    <col min="46" max="46" width="13.7109375" style="172" bestFit="1" customWidth="1"/>
    <col min="47" max="47" width="9.7109375" style="172" bestFit="1" customWidth="1"/>
    <col min="48" max="48" width="12.28515625" style="172" bestFit="1" customWidth="1"/>
    <col min="49" max="49" width="10.28515625" style="172" bestFit="1" customWidth="1"/>
    <col min="50" max="50" width="8.7109375" style="172" bestFit="1" customWidth="1"/>
    <col min="51" max="51" width="7.7109375" style="172" bestFit="1" customWidth="1"/>
    <col min="52" max="52" width="13.5703125" style="172" bestFit="1" customWidth="1"/>
    <col min="53" max="53" width="14.28515625" style="172" bestFit="1" customWidth="1"/>
    <col min="54" max="54" width="26.7109375" style="172" bestFit="1" customWidth="1"/>
    <col min="55" max="55" width="13.140625" style="172" bestFit="1" customWidth="1"/>
    <col min="56" max="56" width="14.140625" style="172" bestFit="1" customWidth="1"/>
    <col min="57" max="57" width="12.42578125" style="172" bestFit="1" customWidth="1"/>
    <col min="58" max="58" width="11" style="172" bestFit="1" customWidth="1"/>
    <col min="59" max="59" width="8.28515625" style="172" bestFit="1" customWidth="1"/>
    <col min="60" max="60" width="10.5703125" style="172" bestFit="1" customWidth="1"/>
    <col min="61" max="61" width="19.85546875" style="172" bestFit="1" customWidth="1"/>
    <col min="62" max="62" width="7.7109375" style="172" bestFit="1" customWidth="1"/>
    <col min="63" max="63" width="12" style="172" bestFit="1" customWidth="1"/>
    <col min="64" max="64" width="7.5703125" style="172" bestFit="1" customWidth="1"/>
    <col min="65" max="65" width="19.140625" style="172" bestFit="1" customWidth="1"/>
    <col min="66" max="66" width="12.7109375" style="172" bestFit="1" customWidth="1"/>
    <col min="67" max="67" width="12.5703125" style="172" bestFit="1" customWidth="1"/>
    <col min="68" max="68" width="11.5703125" style="172" bestFit="1" customWidth="1"/>
    <col min="69" max="69" width="16.42578125" style="172" bestFit="1" customWidth="1"/>
    <col min="70" max="70" width="8.7109375" style="172" bestFit="1" customWidth="1"/>
    <col min="71" max="71" width="19.140625" style="172" bestFit="1" customWidth="1"/>
    <col min="72" max="72" width="19" style="172" bestFit="1" customWidth="1"/>
    <col min="73" max="73" width="13" style="172" bestFit="1" customWidth="1"/>
    <col min="74" max="74" width="12.7109375" style="172" bestFit="1" customWidth="1"/>
    <col min="75" max="75" width="10.28515625" style="172" bestFit="1" customWidth="1"/>
    <col min="76" max="76" width="13.140625" style="172" bestFit="1" customWidth="1"/>
    <col min="77" max="77" width="18" style="172" bestFit="1" customWidth="1"/>
    <col min="78" max="78" width="8.7109375" style="172" bestFit="1" customWidth="1"/>
    <col min="79" max="79" width="14.7109375" style="172" bestFit="1" customWidth="1"/>
    <col min="80" max="80" width="21" style="172" bestFit="1" customWidth="1"/>
    <col min="81" max="81" width="12.7109375" style="172" bestFit="1" customWidth="1"/>
    <col min="82" max="82" width="10.140625" style="172" bestFit="1" customWidth="1"/>
    <col min="83" max="83" width="11.5703125" style="172" bestFit="1" customWidth="1"/>
    <col min="84" max="84" width="10.42578125" style="172" bestFit="1" customWidth="1"/>
    <col min="85" max="85" width="12.140625" style="172" bestFit="1" customWidth="1"/>
    <col min="86" max="86" width="16.7109375" style="172" bestFit="1" customWidth="1"/>
    <col min="87" max="87" width="10.7109375" style="172" bestFit="1" customWidth="1"/>
    <col min="88" max="88" width="10.42578125" style="172" bestFit="1" customWidth="1"/>
    <col min="89" max="89" width="11.28515625" style="172" bestFit="1" customWidth="1"/>
    <col min="90" max="90" width="18" style="172" bestFit="1" customWidth="1"/>
    <col min="91" max="91" width="9.28515625" style="172" bestFit="1" customWidth="1"/>
    <col min="92" max="92" width="12.7109375" style="172" bestFit="1" customWidth="1"/>
    <col min="93" max="93" width="13.7109375" style="172" bestFit="1" customWidth="1"/>
    <col min="94" max="94" width="10" style="172" bestFit="1" customWidth="1"/>
    <col min="95" max="95" width="8.85546875" style="172" bestFit="1" customWidth="1"/>
    <col min="96" max="96" width="20" style="172" bestFit="1" customWidth="1"/>
    <col min="97" max="97" width="22.5703125" style="172" bestFit="1" customWidth="1"/>
    <col min="98" max="98" width="10.85546875" style="172" bestFit="1" customWidth="1"/>
    <col min="99" max="99" width="12.140625" style="172" bestFit="1" customWidth="1"/>
    <col min="100" max="100" width="13.5703125" style="172" bestFit="1" customWidth="1"/>
    <col min="101" max="101" width="20.5703125" style="172" bestFit="1" customWidth="1"/>
    <col min="102" max="102" width="22.140625" style="172" bestFit="1" customWidth="1"/>
    <col min="103" max="103" width="11.85546875" style="172" bestFit="1" customWidth="1"/>
    <col min="104" max="104" width="11.140625" style="172" bestFit="1" customWidth="1"/>
    <col min="105" max="105" width="21.28515625" style="172" bestFit="1" customWidth="1"/>
    <col min="106" max="106" width="19.85546875" style="172" bestFit="1" customWidth="1"/>
    <col min="107" max="107" width="9.42578125" style="172" bestFit="1" customWidth="1"/>
    <col min="108" max="108" width="10.5703125" style="172" bestFit="1" customWidth="1"/>
    <col min="109" max="109" width="15.85546875" style="172" bestFit="1" customWidth="1"/>
    <col min="110" max="110" width="13.28515625" style="172" bestFit="1" customWidth="1"/>
    <col min="111" max="111" width="10" style="172" bestFit="1" customWidth="1"/>
    <col min="112" max="112" width="16.140625" style="172" bestFit="1" customWidth="1"/>
    <col min="113" max="113" width="18.85546875" style="172" bestFit="1" customWidth="1"/>
    <col min="114" max="114" width="14.42578125" style="172" bestFit="1" customWidth="1"/>
    <col min="115" max="115" width="11.85546875" style="172" bestFit="1" customWidth="1"/>
    <col min="116" max="116" width="21.42578125" style="172" bestFit="1" customWidth="1"/>
    <col min="117" max="117" width="14.5703125" style="172" bestFit="1" customWidth="1"/>
    <col min="118" max="118" width="17.7109375" style="172" bestFit="1" customWidth="1"/>
    <col min="119" max="119" width="8.7109375" style="172" bestFit="1" customWidth="1"/>
    <col min="120" max="120" width="12.7109375" style="172" bestFit="1" customWidth="1"/>
    <col min="121" max="121" width="16.85546875" style="172" bestFit="1" customWidth="1"/>
    <col min="122" max="122" width="13.85546875" style="172" bestFit="1" customWidth="1"/>
    <col min="123" max="123" width="11" style="172" bestFit="1" customWidth="1"/>
    <col min="124" max="124" width="16.140625" style="172" bestFit="1" customWidth="1"/>
    <col min="125" max="125" width="26.5703125" style="172" bestFit="1" customWidth="1"/>
    <col min="126" max="126" width="17.42578125" style="172" bestFit="1" customWidth="1"/>
    <col min="127" max="127" width="19.42578125" style="172" bestFit="1" customWidth="1"/>
    <col min="128" max="128" width="15" style="172" bestFit="1" customWidth="1"/>
    <col min="129" max="129" width="19.28515625" style="172" bestFit="1" customWidth="1"/>
    <col min="130" max="130" width="9.140625" style="172" bestFit="1" customWidth="1"/>
    <col min="131" max="131" width="10.28515625" style="172" bestFit="1" customWidth="1"/>
    <col min="132" max="132" width="13.28515625" style="172" bestFit="1" customWidth="1"/>
    <col min="133" max="133" width="12.7109375" style="172" bestFit="1" customWidth="1"/>
    <col min="134" max="134" width="9.42578125" style="172" bestFit="1" customWidth="1"/>
    <col min="135" max="135" width="12.28515625" style="172" bestFit="1" customWidth="1"/>
    <col min="136" max="136" width="17.28515625" style="172" bestFit="1" customWidth="1"/>
    <col min="137" max="137" width="11.85546875" style="172" bestFit="1" customWidth="1"/>
    <col min="138" max="138" width="22.42578125" style="172" bestFit="1" customWidth="1"/>
    <col min="139" max="139" width="12.5703125" style="172" bestFit="1" customWidth="1"/>
    <col min="140" max="140" width="11" style="172" bestFit="1" customWidth="1"/>
    <col min="141" max="141" width="8.28515625" style="172" bestFit="1" customWidth="1"/>
    <col min="142" max="142" width="10.28515625" style="172" bestFit="1" customWidth="1"/>
    <col min="143" max="143" width="9.85546875" style="172" bestFit="1" customWidth="1"/>
    <col min="144" max="144" width="9.28515625" style="172" bestFit="1" customWidth="1"/>
    <col min="145" max="145" width="16.140625" style="172" bestFit="1" customWidth="1"/>
    <col min="146" max="146" width="15.28515625" style="172" bestFit="1" customWidth="1"/>
    <col min="147" max="147" width="11.85546875" style="172" bestFit="1" customWidth="1"/>
    <col min="148" max="148" width="12.140625" style="172" bestFit="1" customWidth="1"/>
    <col min="149" max="149" width="12.42578125" style="172" bestFit="1" customWidth="1"/>
    <col min="150" max="150" width="14.7109375" style="172" bestFit="1" customWidth="1"/>
    <col min="151" max="151" width="10.5703125" style="172" bestFit="1" customWidth="1"/>
    <col min="152" max="152" width="12.42578125" style="172" bestFit="1" customWidth="1"/>
    <col min="153" max="153" width="17.5703125" style="172" bestFit="1" customWidth="1"/>
    <col min="154" max="154" width="12.5703125" style="172" bestFit="1" customWidth="1"/>
    <col min="155" max="155" width="14.5703125" style="172" bestFit="1" customWidth="1"/>
    <col min="156" max="156" width="16.7109375" style="172" bestFit="1" customWidth="1"/>
    <col min="157" max="157" width="13.7109375" style="172" bestFit="1" customWidth="1"/>
    <col min="158" max="158" width="16" style="172" bestFit="1" customWidth="1"/>
    <col min="159" max="159" width="11.28515625" style="172" bestFit="1" customWidth="1"/>
    <col min="160" max="160" width="13.7109375" style="172" bestFit="1" customWidth="1"/>
    <col min="161" max="161" width="16.42578125" style="172" bestFit="1" customWidth="1"/>
    <col min="162" max="162" width="12.7109375" style="172" bestFit="1" customWidth="1"/>
    <col min="163" max="163" width="10.85546875" style="172" bestFit="1" customWidth="1"/>
    <col min="164" max="164" width="10.5703125" style="172" bestFit="1" customWidth="1"/>
    <col min="165" max="165" width="9.7109375" style="172" bestFit="1" customWidth="1"/>
    <col min="166" max="166" width="10.85546875" style="172" bestFit="1" customWidth="1"/>
    <col min="167" max="167" width="16.140625" style="172" bestFit="1" customWidth="1"/>
    <col min="168" max="168" width="12.5703125" style="172" bestFit="1" customWidth="1"/>
    <col min="169" max="169" width="12.7109375" style="172" bestFit="1" customWidth="1"/>
    <col min="170" max="170" width="11.7109375" style="172" bestFit="1" customWidth="1"/>
    <col min="171" max="171" width="7.7109375" style="172" bestFit="1" customWidth="1"/>
    <col min="172" max="172" width="10.28515625" style="172" bestFit="1" customWidth="1"/>
    <col min="173" max="173" width="11.5703125" style="172" bestFit="1" customWidth="1"/>
    <col min="174" max="174" width="21.28515625" style="172" bestFit="1" customWidth="1"/>
    <col min="175" max="175" width="14.28515625" style="172" bestFit="1" customWidth="1"/>
    <col min="176" max="176" width="15.7109375" style="172" bestFit="1" customWidth="1"/>
    <col min="177" max="177" width="20.28515625" style="172" bestFit="1" customWidth="1"/>
    <col min="178" max="178" width="12.28515625" style="172" bestFit="1" customWidth="1"/>
    <col min="179" max="179" width="16.5703125" style="172" bestFit="1" customWidth="1"/>
    <col min="180" max="180" width="11.28515625" style="172" bestFit="1" customWidth="1"/>
    <col min="181" max="181" width="9.28515625" style="172" bestFit="1" customWidth="1"/>
    <col min="182" max="182" width="9.42578125" style="172" bestFit="1" customWidth="1"/>
    <col min="183" max="183" width="10.140625" style="172" bestFit="1" customWidth="1"/>
    <col min="184" max="184" width="19.42578125" style="172" bestFit="1" customWidth="1"/>
    <col min="185" max="185" width="10.140625" style="172" bestFit="1" customWidth="1"/>
    <col min="186" max="186" width="10.5703125" style="172" bestFit="1" customWidth="1"/>
    <col min="187" max="187" width="10.140625" style="172" bestFit="1" customWidth="1"/>
    <col min="188" max="188" width="8.85546875" style="172" bestFit="1" customWidth="1"/>
    <col min="189" max="189" width="11.7109375" style="172" bestFit="1" customWidth="1"/>
    <col min="190" max="190" width="8.7109375" style="172" bestFit="1" customWidth="1"/>
    <col min="191" max="191" width="20.28515625" style="172" bestFit="1" customWidth="1"/>
    <col min="192" max="192" width="16" style="172" bestFit="1" customWidth="1"/>
    <col min="193" max="193" width="23.7109375" style="172" bestFit="1" customWidth="1"/>
    <col min="194" max="194" width="19.28515625" style="172" bestFit="1" customWidth="1"/>
    <col min="195" max="195" width="17.85546875" style="172" bestFit="1" customWidth="1"/>
    <col min="196" max="196" width="12.28515625" style="172" bestFit="1" customWidth="1"/>
    <col min="197" max="197" width="9.7109375" style="172" bestFit="1" customWidth="1"/>
    <col min="198" max="198" width="10.42578125" style="172" bestFit="1" customWidth="1"/>
    <col min="199" max="199" width="10.140625" style="172" bestFit="1" customWidth="1"/>
    <col min="200" max="200" width="11.5703125" style="172" bestFit="1" customWidth="1"/>
    <col min="201" max="201" width="17" style="172" bestFit="1" customWidth="1"/>
    <col min="202" max="202" width="18" style="172" bestFit="1" customWidth="1"/>
    <col min="203" max="203" width="11" style="172" bestFit="1" customWidth="1"/>
    <col min="204" max="204" width="15.42578125" style="172" bestFit="1" customWidth="1"/>
    <col min="205" max="205" width="8.7109375" style="172" bestFit="1" customWidth="1"/>
    <col min="206" max="208" width="5.7109375" style="172" bestFit="1" customWidth="1"/>
    <col min="209" max="16384" width="22.7109375" style="172"/>
  </cols>
  <sheetData>
    <row r="1" spans="1:208">
      <c r="A1" s="87" t="s">
        <v>276</v>
      </c>
      <c r="B1" s="87" t="s">
        <v>277</v>
      </c>
      <c r="C1" s="87" t="s">
        <v>278</v>
      </c>
      <c r="D1" s="87" t="s">
        <v>279</v>
      </c>
      <c r="E1" s="87" t="s">
        <v>4</v>
      </c>
      <c r="F1" s="87" t="s">
        <v>280</v>
      </c>
      <c r="G1" s="87" t="s">
        <v>202</v>
      </c>
      <c r="H1" s="145" t="s">
        <v>4</v>
      </c>
      <c r="I1" s="145" t="s">
        <v>5</v>
      </c>
      <c r="J1" s="145" t="s">
        <v>6</v>
      </c>
      <c r="K1" s="145" t="s">
        <v>7</v>
      </c>
      <c r="L1" s="145" t="s">
        <v>8</v>
      </c>
      <c r="M1" s="145" t="s">
        <v>9</v>
      </c>
      <c r="N1" s="145" t="s">
        <v>10</v>
      </c>
      <c r="O1" s="145" t="s">
        <v>11</v>
      </c>
      <c r="P1" s="145" t="s">
        <v>12</v>
      </c>
      <c r="Q1" s="145" t="s">
        <v>13</v>
      </c>
      <c r="R1" s="145" t="s">
        <v>14</v>
      </c>
      <c r="S1" s="145" t="s">
        <v>15</v>
      </c>
      <c r="T1" s="145" t="s">
        <v>16</v>
      </c>
      <c r="U1" s="145" t="s">
        <v>17</v>
      </c>
      <c r="V1" s="145" t="s">
        <v>18</v>
      </c>
      <c r="W1" s="145" t="s">
        <v>19</v>
      </c>
      <c r="X1" s="145" t="s">
        <v>20</v>
      </c>
      <c r="Y1" s="145" t="s">
        <v>21</v>
      </c>
      <c r="Z1" s="145" t="s">
        <v>22</v>
      </c>
      <c r="AA1" s="145" t="s">
        <v>23</v>
      </c>
      <c r="AB1" s="145" t="s">
        <v>24</v>
      </c>
      <c r="AC1" s="145" t="s">
        <v>25</v>
      </c>
      <c r="AD1" s="145" t="s">
        <v>26</v>
      </c>
      <c r="AE1" s="145" t="s">
        <v>27</v>
      </c>
      <c r="AF1" s="145" t="s">
        <v>28</v>
      </c>
      <c r="AG1" s="145" t="s">
        <v>29</v>
      </c>
      <c r="AH1" s="152" t="s">
        <v>30</v>
      </c>
      <c r="AI1" s="145" t="s">
        <v>31</v>
      </c>
      <c r="AJ1" s="145" t="s">
        <v>32</v>
      </c>
      <c r="AK1" s="145" t="s">
        <v>33</v>
      </c>
      <c r="AL1" s="145" t="s">
        <v>34</v>
      </c>
      <c r="AM1" s="145" t="s">
        <v>35</v>
      </c>
      <c r="AN1" s="145" t="s">
        <v>36</v>
      </c>
      <c r="AO1" s="145" t="s">
        <v>37</v>
      </c>
      <c r="AP1" s="145" t="s">
        <v>38</v>
      </c>
      <c r="AQ1" s="145" t="s">
        <v>39</v>
      </c>
      <c r="AR1" s="145" t="s">
        <v>40</v>
      </c>
      <c r="AS1" s="145" t="s">
        <v>41</v>
      </c>
      <c r="AT1" s="145" t="s">
        <v>42</v>
      </c>
      <c r="AU1" s="145" t="s">
        <v>43</v>
      </c>
      <c r="AV1" s="145" t="s">
        <v>44</v>
      </c>
      <c r="AW1" s="145" t="s">
        <v>45</v>
      </c>
      <c r="AX1" s="145" t="s">
        <v>46</v>
      </c>
      <c r="AY1" s="145" t="s">
        <v>47</v>
      </c>
      <c r="AZ1" s="145" t="s">
        <v>48</v>
      </c>
      <c r="BA1" s="145" t="s">
        <v>49</v>
      </c>
      <c r="BB1" s="145" t="s">
        <v>50</v>
      </c>
      <c r="BC1" s="145" t="s">
        <v>51</v>
      </c>
      <c r="BD1" s="145" t="s">
        <v>52</v>
      </c>
      <c r="BE1" s="145" t="s">
        <v>53</v>
      </c>
      <c r="BF1" s="145" t="s">
        <v>54</v>
      </c>
      <c r="BG1" s="145" t="s">
        <v>55</v>
      </c>
      <c r="BH1" s="145" t="s">
        <v>56</v>
      </c>
      <c r="BI1" s="145" t="s">
        <v>57</v>
      </c>
      <c r="BJ1" s="145" t="s">
        <v>58</v>
      </c>
      <c r="BK1" s="145" t="s">
        <v>59</v>
      </c>
      <c r="BL1" s="145" t="s">
        <v>60</v>
      </c>
      <c r="BM1" s="145" t="s">
        <v>61</v>
      </c>
      <c r="BN1" s="145" t="s">
        <v>62</v>
      </c>
      <c r="BO1" s="145" t="s">
        <v>63</v>
      </c>
      <c r="BP1" s="145" t="s">
        <v>64</v>
      </c>
      <c r="BQ1" s="145" t="s">
        <v>65</v>
      </c>
      <c r="BR1" s="145" t="s">
        <v>66</v>
      </c>
      <c r="BS1" s="145" t="s">
        <v>67</v>
      </c>
      <c r="BT1" s="145" t="s">
        <v>68</v>
      </c>
      <c r="BU1" s="145" t="s">
        <v>69</v>
      </c>
      <c r="BV1" s="145" t="s">
        <v>70</v>
      </c>
      <c r="BW1" s="145" t="s">
        <v>71</v>
      </c>
      <c r="BX1" s="145" t="s">
        <v>72</v>
      </c>
      <c r="BY1" s="145" t="s">
        <v>73</v>
      </c>
      <c r="BZ1" s="145" t="s">
        <v>74</v>
      </c>
      <c r="CA1" s="145" t="s">
        <v>75</v>
      </c>
      <c r="CB1" s="145" t="s">
        <v>76</v>
      </c>
      <c r="CC1" s="145" t="s">
        <v>77</v>
      </c>
      <c r="CD1" s="145" t="s">
        <v>78</v>
      </c>
      <c r="CE1" s="145" t="s">
        <v>79</v>
      </c>
      <c r="CF1" s="145" t="s">
        <v>80</v>
      </c>
      <c r="CG1" s="145" t="s">
        <v>81</v>
      </c>
      <c r="CH1" s="145" t="s">
        <v>82</v>
      </c>
      <c r="CI1" s="145" t="s">
        <v>83</v>
      </c>
      <c r="CJ1" s="145" t="s">
        <v>84</v>
      </c>
      <c r="CK1" s="145" t="s">
        <v>85</v>
      </c>
      <c r="CL1" s="145" t="s">
        <v>86</v>
      </c>
      <c r="CM1" s="145" t="s">
        <v>87</v>
      </c>
      <c r="CN1" s="145" t="s">
        <v>88</v>
      </c>
      <c r="CO1" s="145" t="s">
        <v>89</v>
      </c>
      <c r="CP1" s="145" t="s">
        <v>90</v>
      </c>
      <c r="CQ1" s="145" t="s">
        <v>91</v>
      </c>
      <c r="CR1" s="145" t="s">
        <v>92</v>
      </c>
      <c r="CS1" s="145" t="s">
        <v>93</v>
      </c>
      <c r="CT1" s="145" t="s">
        <v>94</v>
      </c>
      <c r="CU1" s="145" t="s">
        <v>95</v>
      </c>
      <c r="CV1" s="145" t="s">
        <v>96</v>
      </c>
      <c r="CW1" s="145" t="s">
        <v>97</v>
      </c>
      <c r="CX1" s="145" t="s">
        <v>98</v>
      </c>
      <c r="CY1" s="145" t="s">
        <v>99</v>
      </c>
      <c r="CZ1" s="145" t="s">
        <v>100</v>
      </c>
      <c r="DA1" s="145" t="s">
        <v>101</v>
      </c>
      <c r="DB1" s="145" t="s">
        <v>102</v>
      </c>
      <c r="DC1" s="145" t="s">
        <v>103</v>
      </c>
      <c r="DD1" s="145" t="s">
        <v>104</v>
      </c>
      <c r="DE1" s="145" t="s">
        <v>105</v>
      </c>
      <c r="DF1" s="145" t="s">
        <v>106</v>
      </c>
      <c r="DG1" s="145" t="s">
        <v>107</v>
      </c>
      <c r="DH1" s="145" t="s">
        <v>108</v>
      </c>
      <c r="DI1" s="145" t="s">
        <v>109</v>
      </c>
      <c r="DJ1" s="145" t="s">
        <v>110</v>
      </c>
      <c r="DK1" s="145" t="s">
        <v>111</v>
      </c>
      <c r="DL1" s="145" t="s">
        <v>112</v>
      </c>
      <c r="DM1" s="145" t="s">
        <v>113</v>
      </c>
      <c r="DN1" s="145" t="s">
        <v>114</v>
      </c>
      <c r="DO1" s="145" t="s">
        <v>115</v>
      </c>
      <c r="DP1" s="145" t="s">
        <v>116</v>
      </c>
      <c r="DQ1" s="145" t="s">
        <v>117</v>
      </c>
      <c r="DR1" s="145" t="s">
        <v>118</v>
      </c>
      <c r="DS1" s="145" t="s">
        <v>119</v>
      </c>
      <c r="DT1" s="145" t="s">
        <v>120</v>
      </c>
      <c r="DU1" s="145" t="s">
        <v>121</v>
      </c>
      <c r="DV1" s="145" t="s">
        <v>122</v>
      </c>
      <c r="DW1" s="145" t="s">
        <v>123</v>
      </c>
      <c r="DX1" s="145" t="s">
        <v>124</v>
      </c>
      <c r="DY1" s="145" t="s">
        <v>125</v>
      </c>
      <c r="DZ1" s="145" t="s">
        <v>126</v>
      </c>
      <c r="EA1" s="145" t="s">
        <v>127</v>
      </c>
      <c r="EB1" s="145" t="s">
        <v>128</v>
      </c>
      <c r="EC1" s="145" t="s">
        <v>129</v>
      </c>
      <c r="ED1" s="145" t="s">
        <v>130</v>
      </c>
      <c r="EE1" s="145" t="s">
        <v>131</v>
      </c>
      <c r="EF1" s="145" t="s">
        <v>132</v>
      </c>
      <c r="EG1" s="145" t="s">
        <v>133</v>
      </c>
      <c r="EH1" s="145" t="s">
        <v>134</v>
      </c>
      <c r="EI1" s="145" t="s">
        <v>135</v>
      </c>
      <c r="EJ1" s="145" t="s">
        <v>136</v>
      </c>
      <c r="EK1" s="145" t="s">
        <v>137</v>
      </c>
      <c r="EL1" s="145" t="s">
        <v>138</v>
      </c>
      <c r="EM1" s="145" t="s">
        <v>139</v>
      </c>
      <c r="EN1" s="145" t="s">
        <v>140</v>
      </c>
      <c r="EO1" s="145" t="s">
        <v>141</v>
      </c>
      <c r="EP1" s="145" t="s">
        <v>142</v>
      </c>
      <c r="EQ1" s="145" t="s">
        <v>143</v>
      </c>
      <c r="ER1" s="145" t="s">
        <v>144</v>
      </c>
      <c r="ES1" s="145" t="s">
        <v>145</v>
      </c>
      <c r="ET1" s="145" t="s">
        <v>146</v>
      </c>
      <c r="EU1" s="145" t="s">
        <v>147</v>
      </c>
      <c r="EV1" s="145" t="s">
        <v>148</v>
      </c>
      <c r="EW1" s="145" t="s">
        <v>149</v>
      </c>
      <c r="EX1" s="145" t="s">
        <v>150</v>
      </c>
      <c r="EY1" s="145" t="s">
        <v>151</v>
      </c>
      <c r="EZ1" s="145" t="s">
        <v>152</v>
      </c>
      <c r="FA1" s="145" t="s">
        <v>153</v>
      </c>
      <c r="FB1" s="145" t="s">
        <v>154</v>
      </c>
      <c r="FC1" s="145" t="s">
        <v>155</v>
      </c>
      <c r="FD1" s="145" t="s">
        <v>156</v>
      </c>
      <c r="FE1" s="145" t="s">
        <v>157</v>
      </c>
      <c r="FF1" s="145" t="s">
        <v>158</v>
      </c>
      <c r="FG1" s="145" t="s">
        <v>159</v>
      </c>
      <c r="FH1" s="145" t="s">
        <v>160</v>
      </c>
      <c r="FI1" s="145" t="s">
        <v>161</v>
      </c>
      <c r="FJ1" s="145" t="s">
        <v>162</v>
      </c>
      <c r="FK1" s="145" t="s">
        <v>163</v>
      </c>
      <c r="FL1" s="145" t="s">
        <v>164</v>
      </c>
      <c r="FM1" s="145" t="s">
        <v>165</v>
      </c>
      <c r="FN1" s="145" t="s">
        <v>166</v>
      </c>
      <c r="FO1" s="145" t="s">
        <v>167</v>
      </c>
      <c r="FP1" s="145" t="s">
        <v>168</v>
      </c>
      <c r="FQ1" s="145" t="s">
        <v>169</v>
      </c>
      <c r="FR1" s="145" t="s">
        <v>170</v>
      </c>
      <c r="FS1" s="145" t="s">
        <v>171</v>
      </c>
      <c r="FT1" s="145" t="s">
        <v>172</v>
      </c>
      <c r="FU1" s="145" t="s">
        <v>173</v>
      </c>
      <c r="FV1" s="145" t="s">
        <v>174</v>
      </c>
      <c r="FW1" s="145" t="s">
        <v>175</v>
      </c>
      <c r="FX1" s="145" t="s">
        <v>176</v>
      </c>
      <c r="FY1" s="145" t="s">
        <v>177</v>
      </c>
      <c r="FZ1" s="145" t="s">
        <v>178</v>
      </c>
      <c r="GA1" s="145" t="s">
        <v>179</v>
      </c>
      <c r="GB1" s="145" t="s">
        <v>180</v>
      </c>
      <c r="GC1" s="145" t="s">
        <v>181</v>
      </c>
      <c r="GD1" s="145" t="s">
        <v>182</v>
      </c>
      <c r="GE1" s="145" t="s">
        <v>183</v>
      </c>
      <c r="GF1" s="145" t="s">
        <v>184</v>
      </c>
      <c r="GG1" s="145" t="s">
        <v>185</v>
      </c>
      <c r="GH1" s="145" t="s">
        <v>186</v>
      </c>
      <c r="GI1" s="145" t="s">
        <v>187</v>
      </c>
      <c r="GJ1" s="145" t="s">
        <v>188</v>
      </c>
      <c r="GK1" s="145" t="s">
        <v>189</v>
      </c>
      <c r="GL1" s="145" t="s">
        <v>190</v>
      </c>
      <c r="GM1" s="145" t="s">
        <v>191</v>
      </c>
      <c r="GN1" s="145" t="s">
        <v>192</v>
      </c>
      <c r="GO1" s="145" t="s">
        <v>193</v>
      </c>
      <c r="GP1" s="145" t="s">
        <v>194</v>
      </c>
      <c r="GQ1" s="145" t="s">
        <v>195</v>
      </c>
      <c r="GR1" s="145" t="s">
        <v>196</v>
      </c>
      <c r="GS1" s="145" t="s">
        <v>197</v>
      </c>
      <c r="GT1" s="145" t="s">
        <v>198</v>
      </c>
      <c r="GU1" s="145" t="s">
        <v>199</v>
      </c>
      <c r="GV1" s="145" t="s">
        <v>200</v>
      </c>
      <c r="GW1" s="145"/>
      <c r="GX1" s="145"/>
      <c r="GY1" s="145"/>
      <c r="GZ1" s="145"/>
    </row>
    <row r="2" spans="1:208" ht="14.45">
      <c r="A2" s="34" t="s">
        <v>281</v>
      </c>
      <c r="B2" s="88">
        <v>2</v>
      </c>
      <c r="C2" s="96">
        <f>G2</f>
        <v>0</v>
      </c>
      <c r="D2" s="96">
        <v>0</v>
      </c>
      <c r="E2" s="96">
        <v>0</v>
      </c>
      <c r="F2" s="96">
        <v>0</v>
      </c>
      <c r="G2" s="173">
        <f>SUM(H2:GZ2)</f>
        <v>0</v>
      </c>
      <c r="H2" s="199">
        <v>0</v>
      </c>
      <c r="I2" s="199">
        <v>0</v>
      </c>
      <c r="J2" s="199">
        <v>0</v>
      </c>
      <c r="K2" s="199">
        <v>0</v>
      </c>
      <c r="L2" s="199">
        <v>0</v>
      </c>
      <c r="M2" s="199">
        <v>0</v>
      </c>
      <c r="N2" s="199">
        <v>0</v>
      </c>
      <c r="O2" s="199">
        <v>0</v>
      </c>
      <c r="P2" s="199">
        <v>0</v>
      </c>
      <c r="Q2" s="199">
        <v>0</v>
      </c>
      <c r="R2" s="199">
        <v>0</v>
      </c>
      <c r="S2" s="199">
        <v>0</v>
      </c>
      <c r="T2" s="199">
        <v>0</v>
      </c>
      <c r="U2" s="199">
        <v>0</v>
      </c>
      <c r="V2" s="199">
        <v>0</v>
      </c>
      <c r="W2" s="199">
        <v>0</v>
      </c>
      <c r="X2" s="199">
        <v>0</v>
      </c>
      <c r="Y2" s="199">
        <v>0</v>
      </c>
      <c r="Z2" s="199">
        <v>0</v>
      </c>
      <c r="AA2" s="199">
        <v>0</v>
      </c>
      <c r="AB2" s="199">
        <v>0</v>
      </c>
      <c r="AC2" s="199">
        <v>0</v>
      </c>
      <c r="AD2" s="199">
        <v>0</v>
      </c>
      <c r="AE2" s="199">
        <v>0</v>
      </c>
      <c r="AF2" s="199">
        <v>0</v>
      </c>
      <c r="AG2" s="199">
        <v>0</v>
      </c>
      <c r="AH2" s="199">
        <v>0</v>
      </c>
      <c r="AI2" s="199">
        <v>0</v>
      </c>
      <c r="AJ2" s="199">
        <v>0</v>
      </c>
      <c r="AK2" s="199">
        <v>0</v>
      </c>
      <c r="AL2" s="199">
        <v>0</v>
      </c>
      <c r="AM2" s="199">
        <v>0</v>
      </c>
      <c r="AN2" s="199">
        <v>0</v>
      </c>
      <c r="AO2" s="199">
        <v>0</v>
      </c>
      <c r="AP2" s="199">
        <v>0</v>
      </c>
      <c r="AQ2" s="199">
        <v>0</v>
      </c>
      <c r="AR2" s="199">
        <v>0</v>
      </c>
      <c r="AS2" s="199">
        <v>0</v>
      </c>
      <c r="AT2" s="199">
        <v>0</v>
      </c>
      <c r="AU2" s="199">
        <v>0</v>
      </c>
      <c r="AV2" s="199">
        <v>0</v>
      </c>
      <c r="AW2" s="199">
        <v>0</v>
      </c>
      <c r="AX2" s="199">
        <v>0</v>
      </c>
      <c r="AY2" s="199">
        <v>0</v>
      </c>
      <c r="AZ2" s="199">
        <v>0</v>
      </c>
      <c r="BA2" s="199">
        <v>0</v>
      </c>
      <c r="BB2" s="199">
        <v>0</v>
      </c>
      <c r="BC2" s="199">
        <v>0</v>
      </c>
      <c r="BD2" s="199">
        <v>0</v>
      </c>
      <c r="BE2" s="199">
        <v>0</v>
      </c>
      <c r="BF2" s="199">
        <v>0</v>
      </c>
      <c r="BG2" s="199">
        <v>0</v>
      </c>
      <c r="BH2" s="199">
        <v>0</v>
      </c>
      <c r="BI2" s="199">
        <v>0</v>
      </c>
      <c r="BJ2" s="199">
        <v>0</v>
      </c>
      <c r="BK2" s="199">
        <v>0</v>
      </c>
      <c r="BL2" s="199">
        <v>0</v>
      </c>
      <c r="BM2" s="199">
        <v>0</v>
      </c>
      <c r="BN2" s="199">
        <v>0</v>
      </c>
      <c r="BO2" s="199">
        <v>0</v>
      </c>
      <c r="BP2" s="199">
        <v>0</v>
      </c>
      <c r="BQ2" s="199">
        <v>0</v>
      </c>
      <c r="BR2" s="199">
        <v>0</v>
      </c>
      <c r="BS2" s="199">
        <v>0</v>
      </c>
      <c r="BT2" s="199">
        <v>0</v>
      </c>
      <c r="BU2" s="199">
        <v>0</v>
      </c>
      <c r="BV2" s="199">
        <v>0</v>
      </c>
      <c r="BW2" s="199">
        <v>0</v>
      </c>
      <c r="BX2" s="199">
        <v>0</v>
      </c>
      <c r="BY2" s="199">
        <v>0</v>
      </c>
      <c r="BZ2" s="199">
        <v>0</v>
      </c>
      <c r="CA2" s="199">
        <v>0</v>
      </c>
      <c r="CB2" s="199">
        <v>0</v>
      </c>
      <c r="CC2" s="199">
        <v>0</v>
      </c>
      <c r="CD2" s="199">
        <v>0</v>
      </c>
      <c r="CE2" s="199">
        <v>0</v>
      </c>
      <c r="CF2" s="199">
        <v>0</v>
      </c>
      <c r="CG2" s="199">
        <v>0</v>
      </c>
      <c r="CH2" s="199">
        <v>0</v>
      </c>
      <c r="CI2" s="199">
        <v>0</v>
      </c>
      <c r="CJ2" s="199">
        <v>0</v>
      </c>
      <c r="CK2" s="199">
        <v>0</v>
      </c>
      <c r="CL2" s="199">
        <v>0</v>
      </c>
      <c r="CM2" s="199">
        <v>0</v>
      </c>
      <c r="CN2" s="199">
        <v>0</v>
      </c>
      <c r="CO2" s="199">
        <v>0</v>
      </c>
      <c r="CP2" s="199">
        <v>0</v>
      </c>
      <c r="CQ2" s="199">
        <v>0</v>
      </c>
      <c r="CR2" s="199">
        <v>0</v>
      </c>
      <c r="CS2" s="199">
        <v>0</v>
      </c>
      <c r="CT2" s="199">
        <v>0</v>
      </c>
      <c r="CU2" s="199">
        <v>0</v>
      </c>
      <c r="CV2" s="199">
        <v>0</v>
      </c>
      <c r="CW2" s="199">
        <v>0</v>
      </c>
      <c r="CX2" s="199">
        <v>0</v>
      </c>
      <c r="CY2" s="199">
        <v>0</v>
      </c>
      <c r="CZ2" s="199">
        <v>0</v>
      </c>
      <c r="DA2" s="199">
        <v>0</v>
      </c>
      <c r="DB2" s="199">
        <v>0</v>
      </c>
      <c r="DC2" s="199">
        <v>0</v>
      </c>
      <c r="DD2" s="199">
        <v>0</v>
      </c>
      <c r="DE2" s="199">
        <v>0</v>
      </c>
      <c r="DF2" s="199">
        <v>0</v>
      </c>
      <c r="DG2" s="199">
        <v>0</v>
      </c>
      <c r="DH2" s="199">
        <v>0</v>
      </c>
      <c r="DI2" s="199">
        <v>0</v>
      </c>
      <c r="DJ2" s="199">
        <v>0</v>
      </c>
      <c r="DK2" s="199">
        <v>0</v>
      </c>
      <c r="DL2" s="199">
        <v>0</v>
      </c>
      <c r="DM2" s="199">
        <v>0</v>
      </c>
      <c r="DN2" s="199">
        <v>0</v>
      </c>
      <c r="DO2" s="199">
        <v>0</v>
      </c>
      <c r="DP2" s="199">
        <v>0</v>
      </c>
      <c r="DQ2" s="199">
        <v>0</v>
      </c>
      <c r="DR2" s="199">
        <v>0</v>
      </c>
      <c r="DS2" s="199">
        <v>0</v>
      </c>
      <c r="DT2" s="199">
        <v>0</v>
      </c>
      <c r="DU2" s="199">
        <v>0</v>
      </c>
      <c r="DV2" s="199">
        <v>0</v>
      </c>
      <c r="DW2" s="199">
        <v>0</v>
      </c>
      <c r="DX2" s="199">
        <v>0</v>
      </c>
      <c r="DY2" s="199">
        <v>0</v>
      </c>
      <c r="DZ2" s="199">
        <v>0</v>
      </c>
      <c r="EA2" s="199">
        <v>0</v>
      </c>
      <c r="EB2" s="199">
        <v>0</v>
      </c>
      <c r="EC2" s="199">
        <v>0</v>
      </c>
      <c r="ED2" s="199">
        <v>0</v>
      </c>
      <c r="EE2" s="199">
        <v>0</v>
      </c>
      <c r="EF2" s="199">
        <v>0</v>
      </c>
      <c r="EG2" s="199">
        <v>0</v>
      </c>
      <c r="EH2" s="199">
        <v>0</v>
      </c>
      <c r="EI2" s="199">
        <v>0</v>
      </c>
      <c r="EJ2" s="199">
        <v>0</v>
      </c>
      <c r="EK2" s="199">
        <v>0</v>
      </c>
      <c r="EL2" s="199">
        <v>0</v>
      </c>
      <c r="EM2" s="199">
        <v>0</v>
      </c>
      <c r="EN2" s="199">
        <v>0</v>
      </c>
      <c r="EO2" s="199">
        <v>0</v>
      </c>
      <c r="EP2" s="199">
        <v>0</v>
      </c>
      <c r="EQ2" s="199">
        <v>0</v>
      </c>
      <c r="ER2" s="199">
        <v>0</v>
      </c>
      <c r="ES2" s="199">
        <v>0</v>
      </c>
      <c r="ET2" s="199">
        <v>0</v>
      </c>
      <c r="EU2" s="199">
        <v>0</v>
      </c>
      <c r="EV2" s="199">
        <v>0</v>
      </c>
      <c r="EW2" s="199">
        <v>0</v>
      </c>
      <c r="EX2" s="199">
        <v>0</v>
      </c>
      <c r="EY2" s="199">
        <v>0</v>
      </c>
      <c r="EZ2" s="199">
        <v>0</v>
      </c>
      <c r="FA2" s="199">
        <v>0</v>
      </c>
      <c r="FB2" s="199">
        <v>0</v>
      </c>
      <c r="FC2" s="199">
        <v>0</v>
      </c>
      <c r="FD2" s="199">
        <v>0</v>
      </c>
      <c r="FE2" s="199">
        <v>0</v>
      </c>
      <c r="FF2" s="199">
        <v>0</v>
      </c>
      <c r="FG2" s="199">
        <v>0</v>
      </c>
      <c r="FH2" s="199">
        <v>0</v>
      </c>
      <c r="FI2" s="199">
        <v>0</v>
      </c>
      <c r="FJ2" s="199">
        <v>0</v>
      </c>
      <c r="FK2" s="199">
        <v>0</v>
      </c>
      <c r="FL2" s="199">
        <v>0</v>
      </c>
      <c r="FM2" s="199">
        <v>0</v>
      </c>
      <c r="FN2" s="199">
        <v>0</v>
      </c>
      <c r="FO2" s="199">
        <v>0</v>
      </c>
      <c r="FP2" s="199">
        <v>0</v>
      </c>
      <c r="FQ2" s="199">
        <v>0</v>
      </c>
      <c r="FR2" s="199">
        <v>0</v>
      </c>
      <c r="FS2" s="199">
        <v>0</v>
      </c>
      <c r="FT2" s="199">
        <v>0</v>
      </c>
      <c r="FU2" s="199">
        <v>0</v>
      </c>
      <c r="FV2" s="199">
        <v>0</v>
      </c>
      <c r="FW2" s="199">
        <v>0</v>
      </c>
      <c r="FX2" s="199">
        <v>0</v>
      </c>
      <c r="FY2" s="199">
        <v>0</v>
      </c>
      <c r="FZ2" s="199">
        <v>0</v>
      </c>
      <c r="GA2" s="199">
        <v>0</v>
      </c>
      <c r="GB2" s="199">
        <v>0</v>
      </c>
      <c r="GC2" s="199">
        <v>0</v>
      </c>
      <c r="GD2" s="199">
        <v>0</v>
      </c>
      <c r="GE2" s="199">
        <v>0</v>
      </c>
      <c r="GF2" s="199">
        <v>0</v>
      </c>
      <c r="GG2" s="199">
        <v>0</v>
      </c>
      <c r="GH2" s="199">
        <v>0</v>
      </c>
      <c r="GI2" s="199">
        <v>0</v>
      </c>
      <c r="GJ2" s="199">
        <v>0</v>
      </c>
      <c r="GK2" s="199">
        <v>0</v>
      </c>
      <c r="GL2" s="199">
        <v>0</v>
      </c>
      <c r="GM2" s="199">
        <v>0</v>
      </c>
      <c r="GN2" s="199">
        <v>0</v>
      </c>
      <c r="GO2" s="199">
        <v>0</v>
      </c>
      <c r="GP2" s="199">
        <v>0</v>
      </c>
      <c r="GQ2" s="199">
        <v>0</v>
      </c>
      <c r="GR2" s="199">
        <v>0</v>
      </c>
      <c r="GS2" s="199">
        <v>0</v>
      </c>
      <c r="GT2" s="199">
        <v>0</v>
      </c>
      <c r="GU2" s="199">
        <v>0</v>
      </c>
      <c r="GV2" s="199">
        <v>0</v>
      </c>
      <c r="GW2" s="199"/>
      <c r="GX2" s="199"/>
      <c r="GY2" s="199"/>
      <c r="GZ2" s="199"/>
    </row>
    <row r="3" spans="1:208" ht="14.45">
      <c r="A3" s="34" t="s">
        <v>282</v>
      </c>
      <c r="B3" s="88">
        <v>2</v>
      </c>
      <c r="C3" s="96">
        <f>G3</f>
        <v>53</v>
      </c>
      <c r="D3" s="96">
        <v>0</v>
      </c>
      <c r="E3" s="96">
        <v>0</v>
      </c>
      <c r="F3" s="96">
        <v>0</v>
      </c>
      <c r="G3" s="173">
        <f t="shared" ref="G3:G23" si="0">SUM(H3:GZ3)</f>
        <v>53</v>
      </c>
      <c r="H3" s="199">
        <v>0</v>
      </c>
      <c r="I3" s="199">
        <v>0</v>
      </c>
      <c r="J3" s="199">
        <v>0</v>
      </c>
      <c r="K3" s="199">
        <v>0</v>
      </c>
      <c r="L3" s="199">
        <v>0</v>
      </c>
      <c r="M3" s="199">
        <v>0</v>
      </c>
      <c r="N3" s="199">
        <v>0</v>
      </c>
      <c r="O3" s="199">
        <v>0</v>
      </c>
      <c r="P3" s="199">
        <v>0</v>
      </c>
      <c r="Q3" s="199">
        <v>0</v>
      </c>
      <c r="R3" s="199">
        <v>0</v>
      </c>
      <c r="S3" s="199">
        <v>0</v>
      </c>
      <c r="T3" s="199">
        <v>0</v>
      </c>
      <c r="U3" s="199">
        <v>0</v>
      </c>
      <c r="V3" s="199">
        <v>0</v>
      </c>
      <c r="W3" s="199">
        <v>0</v>
      </c>
      <c r="X3" s="199">
        <v>0</v>
      </c>
      <c r="Y3" s="199">
        <v>0</v>
      </c>
      <c r="Z3" s="199">
        <v>0</v>
      </c>
      <c r="AA3" s="199">
        <v>0</v>
      </c>
      <c r="AB3" s="199">
        <v>0</v>
      </c>
      <c r="AC3" s="199">
        <v>0</v>
      </c>
      <c r="AD3" s="199">
        <v>0</v>
      </c>
      <c r="AE3" s="199">
        <v>0</v>
      </c>
      <c r="AF3" s="199">
        <v>0</v>
      </c>
      <c r="AG3" s="199">
        <v>0</v>
      </c>
      <c r="AH3" s="199">
        <v>0</v>
      </c>
      <c r="AI3" s="199">
        <v>0</v>
      </c>
      <c r="AJ3" s="199">
        <v>0</v>
      </c>
      <c r="AK3" s="199">
        <v>0</v>
      </c>
      <c r="AL3" s="199">
        <v>0</v>
      </c>
      <c r="AM3" s="199">
        <v>0</v>
      </c>
      <c r="AN3" s="199">
        <v>0</v>
      </c>
      <c r="AO3" s="199">
        <v>0</v>
      </c>
      <c r="AP3" s="199">
        <v>0</v>
      </c>
      <c r="AQ3" s="199">
        <v>0</v>
      </c>
      <c r="AR3" s="199">
        <v>0</v>
      </c>
      <c r="AS3" s="199">
        <v>0</v>
      </c>
      <c r="AT3" s="199">
        <v>0</v>
      </c>
      <c r="AU3" s="199">
        <v>0</v>
      </c>
      <c r="AV3" s="199">
        <v>0</v>
      </c>
      <c r="AW3" s="199">
        <v>0</v>
      </c>
      <c r="AX3" s="199">
        <v>0</v>
      </c>
      <c r="AY3" s="199">
        <v>0</v>
      </c>
      <c r="AZ3" s="199">
        <v>0</v>
      </c>
      <c r="BA3" s="199">
        <v>0</v>
      </c>
      <c r="BB3" s="199">
        <v>0</v>
      </c>
      <c r="BC3" s="199">
        <v>0</v>
      </c>
      <c r="BD3" s="199">
        <v>0</v>
      </c>
      <c r="BE3" s="199">
        <v>0</v>
      </c>
      <c r="BF3" s="199">
        <v>0</v>
      </c>
      <c r="BG3" s="199">
        <v>0</v>
      </c>
      <c r="BH3" s="199">
        <v>0</v>
      </c>
      <c r="BI3" s="199">
        <v>0</v>
      </c>
      <c r="BJ3" s="199">
        <v>0</v>
      </c>
      <c r="BK3" s="199">
        <v>0</v>
      </c>
      <c r="BL3" s="199">
        <v>0</v>
      </c>
      <c r="BM3" s="199">
        <v>0</v>
      </c>
      <c r="BN3" s="199">
        <v>0</v>
      </c>
      <c r="BO3" s="199">
        <v>0</v>
      </c>
      <c r="BP3" s="199">
        <v>0</v>
      </c>
      <c r="BQ3" s="199">
        <v>0</v>
      </c>
      <c r="BR3" s="199">
        <v>0</v>
      </c>
      <c r="BS3" s="199">
        <v>0</v>
      </c>
      <c r="BT3" s="199">
        <v>0</v>
      </c>
      <c r="BU3" s="199">
        <v>0</v>
      </c>
      <c r="BV3" s="199">
        <v>0</v>
      </c>
      <c r="BW3" s="199">
        <v>0</v>
      </c>
      <c r="BX3" s="199">
        <v>0</v>
      </c>
      <c r="BY3" s="199">
        <v>0</v>
      </c>
      <c r="BZ3" s="199">
        <v>0</v>
      </c>
      <c r="CA3" s="199">
        <v>0</v>
      </c>
      <c r="CB3" s="199">
        <v>0</v>
      </c>
      <c r="CC3" s="199">
        <v>0</v>
      </c>
      <c r="CD3" s="199">
        <v>0</v>
      </c>
      <c r="CE3" s="199">
        <v>0</v>
      </c>
      <c r="CF3" s="199">
        <v>0</v>
      </c>
      <c r="CG3" s="199">
        <v>0</v>
      </c>
      <c r="CH3" s="199">
        <v>0</v>
      </c>
      <c r="CI3" s="199">
        <v>0</v>
      </c>
      <c r="CJ3" s="199">
        <v>0</v>
      </c>
      <c r="CK3" s="199">
        <v>0</v>
      </c>
      <c r="CL3" s="199">
        <v>0</v>
      </c>
      <c r="CM3" s="199">
        <v>0</v>
      </c>
      <c r="CN3" s="199">
        <v>0</v>
      </c>
      <c r="CO3" s="199">
        <v>0</v>
      </c>
      <c r="CP3" s="199">
        <v>0</v>
      </c>
      <c r="CQ3" s="199">
        <v>0</v>
      </c>
      <c r="CR3" s="199">
        <v>0</v>
      </c>
      <c r="CS3" s="199">
        <v>0</v>
      </c>
      <c r="CT3" s="199">
        <v>0</v>
      </c>
      <c r="CU3" s="199">
        <v>0</v>
      </c>
      <c r="CV3" s="199">
        <v>0</v>
      </c>
      <c r="CW3" s="199">
        <v>0</v>
      </c>
      <c r="CX3" s="199">
        <v>0</v>
      </c>
      <c r="CY3" s="199">
        <v>0</v>
      </c>
      <c r="CZ3" s="199">
        <v>0</v>
      </c>
      <c r="DA3" s="199">
        <v>0</v>
      </c>
      <c r="DB3" s="199">
        <v>0</v>
      </c>
      <c r="DC3" s="199">
        <v>0</v>
      </c>
      <c r="DD3" s="199">
        <v>0</v>
      </c>
      <c r="DE3" s="199">
        <v>0</v>
      </c>
      <c r="DF3" s="199">
        <v>0</v>
      </c>
      <c r="DG3" s="199">
        <v>0</v>
      </c>
      <c r="DH3" s="199">
        <v>0</v>
      </c>
      <c r="DI3" s="199">
        <v>0</v>
      </c>
      <c r="DJ3" s="199">
        <v>0</v>
      </c>
      <c r="DK3" s="199">
        <v>0</v>
      </c>
      <c r="DL3" s="199">
        <v>0</v>
      </c>
      <c r="DM3" s="199">
        <v>0</v>
      </c>
      <c r="DN3" s="199">
        <v>0</v>
      </c>
      <c r="DO3" s="199">
        <v>0</v>
      </c>
      <c r="DP3" s="199">
        <v>0</v>
      </c>
      <c r="DQ3" s="199">
        <v>0</v>
      </c>
      <c r="DR3" s="199">
        <v>0</v>
      </c>
      <c r="DS3" s="199">
        <v>0</v>
      </c>
      <c r="DT3" s="199">
        <v>0</v>
      </c>
      <c r="DU3" s="199">
        <v>0</v>
      </c>
      <c r="DV3" s="199">
        <v>0</v>
      </c>
      <c r="DW3" s="199">
        <v>0</v>
      </c>
      <c r="DX3" s="199">
        <v>0</v>
      </c>
      <c r="DY3" s="199">
        <v>0</v>
      </c>
      <c r="DZ3" s="199">
        <v>0</v>
      </c>
      <c r="EA3" s="199">
        <v>0</v>
      </c>
      <c r="EB3" s="199">
        <v>0</v>
      </c>
      <c r="EC3" s="199">
        <v>0</v>
      </c>
      <c r="ED3" s="199">
        <v>0</v>
      </c>
      <c r="EE3" s="199">
        <v>0</v>
      </c>
      <c r="EF3" s="199">
        <v>0</v>
      </c>
      <c r="EG3" s="199">
        <v>0</v>
      </c>
      <c r="EH3" s="199">
        <v>0</v>
      </c>
      <c r="EI3" s="199">
        <v>0</v>
      </c>
      <c r="EJ3" s="199">
        <v>0</v>
      </c>
      <c r="EK3" s="199">
        <v>0</v>
      </c>
      <c r="EL3" s="199">
        <v>0</v>
      </c>
      <c r="EM3" s="199">
        <v>0</v>
      </c>
      <c r="EN3" s="199">
        <v>0</v>
      </c>
      <c r="EO3" s="199">
        <v>0</v>
      </c>
      <c r="EP3" s="199">
        <v>0</v>
      </c>
      <c r="EQ3" s="199">
        <v>0</v>
      </c>
      <c r="ER3" s="199">
        <v>0</v>
      </c>
      <c r="ES3" s="199">
        <v>0</v>
      </c>
      <c r="ET3" s="199">
        <v>0</v>
      </c>
      <c r="EU3" s="199">
        <v>0</v>
      </c>
      <c r="EV3" s="199">
        <v>0</v>
      </c>
      <c r="EW3" s="199">
        <v>0</v>
      </c>
      <c r="EX3" s="199">
        <v>0</v>
      </c>
      <c r="EY3" s="199">
        <v>0</v>
      </c>
      <c r="EZ3" s="199">
        <v>0</v>
      </c>
      <c r="FA3" s="199">
        <v>0</v>
      </c>
      <c r="FB3" s="199">
        <v>0</v>
      </c>
      <c r="FC3" s="199">
        <v>0</v>
      </c>
      <c r="FD3" s="199">
        <v>0</v>
      </c>
      <c r="FE3" s="199">
        <v>0</v>
      </c>
      <c r="FF3" s="199">
        <v>0</v>
      </c>
      <c r="FG3" s="199">
        <v>0</v>
      </c>
      <c r="FH3" s="199">
        <v>0</v>
      </c>
      <c r="FI3" s="199">
        <v>0</v>
      </c>
      <c r="FJ3" s="199">
        <v>0</v>
      </c>
      <c r="FK3" s="199">
        <v>0</v>
      </c>
      <c r="FL3" s="199">
        <v>0</v>
      </c>
      <c r="FM3" s="199">
        <v>0</v>
      </c>
      <c r="FN3" s="199">
        <v>0</v>
      </c>
      <c r="FO3" s="199">
        <v>0</v>
      </c>
      <c r="FP3" s="199">
        <v>0</v>
      </c>
      <c r="FQ3" s="199">
        <v>0</v>
      </c>
      <c r="FR3" s="199">
        <v>0</v>
      </c>
      <c r="FS3" s="199">
        <v>0</v>
      </c>
      <c r="FT3" s="199">
        <v>0</v>
      </c>
      <c r="FU3" s="199">
        <v>0</v>
      </c>
      <c r="FV3" s="199">
        <v>0</v>
      </c>
      <c r="FW3" s="199">
        <v>0</v>
      </c>
      <c r="FX3" s="199">
        <v>0</v>
      </c>
      <c r="FY3" s="199">
        <v>0</v>
      </c>
      <c r="FZ3" s="199">
        <v>0</v>
      </c>
      <c r="GA3" s="199">
        <v>0</v>
      </c>
      <c r="GB3" s="199">
        <v>0</v>
      </c>
      <c r="GC3" s="199">
        <v>53</v>
      </c>
      <c r="GD3" s="199">
        <v>0</v>
      </c>
      <c r="GE3" s="199">
        <v>0</v>
      </c>
      <c r="GF3" s="199">
        <v>0</v>
      </c>
      <c r="GG3" s="199">
        <v>0</v>
      </c>
      <c r="GH3" s="199">
        <v>0</v>
      </c>
      <c r="GI3" s="199">
        <v>0</v>
      </c>
      <c r="GJ3" s="199">
        <v>0</v>
      </c>
      <c r="GK3" s="199">
        <v>0</v>
      </c>
      <c r="GL3" s="199">
        <v>0</v>
      </c>
      <c r="GM3" s="199">
        <v>0</v>
      </c>
      <c r="GN3" s="199">
        <v>0</v>
      </c>
      <c r="GO3" s="199">
        <v>0</v>
      </c>
      <c r="GP3" s="199">
        <v>0</v>
      </c>
      <c r="GQ3" s="199">
        <v>0</v>
      </c>
      <c r="GR3" s="199">
        <v>0</v>
      </c>
      <c r="GS3" s="199">
        <v>0</v>
      </c>
      <c r="GT3" s="199">
        <v>0</v>
      </c>
      <c r="GU3" s="199">
        <v>0</v>
      </c>
      <c r="GV3" s="199">
        <v>0</v>
      </c>
      <c r="GW3" s="199"/>
      <c r="GX3" s="199"/>
      <c r="GY3" s="199"/>
      <c r="GZ3" s="199"/>
    </row>
    <row r="4" spans="1:208" ht="14.45">
      <c r="A4" s="34" t="s">
        <v>283</v>
      </c>
      <c r="B4" s="88">
        <v>8</v>
      </c>
      <c r="C4" s="96">
        <v>0</v>
      </c>
      <c r="D4" s="96">
        <f>G4</f>
        <v>997</v>
      </c>
      <c r="E4" s="96">
        <v>0</v>
      </c>
      <c r="F4" s="96">
        <v>0</v>
      </c>
      <c r="G4" s="173">
        <f t="shared" si="0"/>
        <v>997</v>
      </c>
      <c r="H4" s="199">
        <v>0</v>
      </c>
      <c r="I4" s="199">
        <v>0</v>
      </c>
      <c r="J4" s="199">
        <v>0</v>
      </c>
      <c r="K4" s="199">
        <v>0</v>
      </c>
      <c r="L4" s="199">
        <v>0</v>
      </c>
      <c r="M4" s="199">
        <v>0</v>
      </c>
      <c r="N4" s="199">
        <v>0</v>
      </c>
      <c r="O4" s="199">
        <v>0</v>
      </c>
      <c r="P4" s="199">
        <v>0</v>
      </c>
      <c r="Q4" s="199">
        <v>0</v>
      </c>
      <c r="R4" s="199">
        <v>0</v>
      </c>
      <c r="S4" s="199">
        <v>0</v>
      </c>
      <c r="T4" s="199">
        <v>0</v>
      </c>
      <c r="U4" s="199">
        <v>0</v>
      </c>
      <c r="V4" s="199">
        <v>0</v>
      </c>
      <c r="W4" s="199">
        <v>0</v>
      </c>
      <c r="X4" s="199">
        <v>0</v>
      </c>
      <c r="Y4" s="199">
        <v>0</v>
      </c>
      <c r="Z4" s="199">
        <v>0</v>
      </c>
      <c r="AA4" s="199">
        <v>0</v>
      </c>
      <c r="AB4" s="199">
        <v>0</v>
      </c>
      <c r="AC4" s="199">
        <v>0</v>
      </c>
      <c r="AD4" s="199">
        <v>0</v>
      </c>
      <c r="AE4" s="199">
        <v>0</v>
      </c>
      <c r="AF4" s="199">
        <v>0</v>
      </c>
      <c r="AG4" s="199">
        <v>0</v>
      </c>
      <c r="AH4" s="199">
        <v>0</v>
      </c>
      <c r="AI4" s="199">
        <v>0</v>
      </c>
      <c r="AJ4" s="199">
        <v>0</v>
      </c>
      <c r="AK4" s="199">
        <v>0</v>
      </c>
      <c r="AL4" s="199">
        <v>0</v>
      </c>
      <c r="AM4" s="199">
        <v>0</v>
      </c>
      <c r="AN4" s="199">
        <v>0</v>
      </c>
      <c r="AO4" s="199">
        <v>0</v>
      </c>
      <c r="AP4" s="199">
        <v>0</v>
      </c>
      <c r="AQ4" s="199">
        <v>0</v>
      </c>
      <c r="AR4" s="199">
        <v>0</v>
      </c>
      <c r="AS4" s="199">
        <v>0</v>
      </c>
      <c r="AT4" s="199">
        <v>0</v>
      </c>
      <c r="AU4" s="199">
        <v>0</v>
      </c>
      <c r="AV4" s="199">
        <v>0</v>
      </c>
      <c r="AW4" s="199">
        <v>0</v>
      </c>
      <c r="AX4" s="199">
        <v>0</v>
      </c>
      <c r="AY4" s="199">
        <v>0</v>
      </c>
      <c r="AZ4" s="199">
        <v>0</v>
      </c>
      <c r="BA4" s="199">
        <v>0</v>
      </c>
      <c r="BB4" s="199">
        <v>0</v>
      </c>
      <c r="BC4" s="199">
        <v>0</v>
      </c>
      <c r="BD4" s="199">
        <v>0</v>
      </c>
      <c r="BE4" s="199">
        <v>0</v>
      </c>
      <c r="BF4" s="199">
        <v>0</v>
      </c>
      <c r="BG4" s="199">
        <v>0</v>
      </c>
      <c r="BH4" s="199">
        <v>0</v>
      </c>
      <c r="BI4" s="199">
        <v>0</v>
      </c>
      <c r="BJ4" s="199">
        <v>0</v>
      </c>
      <c r="BK4" s="199">
        <v>0</v>
      </c>
      <c r="BL4" s="199">
        <v>0</v>
      </c>
      <c r="BM4" s="199">
        <v>0</v>
      </c>
      <c r="BN4" s="199">
        <v>0</v>
      </c>
      <c r="BO4" s="199">
        <v>0</v>
      </c>
      <c r="BP4" s="199">
        <v>0</v>
      </c>
      <c r="BQ4" s="199">
        <v>0</v>
      </c>
      <c r="BR4" s="199">
        <v>0</v>
      </c>
      <c r="BS4" s="199">
        <v>0</v>
      </c>
      <c r="BT4" s="199">
        <v>0</v>
      </c>
      <c r="BU4" s="199">
        <v>0</v>
      </c>
      <c r="BV4" s="199">
        <v>0</v>
      </c>
      <c r="BW4" s="199">
        <v>0</v>
      </c>
      <c r="BX4" s="199">
        <v>0</v>
      </c>
      <c r="BY4" s="199">
        <v>0</v>
      </c>
      <c r="BZ4" s="199">
        <v>0</v>
      </c>
      <c r="CA4" s="199">
        <v>0</v>
      </c>
      <c r="CB4" s="199">
        <v>0</v>
      </c>
      <c r="CC4" s="199">
        <v>0</v>
      </c>
      <c r="CD4" s="199">
        <v>0</v>
      </c>
      <c r="CE4" s="199">
        <v>0</v>
      </c>
      <c r="CF4" s="199">
        <v>0</v>
      </c>
      <c r="CG4" s="199">
        <v>0</v>
      </c>
      <c r="CH4" s="199">
        <v>0</v>
      </c>
      <c r="CI4" s="199">
        <v>0</v>
      </c>
      <c r="CJ4" s="199">
        <v>0</v>
      </c>
      <c r="CK4" s="199">
        <v>0</v>
      </c>
      <c r="CL4" s="199">
        <v>0</v>
      </c>
      <c r="CM4" s="199">
        <v>0</v>
      </c>
      <c r="CN4" s="199">
        <v>0</v>
      </c>
      <c r="CO4" s="199">
        <v>0</v>
      </c>
      <c r="CP4" s="199">
        <v>0</v>
      </c>
      <c r="CQ4" s="199">
        <v>0</v>
      </c>
      <c r="CR4" s="199">
        <v>0</v>
      </c>
      <c r="CS4" s="199">
        <v>0</v>
      </c>
      <c r="CT4" s="199">
        <v>0</v>
      </c>
      <c r="CU4" s="199">
        <v>0</v>
      </c>
      <c r="CV4" s="199">
        <v>434</v>
      </c>
      <c r="CW4" s="199">
        <v>0</v>
      </c>
      <c r="CX4" s="199">
        <v>0</v>
      </c>
      <c r="CY4" s="199">
        <v>0</v>
      </c>
      <c r="CZ4" s="199">
        <v>0</v>
      </c>
      <c r="DA4" s="199">
        <v>0</v>
      </c>
      <c r="DB4" s="199">
        <v>0</v>
      </c>
      <c r="DC4" s="199">
        <v>0</v>
      </c>
      <c r="DD4" s="199">
        <v>0</v>
      </c>
      <c r="DE4" s="199">
        <v>0</v>
      </c>
      <c r="DF4" s="199">
        <v>0</v>
      </c>
      <c r="DG4" s="199">
        <v>0</v>
      </c>
      <c r="DH4" s="199">
        <v>0</v>
      </c>
      <c r="DI4" s="199">
        <v>0</v>
      </c>
      <c r="DJ4" s="199">
        <v>0</v>
      </c>
      <c r="DK4" s="199">
        <v>0</v>
      </c>
      <c r="DL4" s="199">
        <v>0</v>
      </c>
      <c r="DM4" s="199">
        <v>0</v>
      </c>
      <c r="DN4" s="199">
        <v>0</v>
      </c>
      <c r="DO4" s="199">
        <v>0</v>
      </c>
      <c r="DP4" s="199">
        <v>0</v>
      </c>
      <c r="DQ4" s="199">
        <v>0</v>
      </c>
      <c r="DR4" s="199">
        <v>0</v>
      </c>
      <c r="DS4" s="199">
        <v>0</v>
      </c>
      <c r="DT4" s="199">
        <v>0</v>
      </c>
      <c r="DU4" s="199">
        <v>0</v>
      </c>
      <c r="DV4" s="199">
        <v>0</v>
      </c>
      <c r="DW4" s="199">
        <v>0</v>
      </c>
      <c r="DX4" s="199">
        <v>0</v>
      </c>
      <c r="DY4" s="199">
        <v>0</v>
      </c>
      <c r="DZ4" s="199">
        <v>0</v>
      </c>
      <c r="EA4" s="199">
        <v>0</v>
      </c>
      <c r="EB4" s="199">
        <v>0</v>
      </c>
      <c r="EC4" s="199">
        <v>0</v>
      </c>
      <c r="ED4" s="199">
        <v>0</v>
      </c>
      <c r="EE4" s="199">
        <v>0</v>
      </c>
      <c r="EF4" s="199">
        <v>0</v>
      </c>
      <c r="EG4" s="199">
        <v>0</v>
      </c>
      <c r="EH4" s="199">
        <v>0</v>
      </c>
      <c r="EI4" s="199">
        <v>0</v>
      </c>
      <c r="EJ4" s="199">
        <v>0</v>
      </c>
      <c r="EK4" s="199">
        <v>0</v>
      </c>
      <c r="EL4" s="199">
        <v>0</v>
      </c>
      <c r="EM4" s="199">
        <v>0</v>
      </c>
      <c r="EN4" s="199">
        <v>0</v>
      </c>
      <c r="EO4" s="199">
        <v>0</v>
      </c>
      <c r="EP4" s="199">
        <v>0</v>
      </c>
      <c r="EQ4" s="199">
        <v>0</v>
      </c>
      <c r="ER4" s="199">
        <v>0</v>
      </c>
      <c r="ES4" s="199">
        <v>0</v>
      </c>
      <c r="ET4" s="199">
        <v>0</v>
      </c>
      <c r="EU4" s="199">
        <v>0</v>
      </c>
      <c r="EV4" s="199">
        <v>0</v>
      </c>
      <c r="EW4" s="199">
        <v>0</v>
      </c>
      <c r="EX4" s="199">
        <v>0</v>
      </c>
      <c r="EY4" s="199">
        <v>0</v>
      </c>
      <c r="EZ4" s="199">
        <v>0</v>
      </c>
      <c r="FA4" s="199">
        <v>0</v>
      </c>
      <c r="FB4" s="199">
        <v>0</v>
      </c>
      <c r="FC4" s="199">
        <v>0</v>
      </c>
      <c r="FD4" s="199">
        <v>0</v>
      </c>
      <c r="FE4" s="199">
        <v>0</v>
      </c>
      <c r="FF4" s="199">
        <v>0</v>
      </c>
      <c r="FG4" s="199">
        <v>0</v>
      </c>
      <c r="FH4" s="199">
        <v>0</v>
      </c>
      <c r="FI4" s="199">
        <v>0</v>
      </c>
      <c r="FJ4" s="199">
        <v>0</v>
      </c>
      <c r="FK4" s="199">
        <v>0</v>
      </c>
      <c r="FL4" s="199">
        <v>0</v>
      </c>
      <c r="FM4" s="199">
        <v>0</v>
      </c>
      <c r="FN4" s="199">
        <v>0</v>
      </c>
      <c r="FO4" s="199">
        <v>0</v>
      </c>
      <c r="FP4" s="199">
        <v>0</v>
      </c>
      <c r="FQ4" s="199">
        <v>0</v>
      </c>
      <c r="FR4" s="199">
        <v>0</v>
      </c>
      <c r="FS4" s="199">
        <v>0</v>
      </c>
      <c r="FT4" s="199">
        <v>0</v>
      </c>
      <c r="FU4" s="199">
        <v>0</v>
      </c>
      <c r="FV4" s="199">
        <v>0</v>
      </c>
      <c r="FW4" s="199">
        <v>0</v>
      </c>
      <c r="FX4" s="199">
        <v>0</v>
      </c>
      <c r="FY4" s="199">
        <v>0</v>
      </c>
      <c r="FZ4" s="199">
        <v>0</v>
      </c>
      <c r="GA4" s="199">
        <v>0</v>
      </c>
      <c r="GB4" s="199">
        <v>0</v>
      </c>
      <c r="GC4" s="199">
        <v>563</v>
      </c>
      <c r="GD4" s="199">
        <v>0</v>
      </c>
      <c r="GE4" s="199">
        <v>0</v>
      </c>
      <c r="GF4" s="199">
        <v>0</v>
      </c>
      <c r="GG4" s="199">
        <v>0</v>
      </c>
      <c r="GH4" s="199">
        <v>0</v>
      </c>
      <c r="GI4" s="199">
        <v>0</v>
      </c>
      <c r="GJ4" s="199">
        <v>0</v>
      </c>
      <c r="GK4" s="199">
        <v>0</v>
      </c>
      <c r="GL4" s="199">
        <v>0</v>
      </c>
      <c r="GM4" s="199">
        <v>0</v>
      </c>
      <c r="GN4" s="199">
        <v>0</v>
      </c>
      <c r="GO4" s="199">
        <v>0</v>
      </c>
      <c r="GP4" s="199">
        <v>0</v>
      </c>
      <c r="GQ4" s="199">
        <v>0</v>
      </c>
      <c r="GR4" s="199">
        <v>0</v>
      </c>
      <c r="GS4" s="199">
        <v>0</v>
      </c>
      <c r="GT4" s="199">
        <v>0</v>
      </c>
      <c r="GU4" s="199">
        <v>0</v>
      </c>
      <c r="GV4" s="199">
        <v>0</v>
      </c>
      <c r="GW4" s="199"/>
      <c r="GX4" s="199"/>
      <c r="GY4" s="199"/>
      <c r="GZ4" s="199"/>
    </row>
    <row r="5" spans="1:208" ht="14.45">
      <c r="A5" s="34" t="s">
        <v>284</v>
      </c>
      <c r="B5" s="88">
        <v>0.5</v>
      </c>
      <c r="C5" s="96">
        <v>0</v>
      </c>
      <c r="D5" s="96">
        <v>0</v>
      </c>
      <c r="E5" s="96">
        <v>0</v>
      </c>
      <c r="F5" s="96">
        <f>G5</f>
        <v>0</v>
      </c>
      <c r="G5" s="173">
        <f t="shared" si="0"/>
        <v>0</v>
      </c>
      <c r="H5" s="199">
        <v>0</v>
      </c>
      <c r="I5" s="199">
        <v>0</v>
      </c>
      <c r="J5" s="199">
        <v>0</v>
      </c>
      <c r="K5" s="199">
        <v>0</v>
      </c>
      <c r="L5" s="199">
        <v>0</v>
      </c>
      <c r="M5" s="199">
        <v>0</v>
      </c>
      <c r="N5" s="199">
        <v>0</v>
      </c>
      <c r="O5" s="199">
        <v>0</v>
      </c>
      <c r="P5" s="199">
        <v>0</v>
      </c>
      <c r="Q5" s="199">
        <v>0</v>
      </c>
      <c r="R5" s="199">
        <v>0</v>
      </c>
      <c r="S5" s="199">
        <v>0</v>
      </c>
      <c r="T5" s="199">
        <v>0</v>
      </c>
      <c r="U5" s="199">
        <v>0</v>
      </c>
      <c r="V5" s="199">
        <v>0</v>
      </c>
      <c r="W5" s="199">
        <v>0</v>
      </c>
      <c r="X5" s="199">
        <v>0</v>
      </c>
      <c r="Y5" s="199">
        <v>0</v>
      </c>
      <c r="Z5" s="199">
        <v>0</v>
      </c>
      <c r="AA5" s="199">
        <v>0</v>
      </c>
      <c r="AB5" s="199">
        <v>0</v>
      </c>
      <c r="AC5" s="199">
        <v>0</v>
      </c>
      <c r="AD5" s="199">
        <v>0</v>
      </c>
      <c r="AE5" s="199">
        <v>0</v>
      </c>
      <c r="AF5" s="199">
        <v>0</v>
      </c>
      <c r="AG5" s="199">
        <v>0</v>
      </c>
      <c r="AH5" s="199">
        <v>0</v>
      </c>
      <c r="AI5" s="199">
        <v>0</v>
      </c>
      <c r="AJ5" s="199">
        <v>0</v>
      </c>
      <c r="AK5" s="199">
        <v>0</v>
      </c>
      <c r="AL5" s="199">
        <v>0</v>
      </c>
      <c r="AM5" s="199">
        <v>0</v>
      </c>
      <c r="AN5" s="199">
        <v>0</v>
      </c>
      <c r="AO5" s="199">
        <v>0</v>
      </c>
      <c r="AP5" s="199">
        <v>0</v>
      </c>
      <c r="AQ5" s="199">
        <v>0</v>
      </c>
      <c r="AR5" s="199">
        <v>0</v>
      </c>
      <c r="AS5" s="199">
        <v>0</v>
      </c>
      <c r="AT5" s="199">
        <v>0</v>
      </c>
      <c r="AU5" s="199">
        <v>0</v>
      </c>
      <c r="AV5" s="199">
        <v>0</v>
      </c>
      <c r="AW5" s="199">
        <v>0</v>
      </c>
      <c r="AX5" s="199">
        <v>0</v>
      </c>
      <c r="AY5" s="199">
        <v>0</v>
      </c>
      <c r="AZ5" s="199">
        <v>0</v>
      </c>
      <c r="BA5" s="199">
        <v>0</v>
      </c>
      <c r="BB5" s="199">
        <v>0</v>
      </c>
      <c r="BC5" s="199">
        <v>0</v>
      </c>
      <c r="BD5" s="199">
        <v>0</v>
      </c>
      <c r="BE5" s="199">
        <v>0</v>
      </c>
      <c r="BF5" s="199">
        <v>0</v>
      </c>
      <c r="BG5" s="199">
        <v>0</v>
      </c>
      <c r="BH5" s="199">
        <v>0</v>
      </c>
      <c r="BI5" s="199">
        <v>0</v>
      </c>
      <c r="BJ5" s="199">
        <v>0</v>
      </c>
      <c r="BK5" s="199">
        <v>0</v>
      </c>
      <c r="BL5" s="199">
        <v>0</v>
      </c>
      <c r="BM5" s="199">
        <v>0</v>
      </c>
      <c r="BN5" s="199">
        <v>0</v>
      </c>
      <c r="BO5" s="199">
        <v>0</v>
      </c>
      <c r="BP5" s="199">
        <v>0</v>
      </c>
      <c r="BQ5" s="199">
        <v>0</v>
      </c>
      <c r="BR5" s="199">
        <v>0</v>
      </c>
      <c r="BS5" s="199">
        <v>0</v>
      </c>
      <c r="BT5" s="199">
        <v>0</v>
      </c>
      <c r="BU5" s="199">
        <v>0</v>
      </c>
      <c r="BV5" s="199">
        <v>0</v>
      </c>
      <c r="BW5" s="199">
        <v>0</v>
      </c>
      <c r="BX5" s="199">
        <v>0</v>
      </c>
      <c r="BY5" s="199">
        <v>0</v>
      </c>
      <c r="BZ5" s="199">
        <v>0</v>
      </c>
      <c r="CA5" s="199">
        <v>0</v>
      </c>
      <c r="CB5" s="199">
        <v>0</v>
      </c>
      <c r="CC5" s="199">
        <v>0</v>
      </c>
      <c r="CD5" s="199">
        <v>0</v>
      </c>
      <c r="CE5" s="199">
        <v>0</v>
      </c>
      <c r="CF5" s="199">
        <v>0</v>
      </c>
      <c r="CG5" s="199">
        <v>0</v>
      </c>
      <c r="CH5" s="199">
        <v>0</v>
      </c>
      <c r="CI5" s="199">
        <v>0</v>
      </c>
      <c r="CJ5" s="199">
        <v>0</v>
      </c>
      <c r="CK5" s="199">
        <v>0</v>
      </c>
      <c r="CL5" s="199">
        <v>0</v>
      </c>
      <c r="CM5" s="199">
        <v>0</v>
      </c>
      <c r="CN5" s="199">
        <v>0</v>
      </c>
      <c r="CO5" s="199">
        <v>0</v>
      </c>
      <c r="CP5" s="199">
        <v>0</v>
      </c>
      <c r="CQ5" s="199">
        <v>0</v>
      </c>
      <c r="CR5" s="199">
        <v>0</v>
      </c>
      <c r="CS5" s="199">
        <v>0</v>
      </c>
      <c r="CT5" s="199">
        <v>0</v>
      </c>
      <c r="CU5" s="199">
        <v>0</v>
      </c>
      <c r="CV5" s="199">
        <v>0</v>
      </c>
      <c r="CW5" s="199">
        <v>0</v>
      </c>
      <c r="CX5" s="199">
        <v>0</v>
      </c>
      <c r="CY5" s="199">
        <v>0</v>
      </c>
      <c r="CZ5" s="199">
        <v>0</v>
      </c>
      <c r="DA5" s="199">
        <v>0</v>
      </c>
      <c r="DB5" s="199">
        <v>0</v>
      </c>
      <c r="DC5" s="199">
        <v>0</v>
      </c>
      <c r="DD5" s="199">
        <v>0</v>
      </c>
      <c r="DE5" s="199">
        <v>0</v>
      </c>
      <c r="DF5" s="199">
        <v>0</v>
      </c>
      <c r="DG5" s="199">
        <v>0</v>
      </c>
      <c r="DH5" s="199">
        <v>0</v>
      </c>
      <c r="DI5" s="199">
        <v>0</v>
      </c>
      <c r="DJ5" s="199">
        <v>0</v>
      </c>
      <c r="DK5" s="199">
        <v>0</v>
      </c>
      <c r="DL5" s="199">
        <v>0</v>
      </c>
      <c r="DM5" s="199">
        <v>0</v>
      </c>
      <c r="DN5" s="199">
        <v>0</v>
      </c>
      <c r="DO5" s="199">
        <v>0</v>
      </c>
      <c r="DP5" s="199">
        <v>0</v>
      </c>
      <c r="DQ5" s="199">
        <v>0</v>
      </c>
      <c r="DR5" s="199">
        <v>0</v>
      </c>
      <c r="DS5" s="199">
        <v>0</v>
      </c>
      <c r="DT5" s="199">
        <v>0</v>
      </c>
      <c r="DU5" s="199">
        <v>0</v>
      </c>
      <c r="DV5" s="199">
        <v>0</v>
      </c>
      <c r="DW5" s="199">
        <v>0</v>
      </c>
      <c r="DX5" s="199">
        <v>0</v>
      </c>
      <c r="DY5" s="199">
        <v>0</v>
      </c>
      <c r="DZ5" s="199">
        <v>0</v>
      </c>
      <c r="EA5" s="199">
        <v>0</v>
      </c>
      <c r="EB5" s="199">
        <v>0</v>
      </c>
      <c r="EC5" s="199">
        <v>0</v>
      </c>
      <c r="ED5" s="199">
        <v>0</v>
      </c>
      <c r="EE5" s="199">
        <v>0</v>
      </c>
      <c r="EF5" s="199">
        <v>0</v>
      </c>
      <c r="EG5" s="199">
        <v>0</v>
      </c>
      <c r="EH5" s="199">
        <v>0</v>
      </c>
      <c r="EI5" s="199">
        <v>0</v>
      </c>
      <c r="EJ5" s="199">
        <v>0</v>
      </c>
      <c r="EK5" s="199">
        <v>0</v>
      </c>
      <c r="EL5" s="199">
        <v>0</v>
      </c>
      <c r="EM5" s="199">
        <v>0</v>
      </c>
      <c r="EN5" s="199">
        <v>0</v>
      </c>
      <c r="EO5" s="199">
        <v>0</v>
      </c>
      <c r="EP5" s="199">
        <v>0</v>
      </c>
      <c r="EQ5" s="199">
        <v>0</v>
      </c>
      <c r="ER5" s="199">
        <v>0</v>
      </c>
      <c r="ES5" s="199">
        <v>0</v>
      </c>
      <c r="ET5" s="199">
        <v>0</v>
      </c>
      <c r="EU5" s="199">
        <v>0</v>
      </c>
      <c r="EV5" s="199">
        <v>0</v>
      </c>
      <c r="EW5" s="199">
        <v>0</v>
      </c>
      <c r="EX5" s="199">
        <v>0</v>
      </c>
      <c r="EY5" s="199">
        <v>0</v>
      </c>
      <c r="EZ5" s="199">
        <v>0</v>
      </c>
      <c r="FA5" s="199">
        <v>0</v>
      </c>
      <c r="FB5" s="199">
        <v>0</v>
      </c>
      <c r="FC5" s="199">
        <v>0</v>
      </c>
      <c r="FD5" s="199">
        <v>0</v>
      </c>
      <c r="FE5" s="199">
        <v>0</v>
      </c>
      <c r="FF5" s="199">
        <v>0</v>
      </c>
      <c r="FG5" s="199">
        <v>0</v>
      </c>
      <c r="FH5" s="199">
        <v>0</v>
      </c>
      <c r="FI5" s="199">
        <v>0</v>
      </c>
      <c r="FJ5" s="199">
        <v>0</v>
      </c>
      <c r="FK5" s="199">
        <v>0</v>
      </c>
      <c r="FL5" s="199">
        <v>0</v>
      </c>
      <c r="FM5" s="199">
        <v>0</v>
      </c>
      <c r="FN5" s="199">
        <v>0</v>
      </c>
      <c r="FO5" s="199">
        <v>0</v>
      </c>
      <c r="FP5" s="199">
        <v>0</v>
      </c>
      <c r="FQ5" s="199">
        <v>0</v>
      </c>
      <c r="FR5" s="199">
        <v>0</v>
      </c>
      <c r="FS5" s="199">
        <v>0</v>
      </c>
      <c r="FT5" s="199">
        <v>0</v>
      </c>
      <c r="FU5" s="199">
        <v>0</v>
      </c>
      <c r="FV5" s="199">
        <v>0</v>
      </c>
      <c r="FW5" s="199">
        <v>0</v>
      </c>
      <c r="FX5" s="199">
        <v>0</v>
      </c>
      <c r="FY5" s="199">
        <v>0</v>
      </c>
      <c r="FZ5" s="199">
        <v>0</v>
      </c>
      <c r="GA5" s="199">
        <v>0</v>
      </c>
      <c r="GB5" s="199">
        <v>0</v>
      </c>
      <c r="GC5" s="199">
        <v>0</v>
      </c>
      <c r="GD5" s="199">
        <v>0</v>
      </c>
      <c r="GE5" s="199">
        <v>0</v>
      </c>
      <c r="GF5" s="199">
        <v>0</v>
      </c>
      <c r="GG5" s="199">
        <v>0</v>
      </c>
      <c r="GH5" s="199">
        <v>0</v>
      </c>
      <c r="GI5" s="199">
        <v>0</v>
      </c>
      <c r="GJ5" s="199">
        <v>0</v>
      </c>
      <c r="GK5" s="199">
        <v>0</v>
      </c>
      <c r="GL5" s="199">
        <v>0</v>
      </c>
      <c r="GM5" s="199">
        <v>0</v>
      </c>
      <c r="GN5" s="199">
        <v>0</v>
      </c>
      <c r="GO5" s="199">
        <v>0</v>
      </c>
      <c r="GP5" s="199">
        <v>0</v>
      </c>
      <c r="GQ5" s="199">
        <v>0</v>
      </c>
      <c r="GR5" s="199">
        <v>0</v>
      </c>
      <c r="GS5" s="199">
        <v>0</v>
      </c>
      <c r="GT5" s="199">
        <v>0</v>
      </c>
      <c r="GU5" s="199">
        <v>0</v>
      </c>
      <c r="GV5" s="199">
        <v>0</v>
      </c>
      <c r="GW5" s="199"/>
      <c r="GX5" s="199"/>
      <c r="GY5" s="199"/>
      <c r="GZ5" s="199"/>
    </row>
    <row r="6" spans="1:208" ht="14.45">
      <c r="A6" s="34" t="s">
        <v>285</v>
      </c>
      <c r="B6" s="88">
        <v>2</v>
      </c>
      <c r="C6" s="96">
        <v>0</v>
      </c>
      <c r="D6" s="96">
        <f>G6</f>
        <v>0</v>
      </c>
      <c r="E6" s="96">
        <v>0</v>
      </c>
      <c r="F6" s="96">
        <v>0</v>
      </c>
      <c r="G6" s="173">
        <f t="shared" si="0"/>
        <v>0</v>
      </c>
      <c r="H6" s="199">
        <v>0</v>
      </c>
      <c r="I6" s="199">
        <v>0</v>
      </c>
      <c r="J6" s="199">
        <v>0</v>
      </c>
      <c r="K6" s="199">
        <v>0</v>
      </c>
      <c r="L6" s="199">
        <v>0</v>
      </c>
      <c r="M6" s="199">
        <v>0</v>
      </c>
      <c r="N6" s="199">
        <v>0</v>
      </c>
      <c r="O6" s="199">
        <v>0</v>
      </c>
      <c r="P6" s="199">
        <v>0</v>
      </c>
      <c r="Q6" s="199">
        <v>0</v>
      </c>
      <c r="R6" s="199">
        <v>0</v>
      </c>
      <c r="S6" s="199">
        <v>0</v>
      </c>
      <c r="T6" s="199">
        <v>0</v>
      </c>
      <c r="U6" s="199">
        <v>0</v>
      </c>
      <c r="V6" s="199">
        <v>0</v>
      </c>
      <c r="W6" s="199">
        <v>0</v>
      </c>
      <c r="X6" s="199">
        <v>0</v>
      </c>
      <c r="Y6" s="199">
        <v>0</v>
      </c>
      <c r="Z6" s="199">
        <v>0</v>
      </c>
      <c r="AA6" s="199">
        <v>0</v>
      </c>
      <c r="AB6" s="199">
        <v>0</v>
      </c>
      <c r="AC6" s="199">
        <v>0</v>
      </c>
      <c r="AD6" s="199">
        <v>0</v>
      </c>
      <c r="AE6" s="199">
        <v>0</v>
      </c>
      <c r="AF6" s="199">
        <v>0</v>
      </c>
      <c r="AG6" s="199">
        <v>0</v>
      </c>
      <c r="AH6" s="199">
        <v>0</v>
      </c>
      <c r="AI6" s="199">
        <v>0</v>
      </c>
      <c r="AJ6" s="199">
        <v>0</v>
      </c>
      <c r="AK6" s="199">
        <v>0</v>
      </c>
      <c r="AL6" s="199">
        <v>0</v>
      </c>
      <c r="AM6" s="199">
        <v>0</v>
      </c>
      <c r="AN6" s="199">
        <v>0</v>
      </c>
      <c r="AO6" s="199">
        <v>0</v>
      </c>
      <c r="AP6" s="199">
        <v>0</v>
      </c>
      <c r="AQ6" s="199">
        <v>0</v>
      </c>
      <c r="AR6" s="199">
        <v>0</v>
      </c>
      <c r="AS6" s="199">
        <v>0</v>
      </c>
      <c r="AT6" s="199">
        <v>0</v>
      </c>
      <c r="AU6" s="199">
        <v>0</v>
      </c>
      <c r="AV6" s="199">
        <v>0</v>
      </c>
      <c r="AW6" s="199">
        <v>0</v>
      </c>
      <c r="AX6" s="199">
        <v>0</v>
      </c>
      <c r="AY6" s="199">
        <v>0</v>
      </c>
      <c r="AZ6" s="199">
        <v>0</v>
      </c>
      <c r="BA6" s="199">
        <v>0</v>
      </c>
      <c r="BB6" s="199">
        <v>0</v>
      </c>
      <c r="BC6" s="199">
        <v>0</v>
      </c>
      <c r="BD6" s="199">
        <v>0</v>
      </c>
      <c r="BE6" s="199">
        <v>0</v>
      </c>
      <c r="BF6" s="199">
        <v>0</v>
      </c>
      <c r="BG6" s="199">
        <v>0</v>
      </c>
      <c r="BH6" s="199">
        <v>0</v>
      </c>
      <c r="BI6" s="199">
        <v>0</v>
      </c>
      <c r="BJ6" s="199">
        <v>0</v>
      </c>
      <c r="BK6" s="199">
        <v>0</v>
      </c>
      <c r="BL6" s="199">
        <v>0</v>
      </c>
      <c r="BM6" s="199">
        <v>0</v>
      </c>
      <c r="BN6" s="199">
        <v>0</v>
      </c>
      <c r="BO6" s="199">
        <v>0</v>
      </c>
      <c r="BP6" s="199">
        <v>0</v>
      </c>
      <c r="BQ6" s="199">
        <v>0</v>
      </c>
      <c r="BR6" s="199">
        <v>0</v>
      </c>
      <c r="BS6" s="199">
        <v>0</v>
      </c>
      <c r="BT6" s="199">
        <v>0</v>
      </c>
      <c r="BU6" s="199">
        <v>0</v>
      </c>
      <c r="BV6" s="199">
        <v>0</v>
      </c>
      <c r="BW6" s="199">
        <v>0</v>
      </c>
      <c r="BX6" s="199">
        <v>0</v>
      </c>
      <c r="BY6" s="199">
        <v>0</v>
      </c>
      <c r="BZ6" s="199">
        <v>0</v>
      </c>
      <c r="CA6" s="199">
        <v>0</v>
      </c>
      <c r="CB6" s="199">
        <v>0</v>
      </c>
      <c r="CC6" s="199">
        <v>0</v>
      </c>
      <c r="CD6" s="199">
        <v>0</v>
      </c>
      <c r="CE6" s="199">
        <v>0</v>
      </c>
      <c r="CF6" s="199">
        <v>0</v>
      </c>
      <c r="CG6" s="199">
        <v>0</v>
      </c>
      <c r="CH6" s="199">
        <v>0</v>
      </c>
      <c r="CI6" s="199">
        <v>0</v>
      </c>
      <c r="CJ6" s="199">
        <v>0</v>
      </c>
      <c r="CK6" s="199">
        <v>0</v>
      </c>
      <c r="CL6" s="199">
        <v>0</v>
      </c>
      <c r="CM6" s="199">
        <v>0</v>
      </c>
      <c r="CN6" s="199">
        <v>0</v>
      </c>
      <c r="CO6" s="199">
        <v>0</v>
      </c>
      <c r="CP6" s="199">
        <v>0</v>
      </c>
      <c r="CQ6" s="199">
        <v>0</v>
      </c>
      <c r="CR6" s="199">
        <v>0</v>
      </c>
      <c r="CS6" s="199">
        <v>0</v>
      </c>
      <c r="CT6" s="199">
        <v>0</v>
      </c>
      <c r="CU6" s="199">
        <v>0</v>
      </c>
      <c r="CV6" s="199">
        <v>0</v>
      </c>
      <c r="CW6" s="199">
        <v>0</v>
      </c>
      <c r="CX6" s="199">
        <v>0</v>
      </c>
      <c r="CY6" s="199">
        <v>0</v>
      </c>
      <c r="CZ6" s="199">
        <v>0</v>
      </c>
      <c r="DA6" s="199">
        <v>0</v>
      </c>
      <c r="DB6" s="199">
        <v>0</v>
      </c>
      <c r="DC6" s="199">
        <v>0</v>
      </c>
      <c r="DD6" s="199">
        <v>0</v>
      </c>
      <c r="DE6" s="199">
        <v>0</v>
      </c>
      <c r="DF6" s="199">
        <v>0</v>
      </c>
      <c r="DG6" s="199">
        <v>0</v>
      </c>
      <c r="DH6" s="199">
        <v>0</v>
      </c>
      <c r="DI6" s="199">
        <v>0</v>
      </c>
      <c r="DJ6" s="199">
        <v>0</v>
      </c>
      <c r="DK6" s="199">
        <v>0</v>
      </c>
      <c r="DL6" s="199">
        <v>0</v>
      </c>
      <c r="DM6" s="199">
        <v>0</v>
      </c>
      <c r="DN6" s="199">
        <v>0</v>
      </c>
      <c r="DO6" s="199">
        <v>0</v>
      </c>
      <c r="DP6" s="199">
        <v>0</v>
      </c>
      <c r="DQ6" s="199">
        <v>0</v>
      </c>
      <c r="DR6" s="199">
        <v>0</v>
      </c>
      <c r="DS6" s="199">
        <v>0</v>
      </c>
      <c r="DT6" s="199">
        <v>0</v>
      </c>
      <c r="DU6" s="199">
        <v>0</v>
      </c>
      <c r="DV6" s="199">
        <v>0</v>
      </c>
      <c r="DW6" s="199">
        <v>0</v>
      </c>
      <c r="DX6" s="199">
        <v>0</v>
      </c>
      <c r="DY6" s="199">
        <v>0</v>
      </c>
      <c r="DZ6" s="199">
        <v>0</v>
      </c>
      <c r="EA6" s="199">
        <v>0</v>
      </c>
      <c r="EB6" s="199">
        <v>0</v>
      </c>
      <c r="EC6" s="199">
        <v>0</v>
      </c>
      <c r="ED6" s="199">
        <v>0</v>
      </c>
      <c r="EE6" s="199">
        <v>0</v>
      </c>
      <c r="EF6" s="199">
        <v>0</v>
      </c>
      <c r="EG6" s="199">
        <v>0</v>
      </c>
      <c r="EH6" s="199">
        <v>0</v>
      </c>
      <c r="EI6" s="199">
        <v>0</v>
      </c>
      <c r="EJ6" s="199">
        <v>0</v>
      </c>
      <c r="EK6" s="199">
        <v>0</v>
      </c>
      <c r="EL6" s="199">
        <v>0</v>
      </c>
      <c r="EM6" s="199">
        <v>0</v>
      </c>
      <c r="EN6" s="199">
        <v>0</v>
      </c>
      <c r="EO6" s="199">
        <v>0</v>
      </c>
      <c r="EP6" s="199">
        <v>0</v>
      </c>
      <c r="EQ6" s="199">
        <v>0</v>
      </c>
      <c r="ER6" s="199">
        <v>0</v>
      </c>
      <c r="ES6" s="199">
        <v>0</v>
      </c>
      <c r="ET6" s="199">
        <v>0</v>
      </c>
      <c r="EU6" s="199">
        <v>0</v>
      </c>
      <c r="EV6" s="199">
        <v>0</v>
      </c>
      <c r="EW6" s="199">
        <v>0</v>
      </c>
      <c r="EX6" s="199">
        <v>0</v>
      </c>
      <c r="EY6" s="199">
        <v>0</v>
      </c>
      <c r="EZ6" s="199">
        <v>0</v>
      </c>
      <c r="FA6" s="199">
        <v>0</v>
      </c>
      <c r="FB6" s="199">
        <v>0</v>
      </c>
      <c r="FC6" s="199">
        <v>0</v>
      </c>
      <c r="FD6" s="199">
        <v>0</v>
      </c>
      <c r="FE6" s="199">
        <v>0</v>
      </c>
      <c r="FF6" s="199">
        <v>0</v>
      </c>
      <c r="FG6" s="199">
        <v>0</v>
      </c>
      <c r="FH6" s="199">
        <v>0</v>
      </c>
      <c r="FI6" s="199">
        <v>0</v>
      </c>
      <c r="FJ6" s="199">
        <v>0</v>
      </c>
      <c r="FK6" s="199">
        <v>0</v>
      </c>
      <c r="FL6" s="199">
        <v>0</v>
      </c>
      <c r="FM6" s="199">
        <v>0</v>
      </c>
      <c r="FN6" s="199">
        <v>0</v>
      </c>
      <c r="FO6" s="199">
        <v>0</v>
      </c>
      <c r="FP6" s="199">
        <v>0</v>
      </c>
      <c r="FQ6" s="199">
        <v>0</v>
      </c>
      <c r="FR6" s="199">
        <v>0</v>
      </c>
      <c r="FS6" s="199">
        <v>0</v>
      </c>
      <c r="FT6" s="199">
        <v>0</v>
      </c>
      <c r="FU6" s="199">
        <v>0</v>
      </c>
      <c r="FV6" s="199">
        <v>0</v>
      </c>
      <c r="FW6" s="199">
        <v>0</v>
      </c>
      <c r="FX6" s="199">
        <v>0</v>
      </c>
      <c r="FY6" s="199">
        <v>0</v>
      </c>
      <c r="FZ6" s="199">
        <v>0</v>
      </c>
      <c r="GA6" s="199">
        <v>0</v>
      </c>
      <c r="GB6" s="199">
        <v>0</v>
      </c>
      <c r="GC6" s="199">
        <v>0</v>
      </c>
      <c r="GD6" s="199">
        <v>0</v>
      </c>
      <c r="GE6" s="199">
        <v>0</v>
      </c>
      <c r="GF6" s="199">
        <v>0</v>
      </c>
      <c r="GG6" s="199">
        <v>0</v>
      </c>
      <c r="GH6" s="199">
        <v>0</v>
      </c>
      <c r="GI6" s="199">
        <v>0</v>
      </c>
      <c r="GJ6" s="199">
        <v>0</v>
      </c>
      <c r="GK6" s="199">
        <v>0</v>
      </c>
      <c r="GL6" s="199">
        <v>0</v>
      </c>
      <c r="GM6" s="199">
        <v>0</v>
      </c>
      <c r="GN6" s="199">
        <v>0</v>
      </c>
      <c r="GO6" s="199">
        <v>0</v>
      </c>
      <c r="GP6" s="199">
        <v>0</v>
      </c>
      <c r="GQ6" s="199">
        <v>0</v>
      </c>
      <c r="GR6" s="199">
        <v>0</v>
      </c>
      <c r="GS6" s="199">
        <v>0</v>
      </c>
      <c r="GT6" s="199">
        <v>0</v>
      </c>
      <c r="GU6" s="199">
        <v>0</v>
      </c>
      <c r="GV6" s="199">
        <v>0</v>
      </c>
      <c r="GW6" s="199"/>
      <c r="GX6" s="199"/>
      <c r="GY6" s="199"/>
      <c r="GZ6" s="199"/>
    </row>
    <row r="7" spans="1:208" ht="14.45">
      <c r="A7" s="34" t="s">
        <v>286</v>
      </c>
      <c r="B7" s="88">
        <v>2</v>
      </c>
      <c r="C7" s="96">
        <f>G7</f>
        <v>9</v>
      </c>
      <c r="D7" s="96">
        <v>0</v>
      </c>
      <c r="E7" s="96">
        <v>0</v>
      </c>
      <c r="F7" s="96">
        <v>0</v>
      </c>
      <c r="G7" s="173">
        <f t="shared" si="0"/>
        <v>9</v>
      </c>
      <c r="H7" s="199">
        <v>0</v>
      </c>
      <c r="I7" s="199">
        <v>0</v>
      </c>
      <c r="J7" s="199">
        <v>0</v>
      </c>
      <c r="K7" s="199">
        <v>0</v>
      </c>
      <c r="L7" s="199">
        <v>0</v>
      </c>
      <c r="M7" s="199">
        <v>0</v>
      </c>
      <c r="N7" s="199">
        <v>0</v>
      </c>
      <c r="O7" s="199">
        <v>0</v>
      </c>
      <c r="P7" s="199">
        <v>0</v>
      </c>
      <c r="Q7" s="199">
        <v>0</v>
      </c>
      <c r="R7" s="199">
        <v>0</v>
      </c>
      <c r="S7" s="199">
        <v>0</v>
      </c>
      <c r="T7" s="199">
        <v>0</v>
      </c>
      <c r="U7" s="199">
        <v>0</v>
      </c>
      <c r="V7" s="199">
        <v>0</v>
      </c>
      <c r="W7" s="199">
        <v>0</v>
      </c>
      <c r="X7" s="199">
        <v>0</v>
      </c>
      <c r="Y7" s="199">
        <v>0</v>
      </c>
      <c r="Z7" s="199">
        <v>0</v>
      </c>
      <c r="AA7" s="199">
        <v>0</v>
      </c>
      <c r="AB7" s="199">
        <v>0</v>
      </c>
      <c r="AC7" s="199">
        <v>0</v>
      </c>
      <c r="AD7" s="199">
        <v>0</v>
      </c>
      <c r="AE7" s="199">
        <v>0</v>
      </c>
      <c r="AF7" s="199">
        <v>0</v>
      </c>
      <c r="AG7" s="199">
        <v>0</v>
      </c>
      <c r="AH7" s="199">
        <v>0</v>
      </c>
      <c r="AI7" s="199">
        <v>0</v>
      </c>
      <c r="AJ7" s="199">
        <v>0</v>
      </c>
      <c r="AK7" s="199">
        <v>0</v>
      </c>
      <c r="AL7" s="199">
        <v>0</v>
      </c>
      <c r="AM7" s="199">
        <v>0</v>
      </c>
      <c r="AN7" s="199">
        <v>0</v>
      </c>
      <c r="AO7" s="199">
        <v>0</v>
      </c>
      <c r="AP7" s="199">
        <v>0</v>
      </c>
      <c r="AQ7" s="199">
        <v>0</v>
      </c>
      <c r="AR7" s="199">
        <v>0</v>
      </c>
      <c r="AS7" s="199">
        <v>0</v>
      </c>
      <c r="AT7" s="199">
        <v>0</v>
      </c>
      <c r="AU7" s="199">
        <v>0</v>
      </c>
      <c r="AV7" s="199">
        <v>0</v>
      </c>
      <c r="AW7" s="199">
        <v>0</v>
      </c>
      <c r="AX7" s="199">
        <v>0</v>
      </c>
      <c r="AY7" s="199">
        <v>0</v>
      </c>
      <c r="AZ7" s="199">
        <v>0</v>
      </c>
      <c r="BA7" s="199">
        <v>0</v>
      </c>
      <c r="BB7" s="199">
        <v>0</v>
      </c>
      <c r="BC7" s="199">
        <v>0</v>
      </c>
      <c r="BD7" s="199">
        <v>0</v>
      </c>
      <c r="BE7" s="199">
        <v>0</v>
      </c>
      <c r="BF7" s="199">
        <v>0</v>
      </c>
      <c r="BG7" s="199">
        <v>0</v>
      </c>
      <c r="BH7" s="199">
        <v>0</v>
      </c>
      <c r="BI7" s="199">
        <v>0</v>
      </c>
      <c r="BJ7" s="199">
        <v>0</v>
      </c>
      <c r="BK7" s="199">
        <v>0</v>
      </c>
      <c r="BL7" s="199">
        <v>0</v>
      </c>
      <c r="BM7" s="199">
        <v>0</v>
      </c>
      <c r="BN7" s="199">
        <v>0</v>
      </c>
      <c r="BO7" s="199">
        <v>0</v>
      </c>
      <c r="BP7" s="199">
        <v>0</v>
      </c>
      <c r="BQ7" s="199">
        <v>0</v>
      </c>
      <c r="BR7" s="199">
        <v>0</v>
      </c>
      <c r="BS7" s="199">
        <v>0</v>
      </c>
      <c r="BT7" s="199">
        <v>0</v>
      </c>
      <c r="BU7" s="199">
        <v>0</v>
      </c>
      <c r="BV7" s="199">
        <v>0</v>
      </c>
      <c r="BW7" s="199">
        <v>0</v>
      </c>
      <c r="BX7" s="199">
        <v>0</v>
      </c>
      <c r="BY7" s="199">
        <v>0</v>
      </c>
      <c r="BZ7" s="199">
        <v>0</v>
      </c>
      <c r="CA7" s="199">
        <v>0</v>
      </c>
      <c r="CB7" s="199">
        <v>0</v>
      </c>
      <c r="CC7" s="199">
        <v>0</v>
      </c>
      <c r="CD7" s="199">
        <v>0</v>
      </c>
      <c r="CE7" s="199">
        <v>0</v>
      </c>
      <c r="CF7" s="199">
        <v>0</v>
      </c>
      <c r="CG7" s="199">
        <v>0</v>
      </c>
      <c r="CH7" s="199">
        <v>0</v>
      </c>
      <c r="CI7" s="199">
        <v>0</v>
      </c>
      <c r="CJ7" s="199">
        <v>0</v>
      </c>
      <c r="CK7" s="199">
        <v>0</v>
      </c>
      <c r="CL7" s="199">
        <v>0</v>
      </c>
      <c r="CM7" s="199">
        <v>0</v>
      </c>
      <c r="CN7" s="199">
        <v>0</v>
      </c>
      <c r="CO7" s="199">
        <v>0</v>
      </c>
      <c r="CP7" s="199">
        <v>0</v>
      </c>
      <c r="CQ7" s="199">
        <v>0</v>
      </c>
      <c r="CR7" s="199">
        <v>0</v>
      </c>
      <c r="CS7" s="199">
        <v>0</v>
      </c>
      <c r="CT7" s="199">
        <v>0</v>
      </c>
      <c r="CU7" s="199">
        <v>0</v>
      </c>
      <c r="CV7" s="199">
        <v>0</v>
      </c>
      <c r="CW7" s="199">
        <v>0</v>
      </c>
      <c r="CX7" s="199">
        <v>0</v>
      </c>
      <c r="CY7" s="199">
        <v>0</v>
      </c>
      <c r="CZ7" s="199">
        <v>0</v>
      </c>
      <c r="DA7" s="199">
        <v>0</v>
      </c>
      <c r="DB7" s="199">
        <v>0</v>
      </c>
      <c r="DC7" s="199">
        <v>0</v>
      </c>
      <c r="DD7" s="199">
        <v>0</v>
      </c>
      <c r="DE7" s="199">
        <v>0</v>
      </c>
      <c r="DF7" s="199">
        <v>0</v>
      </c>
      <c r="DG7" s="199">
        <v>0</v>
      </c>
      <c r="DH7" s="199">
        <v>0</v>
      </c>
      <c r="DI7" s="199">
        <v>0</v>
      </c>
      <c r="DJ7" s="199">
        <v>0</v>
      </c>
      <c r="DK7" s="199">
        <v>0</v>
      </c>
      <c r="DL7" s="199">
        <v>0</v>
      </c>
      <c r="DM7" s="199">
        <v>0</v>
      </c>
      <c r="DN7" s="199">
        <v>0</v>
      </c>
      <c r="DO7" s="199">
        <v>0</v>
      </c>
      <c r="DP7" s="199">
        <v>0</v>
      </c>
      <c r="DQ7" s="199">
        <v>0</v>
      </c>
      <c r="DR7" s="199">
        <v>0</v>
      </c>
      <c r="DS7" s="199">
        <v>0</v>
      </c>
      <c r="DT7" s="199">
        <v>0</v>
      </c>
      <c r="DU7" s="199">
        <v>0</v>
      </c>
      <c r="DV7" s="199">
        <v>0</v>
      </c>
      <c r="DW7" s="199">
        <v>0</v>
      </c>
      <c r="DX7" s="199">
        <v>0</v>
      </c>
      <c r="DY7" s="199">
        <v>0</v>
      </c>
      <c r="DZ7" s="199">
        <v>0</v>
      </c>
      <c r="EA7" s="199">
        <v>0</v>
      </c>
      <c r="EB7" s="199">
        <v>0</v>
      </c>
      <c r="EC7" s="199">
        <v>0</v>
      </c>
      <c r="ED7" s="199">
        <v>0</v>
      </c>
      <c r="EE7" s="199">
        <v>0</v>
      </c>
      <c r="EF7" s="199">
        <v>0</v>
      </c>
      <c r="EG7" s="199">
        <v>0</v>
      </c>
      <c r="EH7" s="199">
        <v>0</v>
      </c>
      <c r="EI7" s="199">
        <v>0</v>
      </c>
      <c r="EJ7" s="199">
        <v>0</v>
      </c>
      <c r="EK7" s="199">
        <v>0</v>
      </c>
      <c r="EL7" s="199">
        <v>0</v>
      </c>
      <c r="EM7" s="199">
        <v>0</v>
      </c>
      <c r="EN7" s="199">
        <v>0</v>
      </c>
      <c r="EO7" s="199">
        <v>0</v>
      </c>
      <c r="EP7" s="199">
        <v>0</v>
      </c>
      <c r="EQ7" s="199">
        <v>0</v>
      </c>
      <c r="ER7" s="199">
        <v>0</v>
      </c>
      <c r="ES7" s="199">
        <v>0</v>
      </c>
      <c r="ET7" s="199">
        <v>0</v>
      </c>
      <c r="EU7" s="199">
        <v>0</v>
      </c>
      <c r="EV7" s="199">
        <v>0</v>
      </c>
      <c r="EW7" s="199">
        <v>0</v>
      </c>
      <c r="EX7" s="199">
        <v>0</v>
      </c>
      <c r="EY7" s="199">
        <v>0</v>
      </c>
      <c r="EZ7" s="199">
        <v>0</v>
      </c>
      <c r="FA7" s="199">
        <v>0</v>
      </c>
      <c r="FB7" s="199">
        <v>0</v>
      </c>
      <c r="FC7" s="199">
        <v>0</v>
      </c>
      <c r="FD7" s="199">
        <v>0</v>
      </c>
      <c r="FE7" s="199">
        <v>0</v>
      </c>
      <c r="FF7" s="199">
        <v>0</v>
      </c>
      <c r="FG7" s="199">
        <v>0</v>
      </c>
      <c r="FH7" s="199">
        <v>0</v>
      </c>
      <c r="FI7" s="199">
        <v>0</v>
      </c>
      <c r="FJ7" s="199">
        <v>0</v>
      </c>
      <c r="FK7" s="199">
        <v>0</v>
      </c>
      <c r="FL7" s="199">
        <v>0</v>
      </c>
      <c r="FM7" s="199">
        <v>0</v>
      </c>
      <c r="FN7" s="199">
        <v>0</v>
      </c>
      <c r="FO7" s="199">
        <v>0</v>
      </c>
      <c r="FP7" s="199">
        <v>0</v>
      </c>
      <c r="FQ7" s="199">
        <v>0</v>
      </c>
      <c r="FR7" s="199">
        <v>0</v>
      </c>
      <c r="FS7" s="199">
        <v>0</v>
      </c>
      <c r="FT7" s="199">
        <v>0</v>
      </c>
      <c r="FU7" s="199">
        <v>0</v>
      </c>
      <c r="FV7" s="199">
        <v>0</v>
      </c>
      <c r="FW7" s="199">
        <v>9</v>
      </c>
      <c r="FX7" s="199">
        <v>0</v>
      </c>
      <c r="FY7" s="199">
        <v>0</v>
      </c>
      <c r="FZ7" s="199">
        <v>0</v>
      </c>
      <c r="GA7" s="199">
        <v>0</v>
      </c>
      <c r="GB7" s="199">
        <v>0</v>
      </c>
      <c r="GC7" s="199">
        <v>0</v>
      </c>
      <c r="GD7" s="199">
        <v>0</v>
      </c>
      <c r="GE7" s="199">
        <v>0</v>
      </c>
      <c r="GF7" s="199">
        <v>0</v>
      </c>
      <c r="GG7" s="199">
        <v>0</v>
      </c>
      <c r="GH7" s="199">
        <v>0</v>
      </c>
      <c r="GI7" s="199">
        <v>0</v>
      </c>
      <c r="GJ7" s="199">
        <v>0</v>
      </c>
      <c r="GK7" s="199">
        <v>0</v>
      </c>
      <c r="GL7" s="199">
        <v>0</v>
      </c>
      <c r="GM7" s="199">
        <v>0</v>
      </c>
      <c r="GN7" s="199">
        <v>0</v>
      </c>
      <c r="GO7" s="199">
        <v>0</v>
      </c>
      <c r="GP7" s="199">
        <v>0</v>
      </c>
      <c r="GQ7" s="199">
        <v>0</v>
      </c>
      <c r="GR7" s="199">
        <v>0</v>
      </c>
      <c r="GS7" s="199">
        <v>0</v>
      </c>
      <c r="GT7" s="199">
        <v>0</v>
      </c>
      <c r="GU7" s="199">
        <v>0</v>
      </c>
      <c r="GV7" s="199">
        <v>0</v>
      </c>
      <c r="GW7" s="199"/>
      <c r="GX7" s="199"/>
      <c r="GY7" s="199"/>
      <c r="GZ7" s="199"/>
    </row>
    <row r="8" spans="1:208" ht="14.45">
      <c r="A8" s="34" t="s">
        <v>287</v>
      </c>
      <c r="B8" s="88">
        <v>2</v>
      </c>
      <c r="C8" s="96">
        <v>0</v>
      </c>
      <c r="D8" s="96">
        <v>0</v>
      </c>
      <c r="E8" s="96">
        <f>G8</f>
        <v>257</v>
      </c>
      <c r="F8" s="96">
        <v>0</v>
      </c>
      <c r="G8" s="173">
        <f t="shared" si="0"/>
        <v>257</v>
      </c>
      <c r="H8" s="199">
        <v>0</v>
      </c>
      <c r="I8" s="199">
        <v>0</v>
      </c>
      <c r="J8" s="199">
        <v>0</v>
      </c>
      <c r="K8" s="199">
        <v>0</v>
      </c>
      <c r="L8" s="199">
        <v>0</v>
      </c>
      <c r="M8" s="199">
        <v>0</v>
      </c>
      <c r="N8" s="199">
        <v>0</v>
      </c>
      <c r="O8" s="199">
        <v>0</v>
      </c>
      <c r="P8" s="199">
        <v>0</v>
      </c>
      <c r="Q8" s="199">
        <v>0</v>
      </c>
      <c r="R8" s="199">
        <v>0</v>
      </c>
      <c r="S8" s="199">
        <v>0</v>
      </c>
      <c r="T8" s="199">
        <v>0</v>
      </c>
      <c r="U8" s="199">
        <v>0</v>
      </c>
      <c r="V8" s="199">
        <v>0</v>
      </c>
      <c r="W8" s="199">
        <v>0</v>
      </c>
      <c r="X8" s="199">
        <v>0</v>
      </c>
      <c r="Y8" s="199">
        <v>0</v>
      </c>
      <c r="Z8" s="199">
        <v>0</v>
      </c>
      <c r="AA8" s="199">
        <v>0</v>
      </c>
      <c r="AB8" s="199">
        <v>0</v>
      </c>
      <c r="AC8" s="199">
        <v>0</v>
      </c>
      <c r="AD8" s="199">
        <v>0</v>
      </c>
      <c r="AE8" s="199">
        <v>0</v>
      </c>
      <c r="AF8" s="199">
        <v>0</v>
      </c>
      <c r="AG8" s="199">
        <v>0</v>
      </c>
      <c r="AH8" s="199">
        <v>0</v>
      </c>
      <c r="AI8" s="199">
        <v>0</v>
      </c>
      <c r="AJ8" s="199">
        <v>0</v>
      </c>
      <c r="AK8" s="199">
        <v>0</v>
      </c>
      <c r="AL8" s="199">
        <v>0</v>
      </c>
      <c r="AM8" s="199">
        <v>0</v>
      </c>
      <c r="AN8" s="199">
        <v>0</v>
      </c>
      <c r="AO8" s="199">
        <v>0</v>
      </c>
      <c r="AP8" s="199">
        <v>0</v>
      </c>
      <c r="AQ8" s="199">
        <v>0</v>
      </c>
      <c r="AR8" s="199">
        <v>0</v>
      </c>
      <c r="AS8" s="199">
        <v>0</v>
      </c>
      <c r="AT8" s="199">
        <v>0</v>
      </c>
      <c r="AU8" s="199">
        <v>0</v>
      </c>
      <c r="AV8" s="199">
        <v>0</v>
      </c>
      <c r="AW8" s="199">
        <v>0</v>
      </c>
      <c r="AX8" s="199">
        <v>0</v>
      </c>
      <c r="AY8" s="199">
        <v>0</v>
      </c>
      <c r="AZ8" s="199">
        <v>0</v>
      </c>
      <c r="BA8" s="199">
        <v>0</v>
      </c>
      <c r="BB8" s="199">
        <v>0</v>
      </c>
      <c r="BC8" s="199">
        <v>0</v>
      </c>
      <c r="BD8" s="199">
        <v>0</v>
      </c>
      <c r="BE8" s="199">
        <v>0</v>
      </c>
      <c r="BF8" s="199">
        <v>0</v>
      </c>
      <c r="BG8" s="199">
        <v>0</v>
      </c>
      <c r="BH8" s="199">
        <v>0</v>
      </c>
      <c r="BI8" s="199">
        <v>0</v>
      </c>
      <c r="BJ8" s="199">
        <v>0</v>
      </c>
      <c r="BK8" s="199">
        <v>0</v>
      </c>
      <c r="BL8" s="199">
        <v>0</v>
      </c>
      <c r="BM8" s="199">
        <v>0</v>
      </c>
      <c r="BN8" s="199">
        <v>0</v>
      </c>
      <c r="BO8" s="199">
        <v>0</v>
      </c>
      <c r="BP8" s="199">
        <v>0</v>
      </c>
      <c r="BQ8" s="199">
        <v>0</v>
      </c>
      <c r="BR8" s="199">
        <v>0</v>
      </c>
      <c r="BS8" s="199">
        <v>0</v>
      </c>
      <c r="BT8" s="199">
        <v>0</v>
      </c>
      <c r="BU8" s="199">
        <v>0</v>
      </c>
      <c r="BV8" s="199">
        <v>0</v>
      </c>
      <c r="BW8" s="199">
        <v>0</v>
      </c>
      <c r="BX8" s="199">
        <v>0</v>
      </c>
      <c r="BY8" s="199">
        <v>0</v>
      </c>
      <c r="BZ8" s="199">
        <v>0</v>
      </c>
      <c r="CA8" s="199">
        <v>0</v>
      </c>
      <c r="CB8" s="199">
        <v>0</v>
      </c>
      <c r="CC8" s="199">
        <v>0</v>
      </c>
      <c r="CD8" s="199">
        <v>0</v>
      </c>
      <c r="CE8" s="199">
        <v>0</v>
      </c>
      <c r="CF8" s="199">
        <v>0</v>
      </c>
      <c r="CG8" s="199">
        <v>0</v>
      </c>
      <c r="CH8" s="199">
        <v>0</v>
      </c>
      <c r="CI8" s="199">
        <v>0</v>
      </c>
      <c r="CJ8" s="199">
        <v>0</v>
      </c>
      <c r="CK8" s="199">
        <v>0</v>
      </c>
      <c r="CL8" s="199">
        <v>0</v>
      </c>
      <c r="CM8" s="199">
        <v>0</v>
      </c>
      <c r="CN8" s="199">
        <v>0</v>
      </c>
      <c r="CO8" s="199">
        <v>0</v>
      </c>
      <c r="CP8" s="199">
        <v>0</v>
      </c>
      <c r="CQ8" s="199">
        <v>0</v>
      </c>
      <c r="CR8" s="199">
        <v>50</v>
      </c>
      <c r="CS8" s="199">
        <v>0</v>
      </c>
      <c r="CT8" s="199">
        <v>0</v>
      </c>
      <c r="CU8" s="199">
        <v>0</v>
      </c>
      <c r="CV8" s="199">
        <v>0</v>
      </c>
      <c r="CW8" s="199">
        <v>0</v>
      </c>
      <c r="CX8" s="199">
        <v>0</v>
      </c>
      <c r="CY8" s="199">
        <v>0</v>
      </c>
      <c r="CZ8" s="199">
        <v>0</v>
      </c>
      <c r="DA8" s="199">
        <v>0</v>
      </c>
      <c r="DB8" s="199">
        <v>0</v>
      </c>
      <c r="DC8" s="199">
        <v>0</v>
      </c>
      <c r="DD8" s="199">
        <v>0</v>
      </c>
      <c r="DE8" s="199">
        <v>0</v>
      </c>
      <c r="DF8" s="199">
        <v>0</v>
      </c>
      <c r="DG8" s="199">
        <v>0</v>
      </c>
      <c r="DH8" s="199">
        <v>0</v>
      </c>
      <c r="DI8" s="199">
        <v>0</v>
      </c>
      <c r="DJ8" s="199">
        <v>0</v>
      </c>
      <c r="DK8" s="199">
        <v>0</v>
      </c>
      <c r="DL8" s="199">
        <v>0</v>
      </c>
      <c r="DM8" s="199">
        <v>0</v>
      </c>
      <c r="DN8" s="199">
        <v>0</v>
      </c>
      <c r="DO8" s="199">
        <v>0</v>
      </c>
      <c r="DP8" s="199">
        <v>0</v>
      </c>
      <c r="DQ8" s="199">
        <v>0</v>
      </c>
      <c r="DR8" s="199">
        <v>0</v>
      </c>
      <c r="DS8" s="199">
        <v>0</v>
      </c>
      <c r="DT8" s="199">
        <v>0</v>
      </c>
      <c r="DU8" s="199">
        <v>0</v>
      </c>
      <c r="DV8" s="199">
        <v>0</v>
      </c>
      <c r="DW8" s="199">
        <v>0</v>
      </c>
      <c r="DX8" s="199">
        <v>0</v>
      </c>
      <c r="DY8" s="199">
        <v>0</v>
      </c>
      <c r="DZ8" s="199">
        <v>0</v>
      </c>
      <c r="EA8" s="199">
        <v>0</v>
      </c>
      <c r="EB8" s="199">
        <v>0</v>
      </c>
      <c r="EC8" s="199">
        <v>0</v>
      </c>
      <c r="ED8" s="199">
        <v>0</v>
      </c>
      <c r="EE8" s="199">
        <v>0</v>
      </c>
      <c r="EF8" s="199">
        <v>0</v>
      </c>
      <c r="EG8" s="199">
        <v>0</v>
      </c>
      <c r="EH8" s="199">
        <v>0</v>
      </c>
      <c r="EI8" s="199">
        <v>0</v>
      </c>
      <c r="EJ8" s="199">
        <v>0</v>
      </c>
      <c r="EK8" s="199">
        <v>0</v>
      </c>
      <c r="EL8" s="199">
        <v>0</v>
      </c>
      <c r="EM8" s="199">
        <v>0</v>
      </c>
      <c r="EN8" s="199">
        <v>0</v>
      </c>
      <c r="EO8" s="199">
        <v>0</v>
      </c>
      <c r="EP8" s="199">
        <v>0</v>
      </c>
      <c r="EQ8" s="199">
        <v>0</v>
      </c>
      <c r="ER8" s="199">
        <v>0</v>
      </c>
      <c r="ES8" s="199">
        <v>0</v>
      </c>
      <c r="ET8" s="199">
        <v>0</v>
      </c>
      <c r="EU8" s="199">
        <v>0</v>
      </c>
      <c r="EV8" s="199">
        <v>0</v>
      </c>
      <c r="EW8" s="199">
        <v>0</v>
      </c>
      <c r="EX8" s="199">
        <v>0</v>
      </c>
      <c r="EY8" s="199">
        <v>0</v>
      </c>
      <c r="EZ8" s="199">
        <v>0</v>
      </c>
      <c r="FA8" s="199">
        <v>0</v>
      </c>
      <c r="FB8" s="199">
        <v>0</v>
      </c>
      <c r="FC8" s="199">
        <v>0</v>
      </c>
      <c r="FD8" s="199">
        <v>0</v>
      </c>
      <c r="FE8" s="199">
        <v>0</v>
      </c>
      <c r="FF8" s="199">
        <v>0</v>
      </c>
      <c r="FG8" s="199">
        <v>0</v>
      </c>
      <c r="FH8" s="199">
        <v>0</v>
      </c>
      <c r="FI8" s="199">
        <v>0</v>
      </c>
      <c r="FJ8" s="199">
        <v>0</v>
      </c>
      <c r="FK8" s="199">
        <v>0</v>
      </c>
      <c r="FL8" s="199">
        <v>0</v>
      </c>
      <c r="FM8" s="199">
        <v>0</v>
      </c>
      <c r="FN8" s="199">
        <v>0</v>
      </c>
      <c r="FO8" s="199">
        <v>0</v>
      </c>
      <c r="FP8" s="199">
        <v>0</v>
      </c>
      <c r="FQ8" s="199">
        <v>0</v>
      </c>
      <c r="FR8" s="199">
        <v>0</v>
      </c>
      <c r="FS8" s="199">
        <v>0</v>
      </c>
      <c r="FT8" s="199">
        <v>0</v>
      </c>
      <c r="FU8" s="199">
        <v>0</v>
      </c>
      <c r="FV8" s="199">
        <v>0</v>
      </c>
      <c r="FW8" s="199">
        <v>207</v>
      </c>
      <c r="FX8" s="199">
        <v>0</v>
      </c>
      <c r="FY8" s="199">
        <v>0</v>
      </c>
      <c r="FZ8" s="199">
        <v>0</v>
      </c>
      <c r="GA8" s="199">
        <v>0</v>
      </c>
      <c r="GB8" s="199">
        <v>0</v>
      </c>
      <c r="GC8" s="199">
        <v>0</v>
      </c>
      <c r="GD8" s="199">
        <v>0</v>
      </c>
      <c r="GE8" s="199">
        <v>0</v>
      </c>
      <c r="GF8" s="199">
        <v>0</v>
      </c>
      <c r="GG8" s="199">
        <v>0</v>
      </c>
      <c r="GH8" s="199">
        <v>0</v>
      </c>
      <c r="GI8" s="199">
        <v>0</v>
      </c>
      <c r="GJ8" s="199">
        <v>0</v>
      </c>
      <c r="GK8" s="199">
        <v>0</v>
      </c>
      <c r="GL8" s="199">
        <v>0</v>
      </c>
      <c r="GM8" s="199">
        <v>0</v>
      </c>
      <c r="GN8" s="199">
        <v>0</v>
      </c>
      <c r="GO8" s="199">
        <v>0</v>
      </c>
      <c r="GP8" s="199">
        <v>0</v>
      </c>
      <c r="GQ8" s="199">
        <v>0</v>
      </c>
      <c r="GR8" s="199">
        <v>0</v>
      </c>
      <c r="GS8" s="199">
        <v>0</v>
      </c>
      <c r="GT8" s="199">
        <v>0</v>
      </c>
      <c r="GU8" s="199">
        <v>0</v>
      </c>
      <c r="GV8" s="199">
        <v>0</v>
      </c>
      <c r="GW8" s="199"/>
      <c r="GX8" s="199"/>
      <c r="GY8" s="199"/>
      <c r="GZ8" s="199"/>
    </row>
    <row r="9" spans="1:208" ht="14.45">
      <c r="A9" s="34" t="s">
        <v>288</v>
      </c>
      <c r="B9" s="88">
        <v>2</v>
      </c>
      <c r="C9" s="96">
        <v>0</v>
      </c>
      <c r="D9" s="96">
        <v>0</v>
      </c>
      <c r="E9" s="96">
        <v>0</v>
      </c>
      <c r="F9" s="96">
        <v>0</v>
      </c>
      <c r="G9" s="173">
        <f t="shared" si="0"/>
        <v>59</v>
      </c>
      <c r="H9" s="199">
        <v>0</v>
      </c>
      <c r="I9" s="199">
        <v>0</v>
      </c>
      <c r="J9" s="199">
        <v>0</v>
      </c>
      <c r="K9" s="199">
        <v>0</v>
      </c>
      <c r="L9" s="199">
        <v>0</v>
      </c>
      <c r="M9" s="199">
        <v>0</v>
      </c>
      <c r="N9" s="199">
        <v>0</v>
      </c>
      <c r="O9" s="199">
        <v>0</v>
      </c>
      <c r="P9" s="199">
        <v>0</v>
      </c>
      <c r="Q9" s="199">
        <v>0</v>
      </c>
      <c r="R9" s="199">
        <v>0</v>
      </c>
      <c r="S9" s="199">
        <v>0</v>
      </c>
      <c r="T9" s="199">
        <v>0</v>
      </c>
      <c r="U9" s="199">
        <v>0</v>
      </c>
      <c r="V9" s="199">
        <v>0</v>
      </c>
      <c r="W9" s="199">
        <v>0</v>
      </c>
      <c r="X9" s="199">
        <v>0</v>
      </c>
      <c r="Y9" s="199">
        <v>0</v>
      </c>
      <c r="Z9" s="199">
        <v>0</v>
      </c>
      <c r="AA9" s="199">
        <v>0</v>
      </c>
      <c r="AB9" s="199">
        <v>0</v>
      </c>
      <c r="AC9" s="199">
        <v>0</v>
      </c>
      <c r="AD9" s="199">
        <v>0</v>
      </c>
      <c r="AE9" s="199">
        <v>0</v>
      </c>
      <c r="AF9" s="199">
        <v>0</v>
      </c>
      <c r="AG9" s="199">
        <v>0</v>
      </c>
      <c r="AH9" s="199">
        <v>0</v>
      </c>
      <c r="AI9" s="199">
        <v>0</v>
      </c>
      <c r="AJ9" s="199">
        <v>0</v>
      </c>
      <c r="AK9" s="199">
        <v>0</v>
      </c>
      <c r="AL9" s="199">
        <v>0</v>
      </c>
      <c r="AM9" s="199">
        <v>0</v>
      </c>
      <c r="AN9" s="199">
        <v>0</v>
      </c>
      <c r="AO9" s="199">
        <v>0</v>
      </c>
      <c r="AP9" s="199">
        <v>0</v>
      </c>
      <c r="AQ9" s="199">
        <v>0</v>
      </c>
      <c r="AR9" s="199">
        <v>0</v>
      </c>
      <c r="AS9" s="199">
        <v>0</v>
      </c>
      <c r="AT9" s="199">
        <v>0</v>
      </c>
      <c r="AU9" s="199">
        <v>0</v>
      </c>
      <c r="AV9" s="199">
        <v>0</v>
      </c>
      <c r="AW9" s="199">
        <v>0</v>
      </c>
      <c r="AX9" s="199">
        <v>0</v>
      </c>
      <c r="AY9" s="199">
        <v>0</v>
      </c>
      <c r="AZ9" s="199">
        <v>0</v>
      </c>
      <c r="BA9" s="199">
        <v>0</v>
      </c>
      <c r="BB9" s="199">
        <v>0</v>
      </c>
      <c r="BC9" s="199">
        <v>0</v>
      </c>
      <c r="BD9" s="199">
        <v>0</v>
      </c>
      <c r="BE9" s="199">
        <v>0</v>
      </c>
      <c r="BF9" s="199">
        <v>0</v>
      </c>
      <c r="BG9" s="199">
        <v>0</v>
      </c>
      <c r="BH9" s="199">
        <v>0</v>
      </c>
      <c r="BI9" s="199">
        <v>0</v>
      </c>
      <c r="BJ9" s="199">
        <v>0</v>
      </c>
      <c r="BK9" s="199">
        <v>0</v>
      </c>
      <c r="BL9" s="199">
        <v>0</v>
      </c>
      <c r="BM9" s="199">
        <v>0</v>
      </c>
      <c r="BN9" s="199">
        <v>0</v>
      </c>
      <c r="BO9" s="199">
        <v>0</v>
      </c>
      <c r="BP9" s="199">
        <v>0</v>
      </c>
      <c r="BQ9" s="199">
        <v>0</v>
      </c>
      <c r="BR9" s="199">
        <v>0</v>
      </c>
      <c r="BS9" s="199">
        <v>0</v>
      </c>
      <c r="BT9" s="199">
        <v>0</v>
      </c>
      <c r="BU9" s="199">
        <v>0</v>
      </c>
      <c r="BV9" s="199">
        <v>0</v>
      </c>
      <c r="BW9" s="199">
        <v>0</v>
      </c>
      <c r="BX9" s="199">
        <v>0</v>
      </c>
      <c r="BY9" s="199">
        <v>0</v>
      </c>
      <c r="BZ9" s="199">
        <v>0</v>
      </c>
      <c r="CA9" s="199">
        <v>0</v>
      </c>
      <c r="CB9" s="199">
        <v>0</v>
      </c>
      <c r="CC9" s="199">
        <v>0</v>
      </c>
      <c r="CD9" s="199">
        <v>0</v>
      </c>
      <c r="CE9" s="199">
        <v>0</v>
      </c>
      <c r="CF9" s="199">
        <v>0</v>
      </c>
      <c r="CG9" s="199">
        <v>0</v>
      </c>
      <c r="CH9" s="199">
        <v>0</v>
      </c>
      <c r="CI9" s="199">
        <v>0</v>
      </c>
      <c r="CJ9" s="199">
        <v>0</v>
      </c>
      <c r="CK9" s="199">
        <v>0</v>
      </c>
      <c r="CL9" s="199">
        <v>0</v>
      </c>
      <c r="CM9" s="199">
        <v>0</v>
      </c>
      <c r="CN9" s="199">
        <v>0</v>
      </c>
      <c r="CO9" s="199">
        <v>0</v>
      </c>
      <c r="CP9" s="199">
        <v>0</v>
      </c>
      <c r="CQ9" s="199">
        <v>0</v>
      </c>
      <c r="CR9" s="199">
        <v>0</v>
      </c>
      <c r="CS9" s="199">
        <v>0</v>
      </c>
      <c r="CT9" s="199">
        <v>0</v>
      </c>
      <c r="CU9" s="199">
        <v>0</v>
      </c>
      <c r="CV9" s="199">
        <v>0</v>
      </c>
      <c r="CW9" s="199">
        <v>0</v>
      </c>
      <c r="CX9" s="199">
        <v>0</v>
      </c>
      <c r="CY9" s="199">
        <v>0</v>
      </c>
      <c r="CZ9" s="199">
        <v>0</v>
      </c>
      <c r="DA9" s="199">
        <v>0</v>
      </c>
      <c r="DB9" s="199">
        <v>0</v>
      </c>
      <c r="DC9" s="199">
        <v>0</v>
      </c>
      <c r="DD9" s="199">
        <v>0</v>
      </c>
      <c r="DE9" s="199">
        <v>0</v>
      </c>
      <c r="DF9" s="199">
        <v>0</v>
      </c>
      <c r="DG9" s="199">
        <v>0</v>
      </c>
      <c r="DH9" s="199">
        <v>0</v>
      </c>
      <c r="DI9" s="199">
        <v>0</v>
      </c>
      <c r="DJ9" s="199">
        <v>0</v>
      </c>
      <c r="DK9" s="199">
        <v>0</v>
      </c>
      <c r="DL9" s="199">
        <v>0</v>
      </c>
      <c r="DM9" s="199">
        <v>0</v>
      </c>
      <c r="DN9" s="199">
        <v>0</v>
      </c>
      <c r="DO9" s="199">
        <v>0</v>
      </c>
      <c r="DP9" s="199">
        <v>0</v>
      </c>
      <c r="DQ9" s="199">
        <v>0</v>
      </c>
      <c r="DR9" s="199">
        <v>0</v>
      </c>
      <c r="DS9" s="199">
        <v>0</v>
      </c>
      <c r="DT9" s="199">
        <v>0</v>
      </c>
      <c r="DU9" s="199">
        <v>0</v>
      </c>
      <c r="DV9" s="199">
        <v>0</v>
      </c>
      <c r="DW9" s="199">
        <v>0</v>
      </c>
      <c r="DX9" s="199">
        <v>0</v>
      </c>
      <c r="DY9" s="199">
        <v>0</v>
      </c>
      <c r="DZ9" s="199">
        <v>0</v>
      </c>
      <c r="EA9" s="199">
        <v>0</v>
      </c>
      <c r="EB9" s="199">
        <v>0</v>
      </c>
      <c r="EC9" s="199">
        <v>0</v>
      </c>
      <c r="ED9" s="199">
        <v>59</v>
      </c>
      <c r="EE9" s="199">
        <v>0</v>
      </c>
      <c r="EF9" s="199">
        <v>0</v>
      </c>
      <c r="EG9" s="199">
        <v>0</v>
      </c>
      <c r="EH9" s="199">
        <v>0</v>
      </c>
      <c r="EI9" s="199">
        <v>0</v>
      </c>
      <c r="EJ9" s="199">
        <v>0</v>
      </c>
      <c r="EK9" s="199">
        <v>0</v>
      </c>
      <c r="EL9" s="199">
        <v>0</v>
      </c>
      <c r="EM9" s="199">
        <v>0</v>
      </c>
      <c r="EN9" s="199">
        <v>0</v>
      </c>
      <c r="EO9" s="199">
        <v>0</v>
      </c>
      <c r="EP9" s="199">
        <v>0</v>
      </c>
      <c r="EQ9" s="199">
        <v>0</v>
      </c>
      <c r="ER9" s="199">
        <v>0</v>
      </c>
      <c r="ES9" s="199">
        <v>0</v>
      </c>
      <c r="ET9" s="199">
        <v>0</v>
      </c>
      <c r="EU9" s="199">
        <v>0</v>
      </c>
      <c r="EV9" s="199">
        <v>0</v>
      </c>
      <c r="EW9" s="199">
        <v>0</v>
      </c>
      <c r="EX9" s="199">
        <v>0</v>
      </c>
      <c r="EY9" s="199">
        <v>0</v>
      </c>
      <c r="EZ9" s="199">
        <v>0</v>
      </c>
      <c r="FA9" s="199">
        <v>0</v>
      </c>
      <c r="FB9" s="199">
        <v>0</v>
      </c>
      <c r="FC9" s="199">
        <v>0</v>
      </c>
      <c r="FD9" s="199">
        <v>0</v>
      </c>
      <c r="FE9" s="199">
        <v>0</v>
      </c>
      <c r="FF9" s="199">
        <v>0</v>
      </c>
      <c r="FG9" s="199">
        <v>0</v>
      </c>
      <c r="FH9" s="199">
        <v>0</v>
      </c>
      <c r="FI9" s="199">
        <v>0</v>
      </c>
      <c r="FJ9" s="199">
        <v>0</v>
      </c>
      <c r="FK9" s="199">
        <v>0</v>
      </c>
      <c r="FL9" s="199">
        <v>0</v>
      </c>
      <c r="FM9" s="199">
        <v>0</v>
      </c>
      <c r="FN9" s="199">
        <v>0</v>
      </c>
      <c r="FO9" s="199">
        <v>0</v>
      </c>
      <c r="FP9" s="199">
        <v>0</v>
      </c>
      <c r="FQ9" s="199">
        <v>0</v>
      </c>
      <c r="FR9" s="199">
        <v>0</v>
      </c>
      <c r="FS9" s="199">
        <v>0</v>
      </c>
      <c r="FT9" s="199">
        <v>0</v>
      </c>
      <c r="FU9" s="199">
        <v>0</v>
      </c>
      <c r="FV9" s="199">
        <v>0</v>
      </c>
      <c r="FW9" s="199">
        <v>0</v>
      </c>
      <c r="FX9" s="199">
        <v>0</v>
      </c>
      <c r="FY9" s="199">
        <v>0</v>
      </c>
      <c r="FZ9" s="199">
        <v>0</v>
      </c>
      <c r="GA9" s="199">
        <v>0</v>
      </c>
      <c r="GB9" s="199">
        <v>0</v>
      </c>
      <c r="GC9" s="199">
        <v>0</v>
      </c>
      <c r="GD9" s="199">
        <v>0</v>
      </c>
      <c r="GE9" s="199">
        <v>0</v>
      </c>
      <c r="GF9" s="199">
        <v>0</v>
      </c>
      <c r="GG9" s="199">
        <v>0</v>
      </c>
      <c r="GH9" s="199">
        <v>0</v>
      </c>
      <c r="GI9" s="199">
        <v>0</v>
      </c>
      <c r="GJ9" s="199">
        <v>0</v>
      </c>
      <c r="GK9" s="199">
        <v>0</v>
      </c>
      <c r="GL9" s="199">
        <v>0</v>
      </c>
      <c r="GM9" s="199">
        <v>0</v>
      </c>
      <c r="GN9" s="199">
        <v>0</v>
      </c>
      <c r="GO9" s="199">
        <v>0</v>
      </c>
      <c r="GP9" s="199">
        <v>0</v>
      </c>
      <c r="GQ9" s="199">
        <v>0</v>
      </c>
      <c r="GR9" s="199">
        <v>0</v>
      </c>
      <c r="GS9" s="199">
        <v>0</v>
      </c>
      <c r="GT9" s="199">
        <v>0</v>
      </c>
      <c r="GU9" s="199">
        <v>0</v>
      </c>
      <c r="GV9" s="199">
        <v>0</v>
      </c>
      <c r="GW9" s="199"/>
      <c r="GX9" s="199"/>
      <c r="GY9" s="199"/>
      <c r="GZ9" s="199"/>
    </row>
    <row r="10" spans="1:208" ht="14.45">
      <c r="A10" s="34" t="s">
        <v>289</v>
      </c>
      <c r="B10" s="88">
        <v>2</v>
      </c>
      <c r="C10" s="96">
        <v>0</v>
      </c>
      <c r="D10" s="96">
        <v>0</v>
      </c>
      <c r="E10" s="96">
        <v>0</v>
      </c>
      <c r="F10" s="96">
        <f>G10</f>
        <v>124</v>
      </c>
      <c r="G10" s="173">
        <f t="shared" si="0"/>
        <v>124</v>
      </c>
      <c r="H10" s="199">
        <v>0</v>
      </c>
      <c r="I10" s="199">
        <v>0</v>
      </c>
      <c r="J10" s="199">
        <v>0</v>
      </c>
      <c r="K10" s="199">
        <v>0</v>
      </c>
      <c r="L10" s="199">
        <v>0</v>
      </c>
      <c r="M10" s="199">
        <v>0</v>
      </c>
      <c r="N10" s="199">
        <v>0</v>
      </c>
      <c r="O10" s="199">
        <v>0</v>
      </c>
      <c r="P10" s="199">
        <v>0</v>
      </c>
      <c r="Q10" s="199">
        <v>0</v>
      </c>
      <c r="R10" s="199">
        <v>0</v>
      </c>
      <c r="S10" s="199">
        <v>0</v>
      </c>
      <c r="T10" s="199">
        <v>0</v>
      </c>
      <c r="U10" s="199">
        <v>0</v>
      </c>
      <c r="V10" s="199">
        <v>0</v>
      </c>
      <c r="W10" s="199">
        <v>0</v>
      </c>
      <c r="X10" s="199">
        <v>0</v>
      </c>
      <c r="Y10" s="199">
        <v>0</v>
      </c>
      <c r="Z10" s="199">
        <v>0</v>
      </c>
      <c r="AA10" s="199">
        <v>0</v>
      </c>
      <c r="AB10" s="199">
        <v>0</v>
      </c>
      <c r="AC10" s="199">
        <v>0</v>
      </c>
      <c r="AD10" s="199">
        <v>0</v>
      </c>
      <c r="AE10" s="199">
        <v>0</v>
      </c>
      <c r="AF10" s="199">
        <v>0</v>
      </c>
      <c r="AG10" s="199">
        <v>0</v>
      </c>
      <c r="AH10" s="199">
        <v>0</v>
      </c>
      <c r="AI10" s="199">
        <v>0</v>
      </c>
      <c r="AJ10" s="199">
        <v>0</v>
      </c>
      <c r="AK10" s="199">
        <v>0</v>
      </c>
      <c r="AL10" s="199">
        <v>0</v>
      </c>
      <c r="AM10" s="199">
        <v>0</v>
      </c>
      <c r="AN10" s="199">
        <v>0</v>
      </c>
      <c r="AO10" s="199">
        <v>0</v>
      </c>
      <c r="AP10" s="199">
        <v>0</v>
      </c>
      <c r="AQ10" s="199">
        <v>0</v>
      </c>
      <c r="AR10" s="199">
        <v>0</v>
      </c>
      <c r="AS10" s="199">
        <v>0</v>
      </c>
      <c r="AT10" s="199">
        <v>0</v>
      </c>
      <c r="AU10" s="199">
        <v>0</v>
      </c>
      <c r="AV10" s="199">
        <v>0</v>
      </c>
      <c r="AW10" s="199">
        <v>0</v>
      </c>
      <c r="AX10" s="199">
        <v>0</v>
      </c>
      <c r="AY10" s="199">
        <v>0</v>
      </c>
      <c r="AZ10" s="199">
        <v>0</v>
      </c>
      <c r="BA10" s="199">
        <v>0</v>
      </c>
      <c r="BB10" s="199">
        <v>0</v>
      </c>
      <c r="BC10" s="199">
        <v>0</v>
      </c>
      <c r="BD10" s="199">
        <v>0</v>
      </c>
      <c r="BE10" s="199">
        <v>0</v>
      </c>
      <c r="BF10" s="199">
        <v>0</v>
      </c>
      <c r="BG10" s="199">
        <v>0</v>
      </c>
      <c r="BH10" s="199">
        <v>0</v>
      </c>
      <c r="BI10" s="199">
        <v>0</v>
      </c>
      <c r="BJ10" s="199">
        <v>0</v>
      </c>
      <c r="BK10" s="199">
        <v>0</v>
      </c>
      <c r="BL10" s="199">
        <v>0</v>
      </c>
      <c r="BM10" s="199">
        <v>0</v>
      </c>
      <c r="BN10" s="199">
        <v>0</v>
      </c>
      <c r="BO10" s="199">
        <v>0</v>
      </c>
      <c r="BP10" s="199">
        <v>0</v>
      </c>
      <c r="BQ10" s="199">
        <v>0</v>
      </c>
      <c r="BR10" s="199">
        <v>0</v>
      </c>
      <c r="BS10" s="199">
        <v>0</v>
      </c>
      <c r="BT10" s="199">
        <v>0</v>
      </c>
      <c r="BU10" s="199">
        <v>0</v>
      </c>
      <c r="BV10" s="199">
        <v>0</v>
      </c>
      <c r="BW10" s="199">
        <v>0</v>
      </c>
      <c r="BX10" s="199">
        <v>0</v>
      </c>
      <c r="BY10" s="199">
        <v>0</v>
      </c>
      <c r="BZ10" s="199">
        <v>0</v>
      </c>
      <c r="CA10" s="199">
        <v>0</v>
      </c>
      <c r="CB10" s="199">
        <v>0</v>
      </c>
      <c r="CC10" s="199">
        <v>0</v>
      </c>
      <c r="CD10" s="199">
        <v>0</v>
      </c>
      <c r="CE10" s="199">
        <v>0</v>
      </c>
      <c r="CF10" s="199">
        <v>0</v>
      </c>
      <c r="CG10" s="199">
        <v>0</v>
      </c>
      <c r="CH10" s="199">
        <v>0</v>
      </c>
      <c r="CI10" s="199">
        <v>0</v>
      </c>
      <c r="CJ10" s="199">
        <v>0</v>
      </c>
      <c r="CK10" s="199">
        <v>0</v>
      </c>
      <c r="CL10" s="199">
        <v>0</v>
      </c>
      <c r="CM10" s="199">
        <v>0</v>
      </c>
      <c r="CN10" s="199">
        <v>0</v>
      </c>
      <c r="CO10" s="199">
        <v>0</v>
      </c>
      <c r="CP10" s="199">
        <v>0</v>
      </c>
      <c r="CQ10" s="199">
        <v>0</v>
      </c>
      <c r="CR10" s="199">
        <v>0</v>
      </c>
      <c r="CS10" s="199">
        <v>0</v>
      </c>
      <c r="CT10" s="199">
        <v>0</v>
      </c>
      <c r="CU10" s="199">
        <v>0</v>
      </c>
      <c r="CV10" s="199">
        <v>0</v>
      </c>
      <c r="CW10" s="199">
        <v>0</v>
      </c>
      <c r="CX10" s="199">
        <v>0</v>
      </c>
      <c r="CY10" s="199">
        <v>0</v>
      </c>
      <c r="CZ10" s="199">
        <v>0</v>
      </c>
      <c r="DA10" s="199">
        <v>0</v>
      </c>
      <c r="DB10" s="199">
        <v>0</v>
      </c>
      <c r="DC10" s="199">
        <v>0</v>
      </c>
      <c r="DD10" s="199">
        <v>0</v>
      </c>
      <c r="DE10" s="199">
        <v>0</v>
      </c>
      <c r="DF10" s="199">
        <v>0</v>
      </c>
      <c r="DG10" s="199">
        <v>0</v>
      </c>
      <c r="DH10" s="199">
        <v>0</v>
      </c>
      <c r="DI10" s="199">
        <v>0</v>
      </c>
      <c r="DJ10" s="199">
        <v>0</v>
      </c>
      <c r="DK10" s="199">
        <v>0</v>
      </c>
      <c r="DL10" s="199">
        <v>0</v>
      </c>
      <c r="DM10" s="199">
        <v>0</v>
      </c>
      <c r="DN10" s="199">
        <v>0</v>
      </c>
      <c r="DO10" s="199">
        <v>124</v>
      </c>
      <c r="DP10" s="199">
        <v>0</v>
      </c>
      <c r="DQ10" s="199">
        <v>0</v>
      </c>
      <c r="DR10" s="199">
        <v>0</v>
      </c>
      <c r="DS10" s="199">
        <v>0</v>
      </c>
      <c r="DT10" s="199">
        <v>0</v>
      </c>
      <c r="DU10" s="199">
        <v>0</v>
      </c>
      <c r="DV10" s="199">
        <v>0</v>
      </c>
      <c r="DW10" s="199">
        <v>0</v>
      </c>
      <c r="DX10" s="199">
        <v>0</v>
      </c>
      <c r="DY10" s="199">
        <v>0</v>
      </c>
      <c r="DZ10" s="199">
        <v>0</v>
      </c>
      <c r="EA10" s="199">
        <v>0</v>
      </c>
      <c r="EB10" s="199">
        <v>0</v>
      </c>
      <c r="EC10" s="199">
        <v>0</v>
      </c>
      <c r="ED10" s="199">
        <v>0</v>
      </c>
      <c r="EE10" s="199">
        <v>0</v>
      </c>
      <c r="EF10" s="199">
        <v>0</v>
      </c>
      <c r="EG10" s="199">
        <v>0</v>
      </c>
      <c r="EH10" s="199">
        <v>0</v>
      </c>
      <c r="EI10" s="199">
        <v>0</v>
      </c>
      <c r="EJ10" s="199">
        <v>0</v>
      </c>
      <c r="EK10" s="199">
        <v>0</v>
      </c>
      <c r="EL10" s="199">
        <v>0</v>
      </c>
      <c r="EM10" s="199">
        <v>0</v>
      </c>
      <c r="EN10" s="199">
        <v>0</v>
      </c>
      <c r="EO10" s="199">
        <v>0</v>
      </c>
      <c r="EP10" s="199">
        <v>0</v>
      </c>
      <c r="EQ10" s="199">
        <v>0</v>
      </c>
      <c r="ER10" s="199">
        <v>0</v>
      </c>
      <c r="ES10" s="199">
        <v>0</v>
      </c>
      <c r="ET10" s="199">
        <v>0</v>
      </c>
      <c r="EU10" s="199">
        <v>0</v>
      </c>
      <c r="EV10" s="199">
        <v>0</v>
      </c>
      <c r="EW10" s="199">
        <v>0</v>
      </c>
      <c r="EX10" s="199">
        <v>0</v>
      </c>
      <c r="EY10" s="199">
        <v>0</v>
      </c>
      <c r="EZ10" s="199">
        <v>0</v>
      </c>
      <c r="FA10" s="199">
        <v>0</v>
      </c>
      <c r="FB10" s="199">
        <v>0</v>
      </c>
      <c r="FC10" s="199">
        <v>0</v>
      </c>
      <c r="FD10" s="199">
        <v>0</v>
      </c>
      <c r="FE10" s="199">
        <v>0</v>
      </c>
      <c r="FF10" s="199">
        <v>0</v>
      </c>
      <c r="FG10" s="199">
        <v>0</v>
      </c>
      <c r="FH10" s="199">
        <v>0</v>
      </c>
      <c r="FI10" s="199">
        <v>0</v>
      </c>
      <c r="FJ10" s="199">
        <v>0</v>
      </c>
      <c r="FK10" s="199">
        <v>0</v>
      </c>
      <c r="FL10" s="199">
        <v>0</v>
      </c>
      <c r="FM10" s="199">
        <v>0</v>
      </c>
      <c r="FN10" s="199">
        <v>0</v>
      </c>
      <c r="FO10" s="199">
        <v>0</v>
      </c>
      <c r="FP10" s="199">
        <v>0</v>
      </c>
      <c r="FQ10" s="199">
        <v>0</v>
      </c>
      <c r="FR10" s="199">
        <v>0</v>
      </c>
      <c r="FS10" s="199">
        <v>0</v>
      </c>
      <c r="FT10" s="199">
        <v>0</v>
      </c>
      <c r="FU10" s="199">
        <v>0</v>
      </c>
      <c r="FV10" s="199">
        <v>0</v>
      </c>
      <c r="FW10" s="199">
        <v>0</v>
      </c>
      <c r="FX10" s="199">
        <v>0</v>
      </c>
      <c r="FY10" s="199">
        <v>0</v>
      </c>
      <c r="FZ10" s="199">
        <v>0</v>
      </c>
      <c r="GA10" s="199">
        <v>0</v>
      </c>
      <c r="GB10" s="199">
        <v>0</v>
      </c>
      <c r="GC10" s="199">
        <v>0</v>
      </c>
      <c r="GD10" s="199">
        <v>0</v>
      </c>
      <c r="GE10" s="199">
        <v>0</v>
      </c>
      <c r="GF10" s="199">
        <v>0</v>
      </c>
      <c r="GG10" s="199">
        <v>0</v>
      </c>
      <c r="GH10" s="199">
        <v>0</v>
      </c>
      <c r="GI10" s="199">
        <v>0</v>
      </c>
      <c r="GJ10" s="199">
        <v>0</v>
      </c>
      <c r="GK10" s="199">
        <v>0</v>
      </c>
      <c r="GL10" s="199">
        <v>0</v>
      </c>
      <c r="GM10" s="199">
        <v>0</v>
      </c>
      <c r="GN10" s="199">
        <v>0</v>
      </c>
      <c r="GO10" s="199">
        <v>0</v>
      </c>
      <c r="GP10" s="199">
        <v>0</v>
      </c>
      <c r="GQ10" s="199">
        <v>0</v>
      </c>
      <c r="GR10" s="199">
        <v>0</v>
      </c>
      <c r="GS10" s="199">
        <v>0</v>
      </c>
      <c r="GT10" s="199">
        <v>0</v>
      </c>
      <c r="GU10" s="199">
        <v>0</v>
      </c>
      <c r="GV10" s="199">
        <v>0</v>
      </c>
      <c r="GW10" s="199"/>
      <c r="GX10" s="199"/>
      <c r="GY10" s="199"/>
      <c r="GZ10" s="199"/>
    </row>
    <row r="11" spans="1:208" ht="14.45">
      <c r="A11" s="34" t="s">
        <v>290</v>
      </c>
      <c r="B11" s="88">
        <v>2</v>
      </c>
      <c r="C11" s="96">
        <v>0</v>
      </c>
      <c r="D11" s="96">
        <v>0</v>
      </c>
      <c r="E11" s="96">
        <f>G11</f>
        <v>0</v>
      </c>
      <c r="F11" s="96">
        <v>0</v>
      </c>
      <c r="G11" s="173">
        <f t="shared" si="0"/>
        <v>0</v>
      </c>
      <c r="H11" s="199">
        <v>0</v>
      </c>
      <c r="I11" s="199">
        <v>0</v>
      </c>
      <c r="J11" s="199">
        <v>0</v>
      </c>
      <c r="K11" s="199">
        <v>0</v>
      </c>
      <c r="L11" s="199">
        <v>0</v>
      </c>
      <c r="M11" s="199">
        <v>0</v>
      </c>
      <c r="N11" s="199">
        <v>0</v>
      </c>
      <c r="O11" s="199">
        <v>0</v>
      </c>
      <c r="P11" s="199">
        <v>0</v>
      </c>
      <c r="Q11" s="199">
        <v>0</v>
      </c>
      <c r="R11" s="199">
        <v>0</v>
      </c>
      <c r="S11" s="199">
        <v>0</v>
      </c>
      <c r="T11" s="199">
        <v>0</v>
      </c>
      <c r="U11" s="199">
        <v>0</v>
      </c>
      <c r="V11" s="199">
        <v>0</v>
      </c>
      <c r="W11" s="199">
        <v>0</v>
      </c>
      <c r="X11" s="199">
        <v>0</v>
      </c>
      <c r="Y11" s="199">
        <v>0</v>
      </c>
      <c r="Z11" s="199">
        <v>0</v>
      </c>
      <c r="AA11" s="199">
        <v>0</v>
      </c>
      <c r="AB11" s="199">
        <v>0</v>
      </c>
      <c r="AC11" s="199">
        <v>0</v>
      </c>
      <c r="AD11" s="199">
        <v>0</v>
      </c>
      <c r="AE11" s="199">
        <v>0</v>
      </c>
      <c r="AF11" s="199">
        <v>0</v>
      </c>
      <c r="AG11" s="199">
        <v>0</v>
      </c>
      <c r="AH11" s="199">
        <v>0</v>
      </c>
      <c r="AI11" s="199">
        <v>0</v>
      </c>
      <c r="AJ11" s="199">
        <v>0</v>
      </c>
      <c r="AK11" s="199">
        <v>0</v>
      </c>
      <c r="AL11" s="199">
        <v>0</v>
      </c>
      <c r="AM11" s="199">
        <v>0</v>
      </c>
      <c r="AN11" s="199">
        <v>0</v>
      </c>
      <c r="AO11" s="199">
        <v>0</v>
      </c>
      <c r="AP11" s="199">
        <v>0</v>
      </c>
      <c r="AQ11" s="199">
        <v>0</v>
      </c>
      <c r="AR11" s="199">
        <v>0</v>
      </c>
      <c r="AS11" s="199">
        <v>0</v>
      </c>
      <c r="AT11" s="199">
        <v>0</v>
      </c>
      <c r="AU11" s="199">
        <v>0</v>
      </c>
      <c r="AV11" s="199">
        <v>0</v>
      </c>
      <c r="AW11" s="199">
        <v>0</v>
      </c>
      <c r="AX11" s="199">
        <v>0</v>
      </c>
      <c r="AY11" s="199">
        <v>0</v>
      </c>
      <c r="AZ11" s="199">
        <v>0</v>
      </c>
      <c r="BA11" s="199">
        <v>0</v>
      </c>
      <c r="BB11" s="199">
        <v>0</v>
      </c>
      <c r="BC11" s="199">
        <v>0</v>
      </c>
      <c r="BD11" s="199">
        <v>0</v>
      </c>
      <c r="BE11" s="199">
        <v>0</v>
      </c>
      <c r="BF11" s="199">
        <v>0</v>
      </c>
      <c r="BG11" s="199">
        <v>0</v>
      </c>
      <c r="BH11" s="199">
        <v>0</v>
      </c>
      <c r="BI11" s="199">
        <v>0</v>
      </c>
      <c r="BJ11" s="199">
        <v>0</v>
      </c>
      <c r="BK11" s="199">
        <v>0</v>
      </c>
      <c r="BL11" s="199">
        <v>0</v>
      </c>
      <c r="BM11" s="199">
        <v>0</v>
      </c>
      <c r="BN11" s="199">
        <v>0</v>
      </c>
      <c r="BO11" s="199">
        <v>0</v>
      </c>
      <c r="BP11" s="199">
        <v>0</v>
      </c>
      <c r="BQ11" s="199">
        <v>0</v>
      </c>
      <c r="BR11" s="199">
        <v>0</v>
      </c>
      <c r="BS11" s="199">
        <v>0</v>
      </c>
      <c r="BT11" s="199">
        <v>0</v>
      </c>
      <c r="BU11" s="199">
        <v>0</v>
      </c>
      <c r="BV11" s="199">
        <v>0</v>
      </c>
      <c r="BW11" s="199">
        <v>0</v>
      </c>
      <c r="BX11" s="199">
        <v>0</v>
      </c>
      <c r="BY11" s="199">
        <v>0</v>
      </c>
      <c r="BZ11" s="199">
        <v>0</v>
      </c>
      <c r="CA11" s="199">
        <v>0</v>
      </c>
      <c r="CB11" s="199">
        <v>0</v>
      </c>
      <c r="CC11" s="199">
        <v>0</v>
      </c>
      <c r="CD11" s="199">
        <v>0</v>
      </c>
      <c r="CE11" s="199">
        <v>0</v>
      </c>
      <c r="CF11" s="199">
        <v>0</v>
      </c>
      <c r="CG11" s="199">
        <v>0</v>
      </c>
      <c r="CH11" s="199">
        <v>0</v>
      </c>
      <c r="CI11" s="199">
        <v>0</v>
      </c>
      <c r="CJ11" s="199">
        <v>0</v>
      </c>
      <c r="CK11" s="199">
        <v>0</v>
      </c>
      <c r="CL11" s="199">
        <v>0</v>
      </c>
      <c r="CM11" s="199">
        <v>0</v>
      </c>
      <c r="CN11" s="199">
        <v>0</v>
      </c>
      <c r="CO11" s="199">
        <v>0</v>
      </c>
      <c r="CP11" s="199">
        <v>0</v>
      </c>
      <c r="CQ11" s="199">
        <v>0</v>
      </c>
      <c r="CR11" s="199">
        <v>0</v>
      </c>
      <c r="CS11" s="199">
        <v>0</v>
      </c>
      <c r="CT11" s="199">
        <v>0</v>
      </c>
      <c r="CU11" s="199">
        <v>0</v>
      </c>
      <c r="CV11" s="199">
        <v>0</v>
      </c>
      <c r="CW11" s="199">
        <v>0</v>
      </c>
      <c r="CX11" s="199">
        <v>0</v>
      </c>
      <c r="CY11" s="199">
        <v>0</v>
      </c>
      <c r="CZ11" s="199">
        <v>0</v>
      </c>
      <c r="DA11" s="199">
        <v>0</v>
      </c>
      <c r="DB11" s="199">
        <v>0</v>
      </c>
      <c r="DC11" s="199">
        <v>0</v>
      </c>
      <c r="DD11" s="199">
        <v>0</v>
      </c>
      <c r="DE11" s="199">
        <v>0</v>
      </c>
      <c r="DF11" s="199">
        <v>0</v>
      </c>
      <c r="DG11" s="199">
        <v>0</v>
      </c>
      <c r="DH11" s="199">
        <v>0</v>
      </c>
      <c r="DI11" s="199">
        <v>0</v>
      </c>
      <c r="DJ11" s="199">
        <v>0</v>
      </c>
      <c r="DK11" s="199">
        <v>0</v>
      </c>
      <c r="DL11" s="199">
        <v>0</v>
      </c>
      <c r="DM11" s="199">
        <v>0</v>
      </c>
      <c r="DN11" s="199">
        <v>0</v>
      </c>
      <c r="DO11" s="199">
        <v>0</v>
      </c>
      <c r="DP11" s="199">
        <v>0</v>
      </c>
      <c r="DQ11" s="199">
        <v>0</v>
      </c>
      <c r="DR11" s="199">
        <v>0</v>
      </c>
      <c r="DS11" s="199">
        <v>0</v>
      </c>
      <c r="DT11" s="199">
        <v>0</v>
      </c>
      <c r="DU11" s="199">
        <v>0</v>
      </c>
      <c r="DV11" s="199">
        <v>0</v>
      </c>
      <c r="DW11" s="199">
        <v>0</v>
      </c>
      <c r="DX11" s="199">
        <v>0</v>
      </c>
      <c r="DY11" s="199">
        <v>0</v>
      </c>
      <c r="DZ11" s="199">
        <v>0</v>
      </c>
      <c r="EA11" s="199">
        <v>0</v>
      </c>
      <c r="EB11" s="199">
        <v>0</v>
      </c>
      <c r="EC11" s="199">
        <v>0</v>
      </c>
      <c r="ED11" s="199">
        <v>0</v>
      </c>
      <c r="EE11" s="199">
        <v>0</v>
      </c>
      <c r="EF11" s="199">
        <v>0</v>
      </c>
      <c r="EG11" s="199">
        <v>0</v>
      </c>
      <c r="EH11" s="199">
        <v>0</v>
      </c>
      <c r="EI11" s="199">
        <v>0</v>
      </c>
      <c r="EJ11" s="199">
        <v>0</v>
      </c>
      <c r="EK11" s="199">
        <v>0</v>
      </c>
      <c r="EL11" s="199">
        <v>0</v>
      </c>
      <c r="EM11" s="199">
        <v>0</v>
      </c>
      <c r="EN11" s="199">
        <v>0</v>
      </c>
      <c r="EO11" s="199">
        <v>0</v>
      </c>
      <c r="EP11" s="199">
        <v>0</v>
      </c>
      <c r="EQ11" s="199">
        <v>0</v>
      </c>
      <c r="ER11" s="199">
        <v>0</v>
      </c>
      <c r="ES11" s="199">
        <v>0</v>
      </c>
      <c r="ET11" s="199">
        <v>0</v>
      </c>
      <c r="EU11" s="199">
        <v>0</v>
      </c>
      <c r="EV11" s="199">
        <v>0</v>
      </c>
      <c r="EW11" s="199">
        <v>0</v>
      </c>
      <c r="EX11" s="199">
        <v>0</v>
      </c>
      <c r="EY11" s="199">
        <v>0</v>
      </c>
      <c r="EZ11" s="199">
        <v>0</v>
      </c>
      <c r="FA11" s="199">
        <v>0</v>
      </c>
      <c r="FB11" s="199">
        <v>0</v>
      </c>
      <c r="FC11" s="199">
        <v>0</v>
      </c>
      <c r="FD11" s="199">
        <v>0</v>
      </c>
      <c r="FE11" s="199">
        <v>0</v>
      </c>
      <c r="FF11" s="199">
        <v>0</v>
      </c>
      <c r="FG11" s="199">
        <v>0</v>
      </c>
      <c r="FH11" s="199">
        <v>0</v>
      </c>
      <c r="FI11" s="199">
        <v>0</v>
      </c>
      <c r="FJ11" s="199">
        <v>0</v>
      </c>
      <c r="FK11" s="199">
        <v>0</v>
      </c>
      <c r="FL11" s="199">
        <v>0</v>
      </c>
      <c r="FM11" s="199">
        <v>0</v>
      </c>
      <c r="FN11" s="199">
        <v>0</v>
      </c>
      <c r="FO11" s="199">
        <v>0</v>
      </c>
      <c r="FP11" s="199">
        <v>0</v>
      </c>
      <c r="FQ11" s="199">
        <v>0</v>
      </c>
      <c r="FR11" s="199">
        <v>0</v>
      </c>
      <c r="FS11" s="199">
        <v>0</v>
      </c>
      <c r="FT11" s="199">
        <v>0</v>
      </c>
      <c r="FU11" s="199">
        <v>0</v>
      </c>
      <c r="FV11" s="199">
        <v>0</v>
      </c>
      <c r="FW11" s="199">
        <v>0</v>
      </c>
      <c r="FX11" s="199">
        <v>0</v>
      </c>
      <c r="FY11" s="199">
        <v>0</v>
      </c>
      <c r="FZ11" s="199">
        <v>0</v>
      </c>
      <c r="GA11" s="199">
        <v>0</v>
      </c>
      <c r="GB11" s="199">
        <v>0</v>
      </c>
      <c r="GC11" s="199">
        <v>0</v>
      </c>
      <c r="GD11" s="199">
        <v>0</v>
      </c>
      <c r="GE11" s="199">
        <v>0</v>
      </c>
      <c r="GF11" s="199">
        <v>0</v>
      </c>
      <c r="GG11" s="199">
        <v>0</v>
      </c>
      <c r="GH11" s="199">
        <v>0</v>
      </c>
      <c r="GI11" s="199">
        <v>0</v>
      </c>
      <c r="GJ11" s="199">
        <v>0</v>
      </c>
      <c r="GK11" s="199">
        <v>0</v>
      </c>
      <c r="GL11" s="199">
        <v>0</v>
      </c>
      <c r="GM11" s="199">
        <v>0</v>
      </c>
      <c r="GN11" s="199">
        <v>0</v>
      </c>
      <c r="GO11" s="199">
        <v>0</v>
      </c>
      <c r="GP11" s="199">
        <v>0</v>
      </c>
      <c r="GQ11" s="199">
        <v>0</v>
      </c>
      <c r="GR11" s="199">
        <v>0</v>
      </c>
      <c r="GS11" s="199">
        <v>0</v>
      </c>
      <c r="GT11" s="199">
        <v>0</v>
      </c>
      <c r="GU11" s="199">
        <v>0</v>
      </c>
      <c r="GV11" s="199">
        <v>0</v>
      </c>
      <c r="GW11" s="199"/>
      <c r="GX11" s="199"/>
      <c r="GY11" s="199"/>
      <c r="GZ11" s="199"/>
    </row>
    <row r="12" spans="1:208" ht="14.45">
      <c r="A12" s="34" t="s">
        <v>291</v>
      </c>
      <c r="B12" s="88">
        <v>2</v>
      </c>
      <c r="C12" s="96">
        <f>G12</f>
        <v>65</v>
      </c>
      <c r="D12" s="96">
        <v>0</v>
      </c>
      <c r="E12" s="96">
        <v>0</v>
      </c>
      <c r="F12" s="96">
        <v>0</v>
      </c>
      <c r="G12" s="173">
        <f t="shared" si="0"/>
        <v>65</v>
      </c>
      <c r="H12" s="199">
        <v>0</v>
      </c>
      <c r="I12" s="199">
        <v>0</v>
      </c>
      <c r="J12" s="199">
        <v>0</v>
      </c>
      <c r="K12" s="199">
        <v>0</v>
      </c>
      <c r="L12" s="199">
        <v>0</v>
      </c>
      <c r="M12" s="199">
        <v>0</v>
      </c>
      <c r="N12" s="199">
        <v>0</v>
      </c>
      <c r="O12" s="199">
        <v>0</v>
      </c>
      <c r="P12" s="199">
        <v>0</v>
      </c>
      <c r="Q12" s="199">
        <v>0</v>
      </c>
      <c r="R12" s="199">
        <v>0</v>
      </c>
      <c r="S12" s="199">
        <v>0</v>
      </c>
      <c r="T12" s="199">
        <v>0</v>
      </c>
      <c r="U12" s="199">
        <v>0</v>
      </c>
      <c r="V12" s="199">
        <v>0</v>
      </c>
      <c r="W12" s="199">
        <v>0</v>
      </c>
      <c r="X12" s="199">
        <v>0</v>
      </c>
      <c r="Y12" s="199">
        <v>0</v>
      </c>
      <c r="Z12" s="199">
        <v>0</v>
      </c>
      <c r="AA12" s="199">
        <v>0</v>
      </c>
      <c r="AB12" s="199">
        <v>0</v>
      </c>
      <c r="AC12" s="199">
        <v>0</v>
      </c>
      <c r="AD12" s="199">
        <v>0</v>
      </c>
      <c r="AE12" s="199">
        <v>0</v>
      </c>
      <c r="AF12" s="199">
        <v>0</v>
      </c>
      <c r="AG12" s="199">
        <v>0</v>
      </c>
      <c r="AH12" s="199">
        <v>0</v>
      </c>
      <c r="AI12" s="199">
        <v>0</v>
      </c>
      <c r="AJ12" s="199">
        <v>0</v>
      </c>
      <c r="AK12" s="199">
        <v>0</v>
      </c>
      <c r="AL12" s="199">
        <v>0</v>
      </c>
      <c r="AM12" s="199">
        <v>0</v>
      </c>
      <c r="AN12" s="199">
        <v>0</v>
      </c>
      <c r="AO12" s="199">
        <v>0</v>
      </c>
      <c r="AP12" s="199">
        <v>0</v>
      </c>
      <c r="AQ12" s="199">
        <v>0</v>
      </c>
      <c r="AR12" s="199">
        <v>0</v>
      </c>
      <c r="AS12" s="199">
        <v>0</v>
      </c>
      <c r="AT12" s="199">
        <v>0</v>
      </c>
      <c r="AU12" s="199">
        <v>0</v>
      </c>
      <c r="AV12" s="199">
        <v>0</v>
      </c>
      <c r="AW12" s="199">
        <v>0</v>
      </c>
      <c r="AX12" s="199">
        <v>0</v>
      </c>
      <c r="AY12" s="199">
        <v>0</v>
      </c>
      <c r="AZ12" s="199">
        <v>0</v>
      </c>
      <c r="BA12" s="199">
        <v>0</v>
      </c>
      <c r="BB12" s="199">
        <v>0</v>
      </c>
      <c r="BC12" s="199">
        <v>0</v>
      </c>
      <c r="BD12" s="199">
        <v>0</v>
      </c>
      <c r="BE12" s="199">
        <v>0</v>
      </c>
      <c r="BF12" s="199">
        <v>0</v>
      </c>
      <c r="BG12" s="199">
        <v>0</v>
      </c>
      <c r="BH12" s="199">
        <v>0</v>
      </c>
      <c r="BI12" s="199">
        <v>0</v>
      </c>
      <c r="BJ12" s="199">
        <v>0</v>
      </c>
      <c r="BK12" s="199">
        <v>0</v>
      </c>
      <c r="BL12" s="199">
        <v>0</v>
      </c>
      <c r="BM12" s="199">
        <v>0</v>
      </c>
      <c r="BN12" s="199">
        <v>0</v>
      </c>
      <c r="BO12" s="199">
        <v>0</v>
      </c>
      <c r="BP12" s="199">
        <v>0</v>
      </c>
      <c r="BQ12" s="199">
        <v>0</v>
      </c>
      <c r="BR12" s="199">
        <v>0</v>
      </c>
      <c r="BS12" s="199">
        <v>0</v>
      </c>
      <c r="BT12" s="199">
        <v>0</v>
      </c>
      <c r="BU12" s="199">
        <v>0</v>
      </c>
      <c r="BV12" s="199">
        <v>0</v>
      </c>
      <c r="BW12" s="199">
        <v>0</v>
      </c>
      <c r="BX12" s="199">
        <v>0</v>
      </c>
      <c r="BY12" s="199">
        <v>0</v>
      </c>
      <c r="BZ12" s="199">
        <v>0</v>
      </c>
      <c r="CA12" s="199">
        <v>0</v>
      </c>
      <c r="CB12" s="199">
        <v>0</v>
      </c>
      <c r="CC12" s="199">
        <v>0</v>
      </c>
      <c r="CD12" s="199">
        <v>0</v>
      </c>
      <c r="CE12" s="199">
        <v>0</v>
      </c>
      <c r="CF12" s="199">
        <v>0</v>
      </c>
      <c r="CG12" s="199">
        <v>0</v>
      </c>
      <c r="CH12" s="199">
        <v>0</v>
      </c>
      <c r="CI12" s="199">
        <v>0</v>
      </c>
      <c r="CJ12" s="199">
        <v>0</v>
      </c>
      <c r="CK12" s="199">
        <v>0</v>
      </c>
      <c r="CL12" s="199">
        <v>0</v>
      </c>
      <c r="CM12" s="199">
        <v>0</v>
      </c>
      <c r="CN12" s="199">
        <v>0</v>
      </c>
      <c r="CO12" s="199">
        <v>0</v>
      </c>
      <c r="CP12" s="199">
        <v>0</v>
      </c>
      <c r="CQ12" s="199">
        <v>0</v>
      </c>
      <c r="CR12" s="199">
        <v>0</v>
      </c>
      <c r="CS12" s="199">
        <v>0</v>
      </c>
      <c r="CT12" s="199">
        <v>0</v>
      </c>
      <c r="CU12" s="199">
        <v>0</v>
      </c>
      <c r="CV12" s="199">
        <v>0</v>
      </c>
      <c r="CW12" s="199">
        <v>0</v>
      </c>
      <c r="CX12" s="199">
        <v>0</v>
      </c>
      <c r="CY12" s="199">
        <v>0</v>
      </c>
      <c r="CZ12" s="199">
        <v>0</v>
      </c>
      <c r="DA12" s="199">
        <v>0</v>
      </c>
      <c r="DB12" s="199">
        <v>0</v>
      </c>
      <c r="DC12" s="199">
        <v>0</v>
      </c>
      <c r="DD12" s="199">
        <v>0</v>
      </c>
      <c r="DE12" s="199">
        <v>0</v>
      </c>
      <c r="DF12" s="199">
        <v>0</v>
      </c>
      <c r="DG12" s="199">
        <v>0</v>
      </c>
      <c r="DH12" s="199">
        <v>0</v>
      </c>
      <c r="DI12" s="199">
        <v>0</v>
      </c>
      <c r="DJ12" s="199">
        <v>0</v>
      </c>
      <c r="DK12" s="199">
        <v>0</v>
      </c>
      <c r="DL12" s="199">
        <v>0</v>
      </c>
      <c r="DM12" s="199">
        <v>0</v>
      </c>
      <c r="DN12" s="199">
        <v>0</v>
      </c>
      <c r="DO12" s="199">
        <v>0</v>
      </c>
      <c r="DP12" s="199">
        <v>0</v>
      </c>
      <c r="DQ12" s="199">
        <v>0</v>
      </c>
      <c r="DR12" s="199">
        <v>0</v>
      </c>
      <c r="DS12" s="199">
        <v>18</v>
      </c>
      <c r="DT12" s="199">
        <v>0</v>
      </c>
      <c r="DU12" s="199">
        <v>0</v>
      </c>
      <c r="DV12" s="199">
        <v>0</v>
      </c>
      <c r="DW12" s="199">
        <v>0</v>
      </c>
      <c r="DX12" s="199">
        <v>0</v>
      </c>
      <c r="DY12" s="199">
        <v>0</v>
      </c>
      <c r="DZ12" s="199">
        <v>0</v>
      </c>
      <c r="EA12" s="199">
        <v>0</v>
      </c>
      <c r="EB12" s="199">
        <v>0</v>
      </c>
      <c r="EC12" s="199">
        <v>0</v>
      </c>
      <c r="ED12" s="199">
        <v>0</v>
      </c>
      <c r="EE12" s="199">
        <v>0</v>
      </c>
      <c r="EF12" s="199">
        <v>0</v>
      </c>
      <c r="EG12" s="199">
        <v>0</v>
      </c>
      <c r="EH12" s="199">
        <v>0</v>
      </c>
      <c r="EI12" s="199">
        <v>0</v>
      </c>
      <c r="EJ12" s="199">
        <v>0</v>
      </c>
      <c r="EK12" s="199">
        <v>0</v>
      </c>
      <c r="EL12" s="199">
        <v>0</v>
      </c>
      <c r="EM12" s="199">
        <v>0</v>
      </c>
      <c r="EN12" s="199">
        <v>0</v>
      </c>
      <c r="EO12" s="199">
        <v>0</v>
      </c>
      <c r="EP12" s="199">
        <v>0</v>
      </c>
      <c r="EQ12" s="199">
        <v>0</v>
      </c>
      <c r="ER12" s="199">
        <v>0</v>
      </c>
      <c r="ES12" s="199">
        <v>0</v>
      </c>
      <c r="ET12" s="199">
        <v>0</v>
      </c>
      <c r="EU12" s="199">
        <v>0</v>
      </c>
      <c r="EV12" s="199">
        <v>0</v>
      </c>
      <c r="EW12" s="199">
        <v>0</v>
      </c>
      <c r="EX12" s="199">
        <v>0</v>
      </c>
      <c r="EY12" s="199">
        <v>0</v>
      </c>
      <c r="EZ12" s="199">
        <v>0</v>
      </c>
      <c r="FA12" s="199">
        <v>47</v>
      </c>
      <c r="FB12" s="199">
        <v>0</v>
      </c>
      <c r="FC12" s="199">
        <v>0</v>
      </c>
      <c r="FD12" s="199">
        <v>0</v>
      </c>
      <c r="FE12" s="199">
        <v>0</v>
      </c>
      <c r="FF12" s="199">
        <v>0</v>
      </c>
      <c r="FG12" s="199">
        <v>0</v>
      </c>
      <c r="FH12" s="199">
        <v>0</v>
      </c>
      <c r="FI12" s="199">
        <v>0</v>
      </c>
      <c r="FJ12" s="199">
        <v>0</v>
      </c>
      <c r="FK12" s="199">
        <v>0</v>
      </c>
      <c r="FL12" s="199">
        <v>0</v>
      </c>
      <c r="FM12" s="199">
        <v>0</v>
      </c>
      <c r="FN12" s="199">
        <v>0</v>
      </c>
      <c r="FO12" s="199">
        <v>0</v>
      </c>
      <c r="FP12" s="199">
        <v>0</v>
      </c>
      <c r="FQ12" s="199">
        <v>0</v>
      </c>
      <c r="FR12" s="199">
        <v>0</v>
      </c>
      <c r="FS12" s="199">
        <v>0</v>
      </c>
      <c r="FT12" s="199">
        <v>0</v>
      </c>
      <c r="FU12" s="199">
        <v>0</v>
      </c>
      <c r="FV12" s="199">
        <v>0</v>
      </c>
      <c r="FW12" s="199">
        <v>0</v>
      </c>
      <c r="FX12" s="199">
        <v>0</v>
      </c>
      <c r="FY12" s="199">
        <v>0</v>
      </c>
      <c r="FZ12" s="199">
        <v>0</v>
      </c>
      <c r="GA12" s="199">
        <v>0</v>
      </c>
      <c r="GB12" s="199">
        <v>0</v>
      </c>
      <c r="GC12" s="199">
        <v>0</v>
      </c>
      <c r="GD12" s="199">
        <v>0</v>
      </c>
      <c r="GE12" s="199">
        <v>0</v>
      </c>
      <c r="GF12" s="199">
        <v>0</v>
      </c>
      <c r="GG12" s="199">
        <v>0</v>
      </c>
      <c r="GH12" s="199">
        <v>0</v>
      </c>
      <c r="GI12" s="199">
        <v>0</v>
      </c>
      <c r="GJ12" s="199">
        <v>0</v>
      </c>
      <c r="GK12" s="199">
        <v>0</v>
      </c>
      <c r="GL12" s="199">
        <v>0</v>
      </c>
      <c r="GM12" s="199">
        <v>0</v>
      </c>
      <c r="GN12" s="199">
        <v>0</v>
      </c>
      <c r="GO12" s="199">
        <v>0</v>
      </c>
      <c r="GP12" s="199">
        <v>0</v>
      </c>
      <c r="GQ12" s="199">
        <v>0</v>
      </c>
      <c r="GR12" s="199">
        <v>0</v>
      </c>
      <c r="GS12" s="199">
        <v>0</v>
      </c>
      <c r="GT12" s="199">
        <v>0</v>
      </c>
      <c r="GU12" s="199">
        <v>0</v>
      </c>
      <c r="GV12" s="199">
        <v>0</v>
      </c>
      <c r="GW12" s="199"/>
      <c r="GX12" s="199"/>
      <c r="GY12" s="199"/>
      <c r="GZ12" s="199"/>
    </row>
    <row r="13" spans="1:208" ht="14.45">
      <c r="A13" s="34" t="s">
        <v>292</v>
      </c>
      <c r="B13" s="88">
        <v>2</v>
      </c>
      <c r="C13" s="96">
        <f t="shared" ref="C13" si="1">G13</f>
        <v>0</v>
      </c>
      <c r="D13" s="96">
        <v>0</v>
      </c>
      <c r="E13" s="96">
        <v>0</v>
      </c>
      <c r="F13" s="96">
        <v>0</v>
      </c>
      <c r="G13" s="173">
        <f t="shared" si="0"/>
        <v>0</v>
      </c>
      <c r="H13" s="199">
        <v>0</v>
      </c>
      <c r="I13" s="199">
        <v>0</v>
      </c>
      <c r="J13" s="199">
        <v>0</v>
      </c>
      <c r="K13" s="199">
        <v>0</v>
      </c>
      <c r="L13" s="199">
        <v>0</v>
      </c>
      <c r="M13" s="199">
        <v>0</v>
      </c>
      <c r="N13" s="199">
        <v>0</v>
      </c>
      <c r="O13" s="199">
        <v>0</v>
      </c>
      <c r="P13" s="199">
        <v>0</v>
      </c>
      <c r="Q13" s="199">
        <v>0</v>
      </c>
      <c r="R13" s="199">
        <v>0</v>
      </c>
      <c r="S13" s="199">
        <v>0</v>
      </c>
      <c r="T13" s="199">
        <v>0</v>
      </c>
      <c r="U13" s="199">
        <v>0</v>
      </c>
      <c r="V13" s="199">
        <v>0</v>
      </c>
      <c r="W13" s="199">
        <v>0</v>
      </c>
      <c r="X13" s="199">
        <v>0</v>
      </c>
      <c r="Y13" s="199">
        <v>0</v>
      </c>
      <c r="Z13" s="199">
        <v>0</v>
      </c>
      <c r="AA13" s="199">
        <v>0</v>
      </c>
      <c r="AB13" s="199">
        <v>0</v>
      </c>
      <c r="AC13" s="199">
        <v>0</v>
      </c>
      <c r="AD13" s="199">
        <v>0</v>
      </c>
      <c r="AE13" s="199">
        <v>0</v>
      </c>
      <c r="AF13" s="199">
        <v>0</v>
      </c>
      <c r="AG13" s="199">
        <v>0</v>
      </c>
      <c r="AH13" s="199">
        <v>0</v>
      </c>
      <c r="AI13" s="199">
        <v>0</v>
      </c>
      <c r="AJ13" s="199">
        <v>0</v>
      </c>
      <c r="AK13" s="199">
        <v>0</v>
      </c>
      <c r="AL13" s="199">
        <v>0</v>
      </c>
      <c r="AM13" s="199">
        <v>0</v>
      </c>
      <c r="AN13" s="199">
        <v>0</v>
      </c>
      <c r="AO13" s="199">
        <v>0</v>
      </c>
      <c r="AP13" s="199">
        <v>0</v>
      </c>
      <c r="AQ13" s="199">
        <v>0</v>
      </c>
      <c r="AR13" s="199">
        <v>0</v>
      </c>
      <c r="AS13" s="199">
        <v>0</v>
      </c>
      <c r="AT13" s="199">
        <v>0</v>
      </c>
      <c r="AU13" s="199">
        <v>0</v>
      </c>
      <c r="AV13" s="199">
        <v>0</v>
      </c>
      <c r="AW13" s="199">
        <v>0</v>
      </c>
      <c r="AX13" s="199">
        <v>0</v>
      </c>
      <c r="AY13" s="199">
        <v>0</v>
      </c>
      <c r="AZ13" s="199">
        <v>0</v>
      </c>
      <c r="BA13" s="199">
        <v>0</v>
      </c>
      <c r="BB13" s="199">
        <v>0</v>
      </c>
      <c r="BC13" s="199">
        <v>0</v>
      </c>
      <c r="BD13" s="199">
        <v>0</v>
      </c>
      <c r="BE13" s="199">
        <v>0</v>
      </c>
      <c r="BF13" s="199">
        <v>0</v>
      </c>
      <c r="BG13" s="199">
        <v>0</v>
      </c>
      <c r="BH13" s="199">
        <v>0</v>
      </c>
      <c r="BI13" s="199">
        <v>0</v>
      </c>
      <c r="BJ13" s="199">
        <v>0</v>
      </c>
      <c r="BK13" s="199">
        <v>0</v>
      </c>
      <c r="BL13" s="199">
        <v>0</v>
      </c>
      <c r="BM13" s="199">
        <v>0</v>
      </c>
      <c r="BN13" s="199">
        <v>0</v>
      </c>
      <c r="BO13" s="199">
        <v>0</v>
      </c>
      <c r="BP13" s="199">
        <v>0</v>
      </c>
      <c r="BQ13" s="199">
        <v>0</v>
      </c>
      <c r="BR13" s="199">
        <v>0</v>
      </c>
      <c r="BS13" s="199">
        <v>0</v>
      </c>
      <c r="BT13" s="199">
        <v>0</v>
      </c>
      <c r="BU13" s="199">
        <v>0</v>
      </c>
      <c r="BV13" s="199">
        <v>0</v>
      </c>
      <c r="BW13" s="199">
        <v>0</v>
      </c>
      <c r="BX13" s="199">
        <v>0</v>
      </c>
      <c r="BY13" s="199">
        <v>0</v>
      </c>
      <c r="BZ13" s="199">
        <v>0</v>
      </c>
      <c r="CA13" s="199">
        <v>0</v>
      </c>
      <c r="CB13" s="199">
        <v>0</v>
      </c>
      <c r="CC13" s="199">
        <v>0</v>
      </c>
      <c r="CD13" s="199">
        <v>0</v>
      </c>
      <c r="CE13" s="199">
        <v>0</v>
      </c>
      <c r="CF13" s="199">
        <v>0</v>
      </c>
      <c r="CG13" s="199">
        <v>0</v>
      </c>
      <c r="CH13" s="199">
        <v>0</v>
      </c>
      <c r="CI13" s="199">
        <v>0</v>
      </c>
      <c r="CJ13" s="199">
        <v>0</v>
      </c>
      <c r="CK13" s="199">
        <v>0</v>
      </c>
      <c r="CL13" s="199">
        <v>0</v>
      </c>
      <c r="CM13" s="199">
        <v>0</v>
      </c>
      <c r="CN13" s="199">
        <v>0</v>
      </c>
      <c r="CO13" s="199">
        <v>0</v>
      </c>
      <c r="CP13" s="199">
        <v>0</v>
      </c>
      <c r="CQ13" s="199">
        <v>0</v>
      </c>
      <c r="CR13" s="199">
        <v>0</v>
      </c>
      <c r="CS13" s="199">
        <v>0</v>
      </c>
      <c r="CT13" s="199">
        <v>0</v>
      </c>
      <c r="CU13" s="199">
        <v>0</v>
      </c>
      <c r="CV13" s="199">
        <v>0</v>
      </c>
      <c r="CW13" s="199">
        <v>0</v>
      </c>
      <c r="CX13" s="199">
        <v>0</v>
      </c>
      <c r="CY13" s="199">
        <v>0</v>
      </c>
      <c r="CZ13" s="199">
        <v>0</v>
      </c>
      <c r="DA13" s="199">
        <v>0</v>
      </c>
      <c r="DB13" s="199">
        <v>0</v>
      </c>
      <c r="DC13" s="199">
        <v>0</v>
      </c>
      <c r="DD13" s="199">
        <v>0</v>
      </c>
      <c r="DE13" s="199">
        <v>0</v>
      </c>
      <c r="DF13" s="199">
        <v>0</v>
      </c>
      <c r="DG13" s="199">
        <v>0</v>
      </c>
      <c r="DH13" s="199">
        <v>0</v>
      </c>
      <c r="DI13" s="199">
        <v>0</v>
      </c>
      <c r="DJ13" s="199">
        <v>0</v>
      </c>
      <c r="DK13" s="199">
        <v>0</v>
      </c>
      <c r="DL13" s="199">
        <v>0</v>
      </c>
      <c r="DM13" s="199">
        <v>0</v>
      </c>
      <c r="DN13" s="199">
        <v>0</v>
      </c>
      <c r="DO13" s="199">
        <v>0</v>
      </c>
      <c r="DP13" s="199">
        <v>0</v>
      </c>
      <c r="DQ13" s="199">
        <v>0</v>
      </c>
      <c r="DR13" s="199">
        <v>0</v>
      </c>
      <c r="DS13" s="199">
        <v>0</v>
      </c>
      <c r="DT13" s="199">
        <v>0</v>
      </c>
      <c r="DU13" s="199">
        <v>0</v>
      </c>
      <c r="DV13" s="199">
        <v>0</v>
      </c>
      <c r="DW13" s="199">
        <v>0</v>
      </c>
      <c r="DX13" s="199">
        <v>0</v>
      </c>
      <c r="DY13" s="199">
        <v>0</v>
      </c>
      <c r="DZ13" s="199">
        <v>0</v>
      </c>
      <c r="EA13" s="199">
        <v>0</v>
      </c>
      <c r="EB13" s="199">
        <v>0</v>
      </c>
      <c r="EC13" s="199">
        <v>0</v>
      </c>
      <c r="ED13" s="199">
        <v>0</v>
      </c>
      <c r="EE13" s="199">
        <v>0</v>
      </c>
      <c r="EF13" s="199">
        <v>0</v>
      </c>
      <c r="EG13" s="199">
        <v>0</v>
      </c>
      <c r="EH13" s="199">
        <v>0</v>
      </c>
      <c r="EI13" s="199">
        <v>0</v>
      </c>
      <c r="EJ13" s="199">
        <v>0</v>
      </c>
      <c r="EK13" s="199">
        <v>0</v>
      </c>
      <c r="EL13" s="199">
        <v>0</v>
      </c>
      <c r="EM13" s="199">
        <v>0</v>
      </c>
      <c r="EN13" s="199">
        <v>0</v>
      </c>
      <c r="EO13" s="199">
        <v>0</v>
      </c>
      <c r="EP13" s="199">
        <v>0</v>
      </c>
      <c r="EQ13" s="199">
        <v>0</v>
      </c>
      <c r="ER13" s="199">
        <v>0</v>
      </c>
      <c r="ES13" s="199">
        <v>0</v>
      </c>
      <c r="ET13" s="199">
        <v>0</v>
      </c>
      <c r="EU13" s="199">
        <v>0</v>
      </c>
      <c r="EV13" s="199">
        <v>0</v>
      </c>
      <c r="EW13" s="199">
        <v>0</v>
      </c>
      <c r="EX13" s="199">
        <v>0</v>
      </c>
      <c r="EY13" s="199">
        <v>0</v>
      </c>
      <c r="EZ13" s="199">
        <v>0</v>
      </c>
      <c r="FA13" s="199">
        <v>0</v>
      </c>
      <c r="FB13" s="199">
        <v>0</v>
      </c>
      <c r="FC13" s="199">
        <v>0</v>
      </c>
      <c r="FD13" s="199">
        <v>0</v>
      </c>
      <c r="FE13" s="199">
        <v>0</v>
      </c>
      <c r="FF13" s="199">
        <v>0</v>
      </c>
      <c r="FG13" s="199">
        <v>0</v>
      </c>
      <c r="FH13" s="199">
        <v>0</v>
      </c>
      <c r="FI13" s="199">
        <v>0</v>
      </c>
      <c r="FJ13" s="199">
        <v>0</v>
      </c>
      <c r="FK13" s="199">
        <v>0</v>
      </c>
      <c r="FL13" s="199">
        <v>0</v>
      </c>
      <c r="FM13" s="199">
        <v>0</v>
      </c>
      <c r="FN13" s="199">
        <v>0</v>
      </c>
      <c r="FO13" s="199">
        <v>0</v>
      </c>
      <c r="FP13" s="199">
        <v>0</v>
      </c>
      <c r="FQ13" s="199">
        <v>0</v>
      </c>
      <c r="FR13" s="199">
        <v>0</v>
      </c>
      <c r="FS13" s="199">
        <v>0</v>
      </c>
      <c r="FT13" s="199">
        <v>0</v>
      </c>
      <c r="FU13" s="199">
        <v>0</v>
      </c>
      <c r="FV13" s="199">
        <v>0</v>
      </c>
      <c r="FW13" s="199">
        <v>0</v>
      </c>
      <c r="FX13" s="199">
        <v>0</v>
      </c>
      <c r="FY13" s="199">
        <v>0</v>
      </c>
      <c r="FZ13" s="199">
        <v>0</v>
      </c>
      <c r="GA13" s="199">
        <v>0</v>
      </c>
      <c r="GB13" s="199">
        <v>0</v>
      </c>
      <c r="GC13" s="199">
        <v>0</v>
      </c>
      <c r="GD13" s="199">
        <v>0</v>
      </c>
      <c r="GE13" s="199">
        <v>0</v>
      </c>
      <c r="GF13" s="199">
        <v>0</v>
      </c>
      <c r="GG13" s="199">
        <v>0</v>
      </c>
      <c r="GH13" s="199">
        <v>0</v>
      </c>
      <c r="GI13" s="199">
        <v>0</v>
      </c>
      <c r="GJ13" s="199">
        <v>0</v>
      </c>
      <c r="GK13" s="199">
        <v>0</v>
      </c>
      <c r="GL13" s="199">
        <v>0</v>
      </c>
      <c r="GM13" s="199">
        <v>0</v>
      </c>
      <c r="GN13" s="199">
        <v>0</v>
      </c>
      <c r="GO13" s="199">
        <v>0</v>
      </c>
      <c r="GP13" s="199">
        <v>0</v>
      </c>
      <c r="GQ13" s="199">
        <v>0</v>
      </c>
      <c r="GR13" s="199">
        <v>0</v>
      </c>
      <c r="GS13" s="199">
        <v>0</v>
      </c>
      <c r="GT13" s="199">
        <v>0</v>
      </c>
      <c r="GU13" s="199">
        <v>0</v>
      </c>
      <c r="GV13" s="199">
        <v>0</v>
      </c>
      <c r="GW13" s="199"/>
      <c r="GX13" s="199"/>
      <c r="GY13" s="199"/>
      <c r="GZ13" s="199"/>
    </row>
    <row r="14" spans="1:208" ht="14.45">
      <c r="A14" s="34" t="s">
        <v>293</v>
      </c>
      <c r="B14" s="88">
        <v>2</v>
      </c>
      <c r="C14" s="96">
        <f>G14</f>
        <v>0</v>
      </c>
      <c r="D14" s="96">
        <v>0</v>
      </c>
      <c r="E14" s="96">
        <v>0</v>
      </c>
      <c r="F14" s="96">
        <v>0</v>
      </c>
      <c r="G14" s="173">
        <f t="shared" si="0"/>
        <v>0</v>
      </c>
      <c r="H14" s="199">
        <v>0</v>
      </c>
      <c r="I14" s="199">
        <v>0</v>
      </c>
      <c r="J14" s="199">
        <v>0</v>
      </c>
      <c r="K14" s="199">
        <v>0</v>
      </c>
      <c r="L14" s="199">
        <v>0</v>
      </c>
      <c r="M14" s="199">
        <v>0</v>
      </c>
      <c r="N14" s="199">
        <v>0</v>
      </c>
      <c r="O14" s="199">
        <v>0</v>
      </c>
      <c r="P14" s="199">
        <v>0</v>
      </c>
      <c r="Q14" s="199">
        <v>0</v>
      </c>
      <c r="R14" s="199">
        <v>0</v>
      </c>
      <c r="S14" s="199">
        <v>0</v>
      </c>
      <c r="T14" s="199">
        <v>0</v>
      </c>
      <c r="U14" s="199">
        <v>0</v>
      </c>
      <c r="V14" s="199">
        <v>0</v>
      </c>
      <c r="W14" s="199">
        <v>0</v>
      </c>
      <c r="X14" s="199">
        <v>0</v>
      </c>
      <c r="Y14" s="199">
        <v>0</v>
      </c>
      <c r="Z14" s="199">
        <v>0</v>
      </c>
      <c r="AA14" s="199">
        <v>0</v>
      </c>
      <c r="AB14" s="199">
        <v>0</v>
      </c>
      <c r="AC14" s="199">
        <v>0</v>
      </c>
      <c r="AD14" s="199">
        <v>0</v>
      </c>
      <c r="AE14" s="199">
        <v>0</v>
      </c>
      <c r="AF14" s="199">
        <v>0</v>
      </c>
      <c r="AG14" s="199">
        <v>0</v>
      </c>
      <c r="AH14" s="199">
        <v>0</v>
      </c>
      <c r="AI14" s="199">
        <v>0</v>
      </c>
      <c r="AJ14" s="199">
        <v>0</v>
      </c>
      <c r="AK14" s="199">
        <v>0</v>
      </c>
      <c r="AL14" s="199">
        <v>0</v>
      </c>
      <c r="AM14" s="199">
        <v>0</v>
      </c>
      <c r="AN14" s="199">
        <v>0</v>
      </c>
      <c r="AO14" s="199">
        <v>0</v>
      </c>
      <c r="AP14" s="199">
        <v>0</v>
      </c>
      <c r="AQ14" s="199">
        <v>0</v>
      </c>
      <c r="AR14" s="199">
        <v>0</v>
      </c>
      <c r="AS14" s="199">
        <v>0</v>
      </c>
      <c r="AT14" s="199">
        <v>0</v>
      </c>
      <c r="AU14" s="199">
        <v>0</v>
      </c>
      <c r="AV14" s="199">
        <v>0</v>
      </c>
      <c r="AW14" s="199">
        <v>0</v>
      </c>
      <c r="AX14" s="199">
        <v>0</v>
      </c>
      <c r="AY14" s="199">
        <v>0</v>
      </c>
      <c r="AZ14" s="199">
        <v>0</v>
      </c>
      <c r="BA14" s="199">
        <v>0</v>
      </c>
      <c r="BB14" s="199">
        <v>0</v>
      </c>
      <c r="BC14" s="199">
        <v>0</v>
      </c>
      <c r="BD14" s="199">
        <v>0</v>
      </c>
      <c r="BE14" s="199">
        <v>0</v>
      </c>
      <c r="BF14" s="199">
        <v>0</v>
      </c>
      <c r="BG14" s="199">
        <v>0</v>
      </c>
      <c r="BH14" s="199">
        <v>0</v>
      </c>
      <c r="BI14" s="199">
        <v>0</v>
      </c>
      <c r="BJ14" s="199">
        <v>0</v>
      </c>
      <c r="BK14" s="199">
        <v>0</v>
      </c>
      <c r="BL14" s="199">
        <v>0</v>
      </c>
      <c r="BM14" s="199">
        <v>0</v>
      </c>
      <c r="BN14" s="199">
        <v>0</v>
      </c>
      <c r="BO14" s="199">
        <v>0</v>
      </c>
      <c r="BP14" s="199">
        <v>0</v>
      </c>
      <c r="BQ14" s="199">
        <v>0</v>
      </c>
      <c r="BR14" s="199">
        <v>0</v>
      </c>
      <c r="BS14" s="199">
        <v>0</v>
      </c>
      <c r="BT14" s="199">
        <v>0</v>
      </c>
      <c r="BU14" s="199">
        <v>0</v>
      </c>
      <c r="BV14" s="199">
        <v>0</v>
      </c>
      <c r="BW14" s="199">
        <v>0</v>
      </c>
      <c r="BX14" s="199">
        <v>0</v>
      </c>
      <c r="BY14" s="199">
        <v>0</v>
      </c>
      <c r="BZ14" s="199">
        <v>0</v>
      </c>
      <c r="CA14" s="199">
        <v>0</v>
      </c>
      <c r="CB14" s="199">
        <v>0</v>
      </c>
      <c r="CC14" s="199">
        <v>0</v>
      </c>
      <c r="CD14" s="199">
        <v>0</v>
      </c>
      <c r="CE14" s="199">
        <v>0</v>
      </c>
      <c r="CF14" s="199">
        <v>0</v>
      </c>
      <c r="CG14" s="199">
        <v>0</v>
      </c>
      <c r="CH14" s="199">
        <v>0</v>
      </c>
      <c r="CI14" s="199">
        <v>0</v>
      </c>
      <c r="CJ14" s="199">
        <v>0</v>
      </c>
      <c r="CK14" s="199">
        <v>0</v>
      </c>
      <c r="CL14" s="199">
        <v>0</v>
      </c>
      <c r="CM14" s="199">
        <v>0</v>
      </c>
      <c r="CN14" s="199">
        <v>0</v>
      </c>
      <c r="CO14" s="199">
        <v>0</v>
      </c>
      <c r="CP14" s="199">
        <v>0</v>
      </c>
      <c r="CQ14" s="199">
        <v>0</v>
      </c>
      <c r="CR14" s="199">
        <v>0</v>
      </c>
      <c r="CS14" s="199">
        <v>0</v>
      </c>
      <c r="CT14" s="199">
        <v>0</v>
      </c>
      <c r="CU14" s="199">
        <v>0</v>
      </c>
      <c r="CV14" s="199">
        <v>0</v>
      </c>
      <c r="CW14" s="199">
        <v>0</v>
      </c>
      <c r="CX14" s="199">
        <v>0</v>
      </c>
      <c r="CY14" s="199">
        <v>0</v>
      </c>
      <c r="CZ14" s="199">
        <v>0</v>
      </c>
      <c r="DA14" s="199">
        <v>0</v>
      </c>
      <c r="DB14" s="199">
        <v>0</v>
      </c>
      <c r="DC14" s="199">
        <v>0</v>
      </c>
      <c r="DD14" s="199">
        <v>0</v>
      </c>
      <c r="DE14" s="199">
        <v>0</v>
      </c>
      <c r="DF14" s="199">
        <v>0</v>
      </c>
      <c r="DG14" s="199">
        <v>0</v>
      </c>
      <c r="DH14" s="199">
        <v>0</v>
      </c>
      <c r="DI14" s="199">
        <v>0</v>
      </c>
      <c r="DJ14" s="199">
        <v>0</v>
      </c>
      <c r="DK14" s="199">
        <v>0</v>
      </c>
      <c r="DL14" s="199">
        <v>0</v>
      </c>
      <c r="DM14" s="199">
        <v>0</v>
      </c>
      <c r="DN14" s="199">
        <v>0</v>
      </c>
      <c r="DO14" s="199">
        <v>0</v>
      </c>
      <c r="DP14" s="199">
        <v>0</v>
      </c>
      <c r="DQ14" s="199">
        <v>0</v>
      </c>
      <c r="DR14" s="199">
        <v>0</v>
      </c>
      <c r="DS14" s="199">
        <v>0</v>
      </c>
      <c r="DT14" s="199">
        <v>0</v>
      </c>
      <c r="DU14" s="199">
        <v>0</v>
      </c>
      <c r="DV14" s="199">
        <v>0</v>
      </c>
      <c r="DW14" s="199">
        <v>0</v>
      </c>
      <c r="DX14" s="199">
        <v>0</v>
      </c>
      <c r="DY14" s="199">
        <v>0</v>
      </c>
      <c r="DZ14" s="199">
        <v>0</v>
      </c>
      <c r="EA14" s="199">
        <v>0</v>
      </c>
      <c r="EB14" s="199">
        <v>0</v>
      </c>
      <c r="EC14" s="199">
        <v>0</v>
      </c>
      <c r="ED14" s="199">
        <v>0</v>
      </c>
      <c r="EE14" s="199">
        <v>0</v>
      </c>
      <c r="EF14" s="199">
        <v>0</v>
      </c>
      <c r="EG14" s="199">
        <v>0</v>
      </c>
      <c r="EH14" s="199">
        <v>0</v>
      </c>
      <c r="EI14" s="199">
        <v>0</v>
      </c>
      <c r="EJ14" s="199">
        <v>0</v>
      </c>
      <c r="EK14" s="199">
        <v>0</v>
      </c>
      <c r="EL14" s="199">
        <v>0</v>
      </c>
      <c r="EM14" s="199">
        <v>0</v>
      </c>
      <c r="EN14" s="199">
        <v>0</v>
      </c>
      <c r="EO14" s="199">
        <v>0</v>
      </c>
      <c r="EP14" s="199">
        <v>0</v>
      </c>
      <c r="EQ14" s="199">
        <v>0</v>
      </c>
      <c r="ER14" s="199">
        <v>0</v>
      </c>
      <c r="ES14" s="199">
        <v>0</v>
      </c>
      <c r="ET14" s="199">
        <v>0</v>
      </c>
      <c r="EU14" s="199">
        <v>0</v>
      </c>
      <c r="EV14" s="199">
        <v>0</v>
      </c>
      <c r="EW14" s="199">
        <v>0</v>
      </c>
      <c r="EX14" s="199">
        <v>0</v>
      </c>
      <c r="EY14" s="199">
        <v>0</v>
      </c>
      <c r="EZ14" s="199">
        <v>0</v>
      </c>
      <c r="FA14" s="199">
        <v>0</v>
      </c>
      <c r="FB14" s="199">
        <v>0</v>
      </c>
      <c r="FC14" s="199">
        <v>0</v>
      </c>
      <c r="FD14" s="199">
        <v>0</v>
      </c>
      <c r="FE14" s="199">
        <v>0</v>
      </c>
      <c r="FF14" s="199">
        <v>0</v>
      </c>
      <c r="FG14" s="199">
        <v>0</v>
      </c>
      <c r="FH14" s="199">
        <v>0</v>
      </c>
      <c r="FI14" s="199">
        <v>0</v>
      </c>
      <c r="FJ14" s="199">
        <v>0</v>
      </c>
      <c r="FK14" s="199">
        <v>0</v>
      </c>
      <c r="FL14" s="199">
        <v>0</v>
      </c>
      <c r="FM14" s="199">
        <v>0</v>
      </c>
      <c r="FN14" s="199">
        <v>0</v>
      </c>
      <c r="FO14" s="199">
        <v>0</v>
      </c>
      <c r="FP14" s="199">
        <v>0</v>
      </c>
      <c r="FQ14" s="199">
        <v>0</v>
      </c>
      <c r="FR14" s="199">
        <v>0</v>
      </c>
      <c r="FS14" s="199">
        <v>0</v>
      </c>
      <c r="FT14" s="199">
        <v>0</v>
      </c>
      <c r="FU14" s="199">
        <v>0</v>
      </c>
      <c r="FV14" s="199">
        <v>0</v>
      </c>
      <c r="FW14" s="199">
        <v>0</v>
      </c>
      <c r="FX14" s="199">
        <v>0</v>
      </c>
      <c r="FY14" s="199">
        <v>0</v>
      </c>
      <c r="FZ14" s="199">
        <v>0</v>
      </c>
      <c r="GA14" s="199">
        <v>0</v>
      </c>
      <c r="GB14" s="199">
        <v>0</v>
      </c>
      <c r="GC14" s="199">
        <v>0</v>
      </c>
      <c r="GD14" s="199">
        <v>0</v>
      </c>
      <c r="GE14" s="199">
        <v>0</v>
      </c>
      <c r="GF14" s="199">
        <v>0</v>
      </c>
      <c r="GG14" s="199">
        <v>0</v>
      </c>
      <c r="GH14" s="199">
        <v>0</v>
      </c>
      <c r="GI14" s="199">
        <v>0</v>
      </c>
      <c r="GJ14" s="199">
        <v>0</v>
      </c>
      <c r="GK14" s="199">
        <v>0</v>
      </c>
      <c r="GL14" s="199">
        <v>0</v>
      </c>
      <c r="GM14" s="199">
        <v>0</v>
      </c>
      <c r="GN14" s="199">
        <v>0</v>
      </c>
      <c r="GO14" s="199">
        <v>0</v>
      </c>
      <c r="GP14" s="199">
        <v>0</v>
      </c>
      <c r="GQ14" s="199">
        <v>0</v>
      </c>
      <c r="GR14" s="199">
        <v>0</v>
      </c>
      <c r="GS14" s="199">
        <v>0</v>
      </c>
      <c r="GT14" s="199">
        <v>0</v>
      </c>
      <c r="GU14" s="199">
        <v>0</v>
      </c>
      <c r="GV14" s="199">
        <v>0</v>
      </c>
      <c r="GW14" s="199"/>
      <c r="GX14" s="199"/>
      <c r="GY14" s="199"/>
      <c r="GZ14" s="199"/>
    </row>
    <row r="15" spans="1:208" ht="15" customHeight="1">
      <c r="A15" s="34" t="s">
        <v>294</v>
      </c>
      <c r="B15" s="88">
        <v>0.5</v>
      </c>
      <c r="C15" s="96">
        <v>0</v>
      </c>
      <c r="D15" s="96">
        <f>G15</f>
        <v>46</v>
      </c>
      <c r="E15" s="96">
        <v>0</v>
      </c>
      <c r="F15" s="96">
        <v>0</v>
      </c>
      <c r="G15" s="173">
        <f t="shared" si="0"/>
        <v>46</v>
      </c>
      <c r="H15" s="199">
        <v>0</v>
      </c>
      <c r="I15" s="199">
        <v>0</v>
      </c>
      <c r="J15" s="199">
        <v>0</v>
      </c>
      <c r="K15" s="199">
        <v>0</v>
      </c>
      <c r="L15" s="199">
        <v>0</v>
      </c>
      <c r="M15" s="199">
        <v>0</v>
      </c>
      <c r="N15" s="199">
        <v>0</v>
      </c>
      <c r="O15" s="199">
        <v>0</v>
      </c>
      <c r="P15" s="199">
        <v>0</v>
      </c>
      <c r="Q15" s="199">
        <v>0</v>
      </c>
      <c r="R15" s="199">
        <v>0</v>
      </c>
      <c r="S15" s="199">
        <v>0</v>
      </c>
      <c r="T15" s="199">
        <v>0</v>
      </c>
      <c r="U15" s="199">
        <v>0</v>
      </c>
      <c r="V15" s="199">
        <v>0</v>
      </c>
      <c r="W15" s="199">
        <v>46</v>
      </c>
      <c r="X15" s="199">
        <v>0</v>
      </c>
      <c r="Y15" s="199">
        <v>0</v>
      </c>
      <c r="Z15" s="199">
        <v>0</v>
      </c>
      <c r="AA15" s="199">
        <v>0</v>
      </c>
      <c r="AB15" s="199">
        <v>0</v>
      </c>
      <c r="AC15" s="199">
        <v>0</v>
      </c>
      <c r="AD15" s="199">
        <v>0</v>
      </c>
      <c r="AE15" s="199">
        <v>0</v>
      </c>
      <c r="AF15" s="199">
        <v>0</v>
      </c>
      <c r="AG15" s="199">
        <v>0</v>
      </c>
      <c r="AH15" s="199">
        <v>0</v>
      </c>
      <c r="AI15" s="199">
        <v>0</v>
      </c>
      <c r="AJ15" s="199">
        <v>0</v>
      </c>
      <c r="AK15" s="199">
        <v>0</v>
      </c>
      <c r="AL15" s="199">
        <v>0</v>
      </c>
      <c r="AM15" s="199">
        <v>0</v>
      </c>
      <c r="AN15" s="199">
        <v>0</v>
      </c>
      <c r="AO15" s="199">
        <v>0</v>
      </c>
      <c r="AP15" s="199">
        <v>0</v>
      </c>
      <c r="AQ15" s="199">
        <v>0</v>
      </c>
      <c r="AR15" s="199">
        <v>0</v>
      </c>
      <c r="AS15" s="199">
        <v>0</v>
      </c>
      <c r="AT15" s="199">
        <v>0</v>
      </c>
      <c r="AU15" s="199">
        <v>0</v>
      </c>
      <c r="AV15" s="199">
        <v>0</v>
      </c>
      <c r="AW15" s="199">
        <v>0</v>
      </c>
      <c r="AX15" s="199">
        <v>0</v>
      </c>
      <c r="AY15" s="199">
        <v>0</v>
      </c>
      <c r="AZ15" s="199">
        <v>0</v>
      </c>
      <c r="BA15" s="199">
        <v>0</v>
      </c>
      <c r="BB15" s="199">
        <v>0</v>
      </c>
      <c r="BC15" s="199">
        <v>0</v>
      </c>
      <c r="BD15" s="199">
        <v>0</v>
      </c>
      <c r="BE15" s="199">
        <v>0</v>
      </c>
      <c r="BF15" s="199">
        <v>0</v>
      </c>
      <c r="BG15" s="199">
        <v>0</v>
      </c>
      <c r="BH15" s="199">
        <v>0</v>
      </c>
      <c r="BI15" s="199">
        <v>0</v>
      </c>
      <c r="BJ15" s="199">
        <v>0</v>
      </c>
      <c r="BK15" s="199">
        <v>0</v>
      </c>
      <c r="BL15" s="199">
        <v>0</v>
      </c>
      <c r="BM15" s="199">
        <v>0</v>
      </c>
      <c r="BN15" s="199">
        <v>0</v>
      </c>
      <c r="BO15" s="199">
        <v>0</v>
      </c>
      <c r="BP15" s="199">
        <v>0</v>
      </c>
      <c r="BQ15" s="199">
        <v>0</v>
      </c>
      <c r="BR15" s="199">
        <v>0</v>
      </c>
      <c r="BS15" s="199">
        <v>0</v>
      </c>
      <c r="BT15" s="199">
        <v>0</v>
      </c>
      <c r="BU15" s="199">
        <v>0</v>
      </c>
      <c r="BV15" s="199">
        <v>0</v>
      </c>
      <c r="BW15" s="199">
        <v>0</v>
      </c>
      <c r="BX15" s="199">
        <v>0</v>
      </c>
      <c r="BY15" s="199">
        <v>0</v>
      </c>
      <c r="BZ15" s="199">
        <v>0</v>
      </c>
      <c r="CA15" s="199">
        <v>0</v>
      </c>
      <c r="CB15" s="199">
        <v>0</v>
      </c>
      <c r="CC15" s="199">
        <v>0</v>
      </c>
      <c r="CD15" s="199">
        <v>0</v>
      </c>
      <c r="CE15" s="199">
        <v>0</v>
      </c>
      <c r="CF15" s="199">
        <v>0</v>
      </c>
      <c r="CG15" s="199">
        <v>0</v>
      </c>
      <c r="CH15" s="199">
        <v>0</v>
      </c>
      <c r="CI15" s="199">
        <v>0</v>
      </c>
      <c r="CJ15" s="199">
        <v>0</v>
      </c>
      <c r="CK15" s="199">
        <v>0</v>
      </c>
      <c r="CL15" s="199">
        <v>0</v>
      </c>
      <c r="CM15" s="199">
        <v>0</v>
      </c>
      <c r="CN15" s="199">
        <v>0</v>
      </c>
      <c r="CO15" s="199">
        <v>0</v>
      </c>
      <c r="CP15" s="199">
        <v>0</v>
      </c>
      <c r="CQ15" s="199">
        <v>0</v>
      </c>
      <c r="CR15" s="199">
        <v>0</v>
      </c>
      <c r="CS15" s="199">
        <v>0</v>
      </c>
      <c r="CT15" s="199">
        <v>0</v>
      </c>
      <c r="CU15" s="199">
        <v>0</v>
      </c>
      <c r="CV15" s="199">
        <v>0</v>
      </c>
      <c r="CW15" s="199">
        <v>0</v>
      </c>
      <c r="CX15" s="199">
        <v>0</v>
      </c>
      <c r="CY15" s="199">
        <v>0</v>
      </c>
      <c r="CZ15" s="199">
        <v>0</v>
      </c>
      <c r="DA15" s="199">
        <v>0</v>
      </c>
      <c r="DB15" s="199">
        <v>0</v>
      </c>
      <c r="DC15" s="199">
        <v>0</v>
      </c>
      <c r="DD15" s="199">
        <v>0</v>
      </c>
      <c r="DE15" s="199">
        <v>0</v>
      </c>
      <c r="DF15" s="199">
        <v>0</v>
      </c>
      <c r="DG15" s="199">
        <v>0</v>
      </c>
      <c r="DH15" s="199">
        <v>0</v>
      </c>
      <c r="DI15" s="199">
        <v>0</v>
      </c>
      <c r="DJ15" s="199">
        <v>0</v>
      </c>
      <c r="DK15" s="199">
        <v>0</v>
      </c>
      <c r="DL15" s="199">
        <v>0</v>
      </c>
      <c r="DM15" s="199">
        <v>0</v>
      </c>
      <c r="DN15" s="199">
        <v>0</v>
      </c>
      <c r="DO15" s="199">
        <v>0</v>
      </c>
      <c r="DP15" s="199">
        <v>0</v>
      </c>
      <c r="DQ15" s="199">
        <v>0</v>
      </c>
      <c r="DR15" s="199">
        <v>0</v>
      </c>
      <c r="DS15" s="199">
        <v>0</v>
      </c>
      <c r="DT15" s="199">
        <v>0</v>
      </c>
      <c r="DU15" s="199">
        <v>0</v>
      </c>
      <c r="DV15" s="199">
        <v>0</v>
      </c>
      <c r="DW15" s="199">
        <v>0</v>
      </c>
      <c r="DX15" s="199">
        <v>0</v>
      </c>
      <c r="DY15" s="199">
        <v>0</v>
      </c>
      <c r="DZ15" s="199">
        <v>0</v>
      </c>
      <c r="EA15" s="199">
        <v>0</v>
      </c>
      <c r="EB15" s="199">
        <v>0</v>
      </c>
      <c r="EC15" s="199">
        <v>0</v>
      </c>
      <c r="ED15" s="199">
        <v>0</v>
      </c>
      <c r="EE15" s="199">
        <v>0</v>
      </c>
      <c r="EF15" s="199">
        <v>0</v>
      </c>
      <c r="EG15" s="199">
        <v>0</v>
      </c>
      <c r="EH15" s="199">
        <v>0</v>
      </c>
      <c r="EI15" s="199">
        <v>0</v>
      </c>
      <c r="EJ15" s="199">
        <v>0</v>
      </c>
      <c r="EK15" s="199">
        <v>0</v>
      </c>
      <c r="EL15" s="199">
        <v>0</v>
      </c>
      <c r="EM15" s="199">
        <v>0</v>
      </c>
      <c r="EN15" s="199">
        <v>0</v>
      </c>
      <c r="EO15" s="199">
        <v>0</v>
      </c>
      <c r="EP15" s="199">
        <v>0</v>
      </c>
      <c r="EQ15" s="199">
        <v>0</v>
      </c>
      <c r="ER15" s="199">
        <v>0</v>
      </c>
      <c r="ES15" s="199">
        <v>0</v>
      </c>
      <c r="ET15" s="199">
        <v>0</v>
      </c>
      <c r="EU15" s="199">
        <v>0</v>
      </c>
      <c r="EV15" s="199">
        <v>0</v>
      </c>
      <c r="EW15" s="199">
        <v>0</v>
      </c>
      <c r="EX15" s="199">
        <v>0</v>
      </c>
      <c r="EY15" s="199">
        <v>0</v>
      </c>
      <c r="EZ15" s="199">
        <v>0</v>
      </c>
      <c r="FA15" s="199">
        <v>0</v>
      </c>
      <c r="FB15" s="199">
        <v>0</v>
      </c>
      <c r="FC15" s="199">
        <v>0</v>
      </c>
      <c r="FD15" s="199">
        <v>0</v>
      </c>
      <c r="FE15" s="199">
        <v>0</v>
      </c>
      <c r="FF15" s="199">
        <v>0</v>
      </c>
      <c r="FG15" s="199">
        <v>0</v>
      </c>
      <c r="FH15" s="199">
        <v>0</v>
      </c>
      <c r="FI15" s="199">
        <v>0</v>
      </c>
      <c r="FJ15" s="199">
        <v>0</v>
      </c>
      <c r="FK15" s="199">
        <v>0</v>
      </c>
      <c r="FL15" s="199">
        <v>0</v>
      </c>
      <c r="FM15" s="199">
        <v>0</v>
      </c>
      <c r="FN15" s="199">
        <v>0</v>
      </c>
      <c r="FO15" s="199">
        <v>0</v>
      </c>
      <c r="FP15" s="199">
        <v>0</v>
      </c>
      <c r="FQ15" s="199">
        <v>0</v>
      </c>
      <c r="FR15" s="199">
        <v>0</v>
      </c>
      <c r="FS15" s="199">
        <v>0</v>
      </c>
      <c r="FT15" s="199">
        <v>0</v>
      </c>
      <c r="FU15" s="199">
        <v>0</v>
      </c>
      <c r="FV15" s="199">
        <v>0</v>
      </c>
      <c r="FW15" s="199">
        <v>0</v>
      </c>
      <c r="FX15" s="199">
        <v>0</v>
      </c>
      <c r="FY15" s="199">
        <v>0</v>
      </c>
      <c r="FZ15" s="199">
        <v>0</v>
      </c>
      <c r="GA15" s="199">
        <v>0</v>
      </c>
      <c r="GB15" s="199">
        <v>0</v>
      </c>
      <c r="GC15" s="199">
        <v>0</v>
      </c>
      <c r="GD15" s="199">
        <v>0</v>
      </c>
      <c r="GE15" s="199">
        <v>0</v>
      </c>
      <c r="GF15" s="199">
        <v>0</v>
      </c>
      <c r="GG15" s="199">
        <v>0</v>
      </c>
      <c r="GH15" s="199">
        <v>0</v>
      </c>
      <c r="GI15" s="199">
        <v>0</v>
      </c>
      <c r="GJ15" s="199">
        <v>0</v>
      </c>
      <c r="GK15" s="199">
        <v>0</v>
      </c>
      <c r="GL15" s="199">
        <v>0</v>
      </c>
      <c r="GM15" s="199">
        <v>0</v>
      </c>
      <c r="GN15" s="199">
        <v>0</v>
      </c>
      <c r="GO15" s="199">
        <v>0</v>
      </c>
      <c r="GP15" s="199">
        <v>0</v>
      </c>
      <c r="GQ15" s="199">
        <v>0</v>
      </c>
      <c r="GR15" s="199">
        <v>0</v>
      </c>
      <c r="GS15" s="199">
        <v>0</v>
      </c>
      <c r="GT15" s="199">
        <v>0</v>
      </c>
      <c r="GU15" s="199">
        <v>0</v>
      </c>
      <c r="GV15" s="199">
        <v>0</v>
      </c>
      <c r="GW15" s="199"/>
      <c r="GX15" s="199"/>
      <c r="GY15" s="199"/>
      <c r="GZ15" s="199"/>
    </row>
    <row r="16" spans="1:208" ht="14.45">
      <c r="A16" s="34" t="s">
        <v>295</v>
      </c>
      <c r="B16" s="88">
        <v>0.5</v>
      </c>
      <c r="C16" s="96">
        <v>0</v>
      </c>
      <c r="D16" s="96">
        <f>G16</f>
        <v>59</v>
      </c>
      <c r="E16" s="96">
        <v>0</v>
      </c>
      <c r="F16" s="96">
        <v>0</v>
      </c>
      <c r="G16" s="173">
        <f t="shared" si="0"/>
        <v>59</v>
      </c>
      <c r="H16" s="199">
        <v>0</v>
      </c>
      <c r="I16" s="199">
        <v>0</v>
      </c>
      <c r="J16" s="199">
        <v>0</v>
      </c>
      <c r="K16" s="199">
        <v>0</v>
      </c>
      <c r="L16" s="199">
        <v>0</v>
      </c>
      <c r="M16" s="199">
        <v>0</v>
      </c>
      <c r="N16" s="199">
        <v>0</v>
      </c>
      <c r="O16" s="199">
        <v>0</v>
      </c>
      <c r="P16" s="199">
        <v>0</v>
      </c>
      <c r="Q16" s="199">
        <v>0</v>
      </c>
      <c r="R16" s="199">
        <v>0</v>
      </c>
      <c r="S16" s="199">
        <v>0</v>
      </c>
      <c r="T16" s="199">
        <v>0</v>
      </c>
      <c r="U16" s="199">
        <v>0</v>
      </c>
      <c r="V16" s="199">
        <v>0</v>
      </c>
      <c r="W16" s="199">
        <v>0</v>
      </c>
      <c r="X16" s="199">
        <v>59</v>
      </c>
      <c r="Y16" s="199">
        <v>0</v>
      </c>
      <c r="Z16" s="199">
        <v>0</v>
      </c>
      <c r="AA16" s="199">
        <v>0</v>
      </c>
      <c r="AB16" s="199">
        <v>0</v>
      </c>
      <c r="AC16" s="199">
        <v>0</v>
      </c>
      <c r="AD16" s="199">
        <v>0</v>
      </c>
      <c r="AE16" s="199">
        <v>0</v>
      </c>
      <c r="AF16" s="199">
        <v>0</v>
      </c>
      <c r="AG16" s="199">
        <v>0</v>
      </c>
      <c r="AH16" s="199">
        <v>0</v>
      </c>
      <c r="AI16" s="199">
        <v>0</v>
      </c>
      <c r="AJ16" s="199">
        <v>0</v>
      </c>
      <c r="AK16" s="199">
        <v>0</v>
      </c>
      <c r="AL16" s="199">
        <v>0</v>
      </c>
      <c r="AM16" s="199">
        <v>0</v>
      </c>
      <c r="AN16" s="199">
        <v>0</v>
      </c>
      <c r="AO16" s="199">
        <v>0</v>
      </c>
      <c r="AP16" s="199">
        <v>0</v>
      </c>
      <c r="AQ16" s="199">
        <v>0</v>
      </c>
      <c r="AR16" s="199">
        <v>0</v>
      </c>
      <c r="AS16" s="199">
        <v>0</v>
      </c>
      <c r="AT16" s="199">
        <v>0</v>
      </c>
      <c r="AU16" s="199">
        <v>0</v>
      </c>
      <c r="AV16" s="199">
        <v>0</v>
      </c>
      <c r="AW16" s="199">
        <v>0</v>
      </c>
      <c r="AX16" s="199">
        <v>0</v>
      </c>
      <c r="AY16" s="199">
        <v>0</v>
      </c>
      <c r="AZ16" s="199">
        <v>0</v>
      </c>
      <c r="BA16" s="199">
        <v>0</v>
      </c>
      <c r="BB16" s="199">
        <v>0</v>
      </c>
      <c r="BC16" s="199">
        <v>0</v>
      </c>
      <c r="BD16" s="199">
        <v>0</v>
      </c>
      <c r="BE16" s="199">
        <v>0</v>
      </c>
      <c r="BF16" s="199">
        <v>0</v>
      </c>
      <c r="BG16" s="199">
        <v>0</v>
      </c>
      <c r="BH16" s="199">
        <v>0</v>
      </c>
      <c r="BI16" s="199">
        <v>0</v>
      </c>
      <c r="BJ16" s="199">
        <v>0</v>
      </c>
      <c r="BK16" s="199">
        <v>0</v>
      </c>
      <c r="BL16" s="199">
        <v>0</v>
      </c>
      <c r="BM16" s="199">
        <v>0</v>
      </c>
      <c r="BN16" s="199">
        <v>0</v>
      </c>
      <c r="BO16" s="199">
        <v>0</v>
      </c>
      <c r="BP16" s="199">
        <v>0</v>
      </c>
      <c r="BQ16" s="199">
        <v>0</v>
      </c>
      <c r="BR16" s="199">
        <v>0</v>
      </c>
      <c r="BS16" s="199">
        <v>0</v>
      </c>
      <c r="BT16" s="199">
        <v>0</v>
      </c>
      <c r="BU16" s="199">
        <v>0</v>
      </c>
      <c r="BV16" s="199">
        <v>0</v>
      </c>
      <c r="BW16" s="199">
        <v>0</v>
      </c>
      <c r="BX16" s="199">
        <v>0</v>
      </c>
      <c r="BY16" s="199">
        <v>0</v>
      </c>
      <c r="BZ16" s="199">
        <v>0</v>
      </c>
      <c r="CA16" s="199">
        <v>0</v>
      </c>
      <c r="CB16" s="199">
        <v>0</v>
      </c>
      <c r="CC16" s="199">
        <v>0</v>
      </c>
      <c r="CD16" s="199">
        <v>0</v>
      </c>
      <c r="CE16" s="199">
        <v>0</v>
      </c>
      <c r="CF16" s="199">
        <v>0</v>
      </c>
      <c r="CG16" s="199">
        <v>0</v>
      </c>
      <c r="CH16" s="199">
        <v>0</v>
      </c>
      <c r="CI16" s="199">
        <v>0</v>
      </c>
      <c r="CJ16" s="199">
        <v>0</v>
      </c>
      <c r="CK16" s="199">
        <v>0</v>
      </c>
      <c r="CL16" s="199">
        <v>0</v>
      </c>
      <c r="CM16" s="199">
        <v>0</v>
      </c>
      <c r="CN16" s="199">
        <v>0</v>
      </c>
      <c r="CO16" s="199">
        <v>0</v>
      </c>
      <c r="CP16" s="199">
        <v>0</v>
      </c>
      <c r="CQ16" s="199">
        <v>0</v>
      </c>
      <c r="CR16" s="199">
        <v>0</v>
      </c>
      <c r="CS16" s="199">
        <v>0</v>
      </c>
      <c r="CT16" s="199">
        <v>0</v>
      </c>
      <c r="CU16" s="199">
        <v>0</v>
      </c>
      <c r="CV16" s="199">
        <v>0</v>
      </c>
      <c r="CW16" s="199">
        <v>0</v>
      </c>
      <c r="CX16" s="199">
        <v>0</v>
      </c>
      <c r="CY16" s="199">
        <v>0</v>
      </c>
      <c r="CZ16" s="199">
        <v>0</v>
      </c>
      <c r="DA16" s="199">
        <v>0</v>
      </c>
      <c r="DB16" s="199">
        <v>0</v>
      </c>
      <c r="DC16" s="199">
        <v>0</v>
      </c>
      <c r="DD16" s="199">
        <v>0</v>
      </c>
      <c r="DE16" s="199">
        <v>0</v>
      </c>
      <c r="DF16" s="199">
        <v>0</v>
      </c>
      <c r="DG16" s="199">
        <v>0</v>
      </c>
      <c r="DH16" s="199">
        <v>0</v>
      </c>
      <c r="DI16" s="199">
        <v>0</v>
      </c>
      <c r="DJ16" s="199">
        <v>0</v>
      </c>
      <c r="DK16" s="199">
        <v>0</v>
      </c>
      <c r="DL16" s="199">
        <v>0</v>
      </c>
      <c r="DM16" s="199">
        <v>0</v>
      </c>
      <c r="DN16" s="199">
        <v>0</v>
      </c>
      <c r="DO16" s="199">
        <v>0</v>
      </c>
      <c r="DP16" s="199">
        <v>0</v>
      </c>
      <c r="DQ16" s="199">
        <v>0</v>
      </c>
      <c r="DR16" s="199">
        <v>0</v>
      </c>
      <c r="DS16" s="199">
        <v>0</v>
      </c>
      <c r="DT16" s="199">
        <v>0</v>
      </c>
      <c r="DU16" s="199">
        <v>0</v>
      </c>
      <c r="DV16" s="199">
        <v>0</v>
      </c>
      <c r="DW16" s="199">
        <v>0</v>
      </c>
      <c r="DX16" s="199">
        <v>0</v>
      </c>
      <c r="DY16" s="199">
        <v>0</v>
      </c>
      <c r="DZ16" s="199">
        <v>0</v>
      </c>
      <c r="EA16" s="199">
        <v>0</v>
      </c>
      <c r="EB16" s="199">
        <v>0</v>
      </c>
      <c r="EC16" s="199">
        <v>0</v>
      </c>
      <c r="ED16" s="199">
        <v>0</v>
      </c>
      <c r="EE16" s="199">
        <v>0</v>
      </c>
      <c r="EF16" s="199">
        <v>0</v>
      </c>
      <c r="EG16" s="199">
        <v>0</v>
      </c>
      <c r="EH16" s="199">
        <v>0</v>
      </c>
      <c r="EI16" s="199">
        <v>0</v>
      </c>
      <c r="EJ16" s="199">
        <v>0</v>
      </c>
      <c r="EK16" s="199">
        <v>0</v>
      </c>
      <c r="EL16" s="199">
        <v>0</v>
      </c>
      <c r="EM16" s="199">
        <v>0</v>
      </c>
      <c r="EN16" s="199">
        <v>0</v>
      </c>
      <c r="EO16" s="199">
        <v>0</v>
      </c>
      <c r="EP16" s="199">
        <v>0</v>
      </c>
      <c r="EQ16" s="199">
        <v>0</v>
      </c>
      <c r="ER16" s="199">
        <v>0</v>
      </c>
      <c r="ES16" s="199">
        <v>0</v>
      </c>
      <c r="ET16" s="199">
        <v>0</v>
      </c>
      <c r="EU16" s="199">
        <v>0</v>
      </c>
      <c r="EV16" s="199">
        <v>0</v>
      </c>
      <c r="EW16" s="199">
        <v>0</v>
      </c>
      <c r="EX16" s="199">
        <v>0</v>
      </c>
      <c r="EY16" s="199">
        <v>0</v>
      </c>
      <c r="EZ16" s="199">
        <v>0</v>
      </c>
      <c r="FA16" s="199">
        <v>0</v>
      </c>
      <c r="FB16" s="199">
        <v>0</v>
      </c>
      <c r="FC16" s="199">
        <v>0</v>
      </c>
      <c r="FD16" s="199">
        <v>0</v>
      </c>
      <c r="FE16" s="199">
        <v>0</v>
      </c>
      <c r="FF16" s="199">
        <v>0</v>
      </c>
      <c r="FG16" s="199">
        <v>0</v>
      </c>
      <c r="FH16" s="199">
        <v>0</v>
      </c>
      <c r="FI16" s="199">
        <v>0</v>
      </c>
      <c r="FJ16" s="199">
        <v>0</v>
      </c>
      <c r="FK16" s="199">
        <v>0</v>
      </c>
      <c r="FL16" s="199">
        <v>0</v>
      </c>
      <c r="FM16" s="199">
        <v>0</v>
      </c>
      <c r="FN16" s="199">
        <v>0</v>
      </c>
      <c r="FO16" s="199">
        <v>0</v>
      </c>
      <c r="FP16" s="199">
        <v>0</v>
      </c>
      <c r="FQ16" s="199">
        <v>0</v>
      </c>
      <c r="FR16" s="199">
        <v>0</v>
      </c>
      <c r="FS16" s="199">
        <v>0</v>
      </c>
      <c r="FT16" s="199">
        <v>0</v>
      </c>
      <c r="FU16" s="199">
        <v>0</v>
      </c>
      <c r="FV16" s="199">
        <v>0</v>
      </c>
      <c r="FW16" s="199">
        <v>0</v>
      </c>
      <c r="FX16" s="199">
        <v>0</v>
      </c>
      <c r="FY16" s="199">
        <v>0</v>
      </c>
      <c r="FZ16" s="199">
        <v>0</v>
      </c>
      <c r="GA16" s="199">
        <v>0</v>
      </c>
      <c r="GB16" s="199">
        <v>0</v>
      </c>
      <c r="GC16" s="199">
        <v>0</v>
      </c>
      <c r="GD16" s="199">
        <v>0</v>
      </c>
      <c r="GE16" s="199">
        <v>0</v>
      </c>
      <c r="GF16" s="199">
        <v>0</v>
      </c>
      <c r="GG16" s="199">
        <v>0</v>
      </c>
      <c r="GH16" s="199">
        <v>0</v>
      </c>
      <c r="GI16" s="199">
        <v>0</v>
      </c>
      <c r="GJ16" s="199">
        <v>0</v>
      </c>
      <c r="GK16" s="199">
        <v>0</v>
      </c>
      <c r="GL16" s="199">
        <v>0</v>
      </c>
      <c r="GM16" s="199">
        <v>0</v>
      </c>
      <c r="GN16" s="199">
        <v>0</v>
      </c>
      <c r="GO16" s="199">
        <v>0</v>
      </c>
      <c r="GP16" s="199">
        <v>0</v>
      </c>
      <c r="GQ16" s="199">
        <v>0</v>
      </c>
      <c r="GR16" s="199">
        <v>0</v>
      </c>
      <c r="GS16" s="199">
        <v>0</v>
      </c>
      <c r="GT16" s="199">
        <v>0</v>
      </c>
      <c r="GU16" s="199">
        <v>0</v>
      </c>
      <c r="GV16" s="199">
        <v>0</v>
      </c>
      <c r="GW16" s="199"/>
      <c r="GX16" s="199"/>
      <c r="GY16" s="199"/>
      <c r="GZ16" s="199"/>
    </row>
    <row r="17" spans="1:208" ht="14.45">
      <c r="A17" s="34" t="s">
        <v>296</v>
      </c>
      <c r="B17" s="88">
        <v>2</v>
      </c>
      <c r="C17" s="96">
        <v>0</v>
      </c>
      <c r="D17" s="96">
        <v>0</v>
      </c>
      <c r="E17" s="96">
        <v>0</v>
      </c>
      <c r="F17" s="96">
        <v>0</v>
      </c>
      <c r="G17" s="173">
        <f t="shared" si="0"/>
        <v>13</v>
      </c>
      <c r="H17" s="199">
        <v>0</v>
      </c>
      <c r="I17" s="199">
        <v>0</v>
      </c>
      <c r="J17" s="199">
        <v>0</v>
      </c>
      <c r="K17" s="199">
        <v>0</v>
      </c>
      <c r="L17" s="199">
        <v>0</v>
      </c>
      <c r="M17" s="199">
        <v>0</v>
      </c>
      <c r="N17" s="199">
        <v>0</v>
      </c>
      <c r="O17" s="199">
        <v>0</v>
      </c>
      <c r="P17" s="199">
        <v>0</v>
      </c>
      <c r="Q17" s="199">
        <v>0</v>
      </c>
      <c r="R17" s="199">
        <v>0</v>
      </c>
      <c r="S17" s="199">
        <v>0</v>
      </c>
      <c r="T17" s="199">
        <v>0</v>
      </c>
      <c r="U17" s="199">
        <v>0</v>
      </c>
      <c r="V17" s="199">
        <v>0</v>
      </c>
      <c r="W17" s="199">
        <v>0</v>
      </c>
      <c r="X17" s="199">
        <v>0</v>
      </c>
      <c r="Y17" s="199">
        <v>0</v>
      </c>
      <c r="Z17" s="199">
        <v>0</v>
      </c>
      <c r="AA17" s="199">
        <v>0</v>
      </c>
      <c r="AB17" s="199">
        <v>0</v>
      </c>
      <c r="AC17" s="199">
        <v>0</v>
      </c>
      <c r="AD17" s="199">
        <v>0</v>
      </c>
      <c r="AE17" s="199">
        <v>0</v>
      </c>
      <c r="AF17" s="199">
        <v>0</v>
      </c>
      <c r="AG17" s="199">
        <v>0</v>
      </c>
      <c r="AH17" s="199">
        <v>0</v>
      </c>
      <c r="AI17" s="199">
        <v>0</v>
      </c>
      <c r="AJ17" s="199">
        <v>0</v>
      </c>
      <c r="AK17" s="199">
        <v>0</v>
      </c>
      <c r="AL17" s="199">
        <v>0</v>
      </c>
      <c r="AM17" s="199">
        <v>0</v>
      </c>
      <c r="AN17" s="199">
        <v>0</v>
      </c>
      <c r="AO17" s="199">
        <v>0</v>
      </c>
      <c r="AP17" s="199">
        <v>0</v>
      </c>
      <c r="AQ17" s="199">
        <v>0</v>
      </c>
      <c r="AR17" s="199">
        <v>0</v>
      </c>
      <c r="AS17" s="199">
        <v>0</v>
      </c>
      <c r="AT17" s="199">
        <v>0</v>
      </c>
      <c r="AU17" s="199">
        <v>0</v>
      </c>
      <c r="AV17" s="199">
        <v>0</v>
      </c>
      <c r="AW17" s="199">
        <v>0</v>
      </c>
      <c r="AX17" s="199">
        <v>0</v>
      </c>
      <c r="AY17" s="199">
        <v>0</v>
      </c>
      <c r="AZ17" s="199">
        <v>0</v>
      </c>
      <c r="BA17" s="199">
        <v>0</v>
      </c>
      <c r="BB17" s="199">
        <v>0</v>
      </c>
      <c r="BC17" s="199">
        <v>0</v>
      </c>
      <c r="BD17" s="199">
        <v>0</v>
      </c>
      <c r="BE17" s="199">
        <v>0</v>
      </c>
      <c r="BF17" s="199">
        <v>0</v>
      </c>
      <c r="BG17" s="199">
        <v>0</v>
      </c>
      <c r="BH17" s="199">
        <v>0</v>
      </c>
      <c r="BI17" s="199">
        <v>0</v>
      </c>
      <c r="BJ17" s="199">
        <v>0</v>
      </c>
      <c r="BK17" s="199">
        <v>0</v>
      </c>
      <c r="BL17" s="199">
        <v>0</v>
      </c>
      <c r="BM17" s="199">
        <v>0</v>
      </c>
      <c r="BN17" s="199">
        <v>0</v>
      </c>
      <c r="BO17" s="199">
        <v>0</v>
      </c>
      <c r="BP17" s="199">
        <v>0</v>
      </c>
      <c r="BQ17" s="199">
        <v>0</v>
      </c>
      <c r="BR17" s="199">
        <v>0</v>
      </c>
      <c r="BS17" s="199">
        <v>0</v>
      </c>
      <c r="BT17" s="199">
        <v>0</v>
      </c>
      <c r="BU17" s="199">
        <v>0</v>
      </c>
      <c r="BV17" s="199">
        <v>0</v>
      </c>
      <c r="BW17" s="199">
        <v>0</v>
      </c>
      <c r="BX17" s="199">
        <v>0</v>
      </c>
      <c r="BY17" s="199">
        <v>0</v>
      </c>
      <c r="BZ17" s="199">
        <v>0</v>
      </c>
      <c r="CA17" s="199">
        <v>0</v>
      </c>
      <c r="CB17" s="199">
        <v>0</v>
      </c>
      <c r="CC17" s="199">
        <v>0</v>
      </c>
      <c r="CD17" s="199">
        <v>0</v>
      </c>
      <c r="CE17" s="199">
        <v>0</v>
      </c>
      <c r="CF17" s="199">
        <v>0</v>
      </c>
      <c r="CG17" s="199">
        <v>0</v>
      </c>
      <c r="CH17" s="199">
        <v>13</v>
      </c>
      <c r="CI17" s="199">
        <v>0</v>
      </c>
      <c r="CJ17" s="199">
        <v>0</v>
      </c>
      <c r="CK17" s="199">
        <v>0</v>
      </c>
      <c r="CL17" s="199">
        <v>0</v>
      </c>
      <c r="CM17" s="199">
        <v>0</v>
      </c>
      <c r="CN17" s="199">
        <v>0</v>
      </c>
      <c r="CO17" s="199">
        <v>0</v>
      </c>
      <c r="CP17" s="199">
        <v>0</v>
      </c>
      <c r="CQ17" s="199">
        <v>0</v>
      </c>
      <c r="CR17" s="199">
        <v>0</v>
      </c>
      <c r="CS17" s="199">
        <v>0</v>
      </c>
      <c r="CT17" s="199">
        <v>0</v>
      </c>
      <c r="CU17" s="199">
        <v>0</v>
      </c>
      <c r="CV17" s="199">
        <v>0</v>
      </c>
      <c r="CW17" s="199">
        <v>0</v>
      </c>
      <c r="CX17" s="199">
        <v>0</v>
      </c>
      <c r="CY17" s="199">
        <v>0</v>
      </c>
      <c r="CZ17" s="199">
        <v>0</v>
      </c>
      <c r="DA17" s="199">
        <v>0</v>
      </c>
      <c r="DB17" s="199">
        <v>0</v>
      </c>
      <c r="DC17" s="199">
        <v>0</v>
      </c>
      <c r="DD17" s="199">
        <v>0</v>
      </c>
      <c r="DE17" s="199">
        <v>0</v>
      </c>
      <c r="DF17" s="199">
        <v>0</v>
      </c>
      <c r="DG17" s="199">
        <v>0</v>
      </c>
      <c r="DH17" s="199">
        <v>0</v>
      </c>
      <c r="DI17" s="199">
        <v>0</v>
      </c>
      <c r="DJ17" s="199">
        <v>0</v>
      </c>
      <c r="DK17" s="199">
        <v>0</v>
      </c>
      <c r="DL17" s="199">
        <v>0</v>
      </c>
      <c r="DM17" s="199">
        <v>0</v>
      </c>
      <c r="DN17" s="199">
        <v>0</v>
      </c>
      <c r="DO17" s="199">
        <v>0</v>
      </c>
      <c r="DP17" s="199">
        <v>0</v>
      </c>
      <c r="DQ17" s="199">
        <v>0</v>
      </c>
      <c r="DR17" s="199">
        <v>0</v>
      </c>
      <c r="DS17" s="199">
        <v>0</v>
      </c>
      <c r="DT17" s="199">
        <v>0</v>
      </c>
      <c r="DU17" s="199">
        <v>0</v>
      </c>
      <c r="DV17" s="199">
        <v>0</v>
      </c>
      <c r="DW17" s="199">
        <v>0</v>
      </c>
      <c r="DX17" s="199">
        <v>0</v>
      </c>
      <c r="DY17" s="199">
        <v>0</v>
      </c>
      <c r="DZ17" s="199">
        <v>0</v>
      </c>
      <c r="EA17" s="199">
        <v>0</v>
      </c>
      <c r="EB17" s="199">
        <v>0</v>
      </c>
      <c r="EC17" s="199">
        <v>0</v>
      </c>
      <c r="ED17" s="199">
        <v>0</v>
      </c>
      <c r="EE17" s="199">
        <v>0</v>
      </c>
      <c r="EF17" s="199">
        <v>0</v>
      </c>
      <c r="EG17" s="199">
        <v>0</v>
      </c>
      <c r="EH17" s="199">
        <v>0</v>
      </c>
      <c r="EI17" s="199">
        <v>0</v>
      </c>
      <c r="EJ17" s="199">
        <v>0</v>
      </c>
      <c r="EK17" s="199">
        <v>0</v>
      </c>
      <c r="EL17" s="199">
        <v>0</v>
      </c>
      <c r="EM17" s="199">
        <v>0</v>
      </c>
      <c r="EN17" s="199">
        <v>0</v>
      </c>
      <c r="EO17" s="199">
        <v>0</v>
      </c>
      <c r="EP17" s="199">
        <v>0</v>
      </c>
      <c r="EQ17" s="199">
        <v>0</v>
      </c>
      <c r="ER17" s="199">
        <v>0</v>
      </c>
      <c r="ES17" s="199">
        <v>0</v>
      </c>
      <c r="ET17" s="199">
        <v>0</v>
      </c>
      <c r="EU17" s="199">
        <v>0</v>
      </c>
      <c r="EV17" s="199">
        <v>0</v>
      </c>
      <c r="EW17" s="199">
        <v>0</v>
      </c>
      <c r="EX17" s="199">
        <v>0</v>
      </c>
      <c r="EY17" s="199">
        <v>0</v>
      </c>
      <c r="EZ17" s="199">
        <v>0</v>
      </c>
      <c r="FA17" s="199">
        <v>0</v>
      </c>
      <c r="FB17" s="199">
        <v>0</v>
      </c>
      <c r="FC17" s="199">
        <v>0</v>
      </c>
      <c r="FD17" s="199">
        <v>0</v>
      </c>
      <c r="FE17" s="199">
        <v>0</v>
      </c>
      <c r="FF17" s="199">
        <v>0</v>
      </c>
      <c r="FG17" s="199">
        <v>0</v>
      </c>
      <c r="FH17" s="199">
        <v>0</v>
      </c>
      <c r="FI17" s="199">
        <v>0</v>
      </c>
      <c r="FJ17" s="199">
        <v>0</v>
      </c>
      <c r="FK17" s="199">
        <v>0</v>
      </c>
      <c r="FL17" s="199">
        <v>0</v>
      </c>
      <c r="FM17" s="199">
        <v>0</v>
      </c>
      <c r="FN17" s="199">
        <v>0</v>
      </c>
      <c r="FO17" s="199">
        <v>0</v>
      </c>
      <c r="FP17" s="199">
        <v>0</v>
      </c>
      <c r="FQ17" s="199">
        <v>0</v>
      </c>
      <c r="FR17" s="199">
        <v>0</v>
      </c>
      <c r="FS17" s="199">
        <v>0</v>
      </c>
      <c r="FT17" s="199">
        <v>0</v>
      </c>
      <c r="FU17" s="199">
        <v>0</v>
      </c>
      <c r="FV17" s="199">
        <v>0</v>
      </c>
      <c r="FW17" s="199">
        <v>0</v>
      </c>
      <c r="FX17" s="199">
        <v>0</v>
      </c>
      <c r="FY17" s="199">
        <v>0</v>
      </c>
      <c r="FZ17" s="199">
        <v>0</v>
      </c>
      <c r="GA17" s="199">
        <v>0</v>
      </c>
      <c r="GB17" s="199">
        <v>0</v>
      </c>
      <c r="GC17" s="199">
        <v>0</v>
      </c>
      <c r="GD17" s="199">
        <v>0</v>
      </c>
      <c r="GE17" s="199">
        <v>0</v>
      </c>
      <c r="GF17" s="199">
        <v>0</v>
      </c>
      <c r="GG17" s="199">
        <v>0</v>
      </c>
      <c r="GH17" s="199">
        <v>0</v>
      </c>
      <c r="GI17" s="199">
        <v>0</v>
      </c>
      <c r="GJ17" s="199">
        <v>0</v>
      </c>
      <c r="GK17" s="199">
        <v>0</v>
      </c>
      <c r="GL17" s="199">
        <v>0</v>
      </c>
      <c r="GM17" s="199">
        <v>0</v>
      </c>
      <c r="GN17" s="199">
        <v>0</v>
      </c>
      <c r="GO17" s="199">
        <v>0</v>
      </c>
      <c r="GP17" s="199">
        <v>0</v>
      </c>
      <c r="GQ17" s="199">
        <v>0</v>
      </c>
      <c r="GR17" s="199">
        <v>0</v>
      </c>
      <c r="GS17" s="199">
        <v>0</v>
      </c>
      <c r="GT17" s="199">
        <v>0</v>
      </c>
      <c r="GU17" s="199">
        <v>0</v>
      </c>
      <c r="GV17" s="199">
        <v>0</v>
      </c>
      <c r="GW17" s="199"/>
      <c r="GX17" s="199"/>
      <c r="GY17" s="199"/>
      <c r="GZ17" s="199"/>
    </row>
    <row r="18" spans="1:208" ht="14.45">
      <c r="A18" s="34" t="s">
        <v>261</v>
      </c>
      <c r="B18" s="88">
        <v>2</v>
      </c>
      <c r="C18" s="96">
        <v>0</v>
      </c>
      <c r="D18" s="96">
        <f>G18</f>
        <v>163</v>
      </c>
      <c r="E18" s="96">
        <v>0</v>
      </c>
      <c r="F18" s="96">
        <v>0</v>
      </c>
      <c r="G18" s="173">
        <f t="shared" si="0"/>
        <v>163</v>
      </c>
      <c r="H18" s="199">
        <v>0</v>
      </c>
      <c r="I18" s="199">
        <v>0</v>
      </c>
      <c r="J18" s="199">
        <v>0</v>
      </c>
      <c r="K18" s="199">
        <v>0</v>
      </c>
      <c r="L18" s="199">
        <v>0</v>
      </c>
      <c r="M18" s="199">
        <v>0</v>
      </c>
      <c r="N18" s="199">
        <v>0</v>
      </c>
      <c r="O18" s="199">
        <v>0</v>
      </c>
      <c r="P18" s="199">
        <v>0</v>
      </c>
      <c r="Q18" s="199">
        <v>0</v>
      </c>
      <c r="R18" s="199">
        <v>0</v>
      </c>
      <c r="S18" s="199">
        <v>0</v>
      </c>
      <c r="T18" s="199">
        <v>0</v>
      </c>
      <c r="U18" s="199">
        <v>0</v>
      </c>
      <c r="V18" s="199">
        <v>0</v>
      </c>
      <c r="W18" s="199">
        <v>0</v>
      </c>
      <c r="X18" s="199">
        <v>0</v>
      </c>
      <c r="Y18" s="199">
        <v>0</v>
      </c>
      <c r="Z18" s="199">
        <v>0</v>
      </c>
      <c r="AA18" s="199">
        <v>0</v>
      </c>
      <c r="AB18" s="199">
        <v>0</v>
      </c>
      <c r="AC18" s="199">
        <v>0</v>
      </c>
      <c r="AD18" s="199">
        <v>0</v>
      </c>
      <c r="AE18" s="199">
        <v>0</v>
      </c>
      <c r="AF18" s="199">
        <v>0</v>
      </c>
      <c r="AG18" s="199">
        <v>0</v>
      </c>
      <c r="AH18" s="199">
        <v>0</v>
      </c>
      <c r="AI18" s="199">
        <v>0</v>
      </c>
      <c r="AJ18" s="199">
        <v>0</v>
      </c>
      <c r="AK18" s="199">
        <v>0</v>
      </c>
      <c r="AL18" s="199">
        <v>0</v>
      </c>
      <c r="AM18" s="199">
        <v>0</v>
      </c>
      <c r="AN18" s="199">
        <v>0</v>
      </c>
      <c r="AO18" s="199">
        <v>0</v>
      </c>
      <c r="AP18" s="199">
        <v>0</v>
      </c>
      <c r="AQ18" s="199">
        <v>0</v>
      </c>
      <c r="AR18" s="199">
        <v>0</v>
      </c>
      <c r="AS18" s="199">
        <v>0</v>
      </c>
      <c r="AT18" s="199">
        <v>0</v>
      </c>
      <c r="AU18" s="199">
        <v>0</v>
      </c>
      <c r="AV18" s="199">
        <v>0</v>
      </c>
      <c r="AW18" s="199">
        <v>0</v>
      </c>
      <c r="AX18" s="199">
        <v>0</v>
      </c>
      <c r="AY18" s="199">
        <v>0</v>
      </c>
      <c r="AZ18" s="199">
        <v>0</v>
      </c>
      <c r="BA18" s="199">
        <v>0</v>
      </c>
      <c r="BB18" s="199">
        <v>0</v>
      </c>
      <c r="BC18" s="199">
        <v>0</v>
      </c>
      <c r="BD18" s="199">
        <v>0</v>
      </c>
      <c r="BE18" s="199">
        <v>0</v>
      </c>
      <c r="BF18" s="199">
        <v>0</v>
      </c>
      <c r="BG18" s="199">
        <v>0</v>
      </c>
      <c r="BH18" s="199">
        <v>0</v>
      </c>
      <c r="BI18" s="199">
        <v>0</v>
      </c>
      <c r="BJ18" s="199">
        <v>0</v>
      </c>
      <c r="BK18" s="199">
        <v>0</v>
      </c>
      <c r="BL18" s="199">
        <v>0</v>
      </c>
      <c r="BM18" s="199">
        <v>37</v>
      </c>
      <c r="BN18" s="199">
        <v>0</v>
      </c>
      <c r="BO18" s="199">
        <v>0</v>
      </c>
      <c r="BP18" s="199">
        <v>0</v>
      </c>
      <c r="BQ18" s="199">
        <v>0</v>
      </c>
      <c r="BR18" s="199">
        <v>0</v>
      </c>
      <c r="BS18" s="199">
        <v>0</v>
      </c>
      <c r="BT18" s="199">
        <v>0</v>
      </c>
      <c r="BU18" s="199">
        <v>0</v>
      </c>
      <c r="BV18" s="199">
        <v>0</v>
      </c>
      <c r="BW18" s="199">
        <v>0</v>
      </c>
      <c r="BX18" s="199">
        <v>0</v>
      </c>
      <c r="BY18" s="199">
        <v>0</v>
      </c>
      <c r="BZ18" s="199">
        <v>0</v>
      </c>
      <c r="CA18" s="199">
        <v>0</v>
      </c>
      <c r="CB18" s="199">
        <v>0</v>
      </c>
      <c r="CC18" s="199">
        <v>0</v>
      </c>
      <c r="CD18" s="199">
        <v>13</v>
      </c>
      <c r="CE18" s="199">
        <v>0</v>
      </c>
      <c r="CF18" s="199">
        <v>0</v>
      </c>
      <c r="CG18" s="199">
        <v>0</v>
      </c>
      <c r="CH18" s="199">
        <v>1</v>
      </c>
      <c r="CI18" s="199">
        <v>0</v>
      </c>
      <c r="CJ18" s="199">
        <v>0</v>
      </c>
      <c r="CK18" s="199">
        <v>0</v>
      </c>
      <c r="CL18" s="199">
        <v>0</v>
      </c>
      <c r="CM18" s="199">
        <v>0</v>
      </c>
      <c r="CN18" s="199">
        <v>0</v>
      </c>
      <c r="CO18" s="199">
        <v>0</v>
      </c>
      <c r="CP18" s="199">
        <v>0</v>
      </c>
      <c r="CQ18" s="199">
        <v>0</v>
      </c>
      <c r="CR18" s="199">
        <v>57</v>
      </c>
      <c r="CS18" s="199">
        <v>0</v>
      </c>
      <c r="CT18" s="199">
        <v>0</v>
      </c>
      <c r="CU18" s="199">
        <v>0</v>
      </c>
      <c r="CV18" s="199">
        <v>0</v>
      </c>
      <c r="CW18" s="199">
        <v>0</v>
      </c>
      <c r="CX18" s="199">
        <v>0</v>
      </c>
      <c r="CY18" s="199">
        <v>0</v>
      </c>
      <c r="CZ18" s="199">
        <v>0</v>
      </c>
      <c r="DA18" s="199">
        <v>0</v>
      </c>
      <c r="DB18" s="199">
        <v>0</v>
      </c>
      <c r="DC18" s="199">
        <v>0</v>
      </c>
      <c r="DD18" s="199">
        <v>0</v>
      </c>
      <c r="DE18" s="199">
        <v>0</v>
      </c>
      <c r="DF18" s="199">
        <v>0</v>
      </c>
      <c r="DG18" s="199">
        <v>0</v>
      </c>
      <c r="DH18" s="199">
        <v>0</v>
      </c>
      <c r="DI18" s="199">
        <v>0</v>
      </c>
      <c r="DJ18" s="199">
        <v>0</v>
      </c>
      <c r="DK18" s="199">
        <v>0</v>
      </c>
      <c r="DL18" s="199">
        <v>0</v>
      </c>
      <c r="DM18" s="199">
        <v>0</v>
      </c>
      <c r="DN18" s="199">
        <v>0</v>
      </c>
      <c r="DO18" s="199">
        <v>0</v>
      </c>
      <c r="DP18" s="199">
        <v>0</v>
      </c>
      <c r="DQ18" s="199">
        <v>0</v>
      </c>
      <c r="DR18" s="199">
        <v>0</v>
      </c>
      <c r="DS18" s="199">
        <v>0</v>
      </c>
      <c r="DT18" s="199">
        <v>0</v>
      </c>
      <c r="DU18" s="199">
        <v>0</v>
      </c>
      <c r="DV18" s="199">
        <v>0</v>
      </c>
      <c r="DW18" s="199">
        <v>0</v>
      </c>
      <c r="DX18" s="199">
        <v>0</v>
      </c>
      <c r="DY18" s="199">
        <v>0</v>
      </c>
      <c r="DZ18" s="199">
        <v>0</v>
      </c>
      <c r="EA18" s="199">
        <v>0</v>
      </c>
      <c r="EB18" s="199">
        <v>0</v>
      </c>
      <c r="EC18" s="199">
        <v>0</v>
      </c>
      <c r="ED18" s="199">
        <v>0</v>
      </c>
      <c r="EE18" s="199">
        <v>0</v>
      </c>
      <c r="EF18" s="199">
        <v>0</v>
      </c>
      <c r="EG18" s="199">
        <v>0</v>
      </c>
      <c r="EH18" s="199">
        <v>0</v>
      </c>
      <c r="EI18" s="199">
        <v>0</v>
      </c>
      <c r="EJ18" s="199">
        <v>0</v>
      </c>
      <c r="EK18" s="199">
        <v>0</v>
      </c>
      <c r="EL18" s="199">
        <v>0</v>
      </c>
      <c r="EM18" s="199">
        <v>0</v>
      </c>
      <c r="EN18" s="199">
        <v>0</v>
      </c>
      <c r="EO18" s="199">
        <v>0</v>
      </c>
      <c r="EP18" s="199">
        <v>0</v>
      </c>
      <c r="EQ18" s="199">
        <v>0</v>
      </c>
      <c r="ER18" s="199">
        <v>0</v>
      </c>
      <c r="ES18" s="199">
        <v>0</v>
      </c>
      <c r="ET18" s="199">
        <v>0</v>
      </c>
      <c r="EU18" s="199">
        <v>0</v>
      </c>
      <c r="EV18" s="199">
        <v>0</v>
      </c>
      <c r="EW18" s="199">
        <v>0</v>
      </c>
      <c r="EX18" s="199">
        <v>0</v>
      </c>
      <c r="EY18" s="199">
        <v>0</v>
      </c>
      <c r="EZ18" s="199">
        <v>23</v>
      </c>
      <c r="FA18" s="199">
        <v>0</v>
      </c>
      <c r="FB18" s="199">
        <v>0</v>
      </c>
      <c r="FC18" s="199">
        <v>0</v>
      </c>
      <c r="FD18" s="199">
        <v>0</v>
      </c>
      <c r="FE18" s="199">
        <v>0</v>
      </c>
      <c r="FF18" s="199">
        <v>0</v>
      </c>
      <c r="FG18" s="199">
        <v>0</v>
      </c>
      <c r="FH18" s="199">
        <v>0</v>
      </c>
      <c r="FI18" s="199">
        <v>0</v>
      </c>
      <c r="FJ18" s="199">
        <v>0</v>
      </c>
      <c r="FK18" s="199">
        <v>0</v>
      </c>
      <c r="FL18" s="199">
        <v>0</v>
      </c>
      <c r="FM18" s="199">
        <v>0</v>
      </c>
      <c r="FN18" s="199">
        <v>0</v>
      </c>
      <c r="FO18" s="199">
        <v>0</v>
      </c>
      <c r="FP18" s="199">
        <v>0</v>
      </c>
      <c r="FQ18" s="199">
        <v>0</v>
      </c>
      <c r="FR18" s="199">
        <v>0</v>
      </c>
      <c r="FS18" s="199">
        <v>0</v>
      </c>
      <c r="FT18" s="199">
        <v>0</v>
      </c>
      <c r="FU18" s="199">
        <v>0</v>
      </c>
      <c r="FV18" s="199">
        <v>0</v>
      </c>
      <c r="FW18" s="199">
        <v>0</v>
      </c>
      <c r="FX18" s="199">
        <v>0</v>
      </c>
      <c r="FY18" s="199">
        <v>0</v>
      </c>
      <c r="FZ18" s="199">
        <v>0</v>
      </c>
      <c r="GA18" s="199">
        <v>0</v>
      </c>
      <c r="GB18" s="199">
        <v>0</v>
      </c>
      <c r="GC18" s="199">
        <v>0</v>
      </c>
      <c r="GD18" s="199">
        <v>0</v>
      </c>
      <c r="GE18" s="199">
        <v>0</v>
      </c>
      <c r="GF18" s="199">
        <v>0</v>
      </c>
      <c r="GG18" s="199">
        <v>0</v>
      </c>
      <c r="GH18" s="199">
        <v>0</v>
      </c>
      <c r="GI18" s="199">
        <v>0</v>
      </c>
      <c r="GJ18" s="199">
        <v>0</v>
      </c>
      <c r="GK18" s="199">
        <v>0</v>
      </c>
      <c r="GL18" s="199">
        <v>0</v>
      </c>
      <c r="GM18" s="199">
        <v>0</v>
      </c>
      <c r="GN18" s="199">
        <v>0</v>
      </c>
      <c r="GO18" s="199">
        <v>0</v>
      </c>
      <c r="GP18" s="199">
        <v>0</v>
      </c>
      <c r="GQ18" s="199">
        <v>0</v>
      </c>
      <c r="GR18" s="199">
        <v>0</v>
      </c>
      <c r="GS18" s="199">
        <v>32</v>
      </c>
      <c r="GT18" s="199">
        <v>0</v>
      </c>
      <c r="GU18" s="199">
        <v>0</v>
      </c>
      <c r="GV18" s="199">
        <v>0</v>
      </c>
      <c r="GW18" s="199"/>
      <c r="GX18" s="199"/>
      <c r="GY18" s="199"/>
      <c r="GZ18" s="199"/>
    </row>
    <row r="19" spans="1:208" ht="14.45">
      <c r="A19" s="34" t="s">
        <v>297</v>
      </c>
      <c r="B19" s="88">
        <v>2</v>
      </c>
      <c r="C19" s="96">
        <v>0</v>
      </c>
      <c r="D19" s="96">
        <v>0</v>
      </c>
      <c r="E19" s="96">
        <v>0</v>
      </c>
      <c r="F19" s="96">
        <v>0</v>
      </c>
      <c r="G19" s="173">
        <f t="shared" si="0"/>
        <v>59</v>
      </c>
      <c r="H19" s="199">
        <v>0</v>
      </c>
      <c r="I19" s="199">
        <v>0</v>
      </c>
      <c r="J19" s="199">
        <v>0</v>
      </c>
      <c r="K19" s="199">
        <v>0</v>
      </c>
      <c r="L19" s="199">
        <v>0</v>
      </c>
      <c r="M19" s="199">
        <v>0</v>
      </c>
      <c r="N19" s="199">
        <v>0</v>
      </c>
      <c r="O19" s="199">
        <v>0</v>
      </c>
      <c r="P19" s="199">
        <v>0</v>
      </c>
      <c r="Q19" s="199">
        <v>0</v>
      </c>
      <c r="R19" s="199">
        <v>0</v>
      </c>
      <c r="S19" s="199">
        <v>0</v>
      </c>
      <c r="T19" s="199">
        <v>0</v>
      </c>
      <c r="U19" s="199">
        <v>0</v>
      </c>
      <c r="V19" s="199">
        <v>0</v>
      </c>
      <c r="W19" s="199">
        <v>0</v>
      </c>
      <c r="X19" s="199">
        <v>59</v>
      </c>
      <c r="Y19" s="199">
        <v>0</v>
      </c>
      <c r="Z19" s="199">
        <v>0</v>
      </c>
      <c r="AA19" s="199">
        <v>0</v>
      </c>
      <c r="AB19" s="199">
        <v>0</v>
      </c>
      <c r="AC19" s="199">
        <v>0</v>
      </c>
      <c r="AD19" s="199">
        <v>0</v>
      </c>
      <c r="AE19" s="199">
        <v>0</v>
      </c>
      <c r="AF19" s="199">
        <v>0</v>
      </c>
      <c r="AG19" s="199">
        <v>0</v>
      </c>
      <c r="AH19" s="199">
        <v>0</v>
      </c>
      <c r="AI19" s="199">
        <v>0</v>
      </c>
      <c r="AJ19" s="199">
        <v>0</v>
      </c>
      <c r="AK19" s="199">
        <v>0</v>
      </c>
      <c r="AL19" s="199">
        <v>0</v>
      </c>
      <c r="AM19" s="199">
        <v>0</v>
      </c>
      <c r="AN19" s="199">
        <v>0</v>
      </c>
      <c r="AO19" s="199">
        <v>0</v>
      </c>
      <c r="AP19" s="199">
        <v>0</v>
      </c>
      <c r="AQ19" s="199">
        <v>0</v>
      </c>
      <c r="AR19" s="199">
        <v>0</v>
      </c>
      <c r="AS19" s="199">
        <v>0</v>
      </c>
      <c r="AT19" s="199">
        <v>0</v>
      </c>
      <c r="AU19" s="199">
        <v>0</v>
      </c>
      <c r="AV19" s="199">
        <v>0</v>
      </c>
      <c r="AW19" s="199">
        <v>0</v>
      </c>
      <c r="AX19" s="199">
        <v>0</v>
      </c>
      <c r="AY19" s="199">
        <v>0</v>
      </c>
      <c r="AZ19" s="199">
        <v>0</v>
      </c>
      <c r="BA19" s="199">
        <v>0</v>
      </c>
      <c r="BB19" s="199">
        <v>0</v>
      </c>
      <c r="BC19" s="199">
        <v>0</v>
      </c>
      <c r="BD19" s="199">
        <v>0</v>
      </c>
      <c r="BE19" s="199">
        <v>0</v>
      </c>
      <c r="BF19" s="199">
        <v>0</v>
      </c>
      <c r="BG19" s="199">
        <v>0</v>
      </c>
      <c r="BH19" s="199">
        <v>0</v>
      </c>
      <c r="BI19" s="199">
        <v>0</v>
      </c>
      <c r="BJ19" s="199">
        <v>0</v>
      </c>
      <c r="BK19" s="199">
        <v>0</v>
      </c>
      <c r="BL19" s="199">
        <v>0</v>
      </c>
      <c r="BM19" s="199">
        <v>0</v>
      </c>
      <c r="BN19" s="199">
        <v>0</v>
      </c>
      <c r="BO19" s="199">
        <v>0</v>
      </c>
      <c r="BP19" s="199">
        <v>0</v>
      </c>
      <c r="BQ19" s="199">
        <v>0</v>
      </c>
      <c r="BR19" s="199">
        <v>0</v>
      </c>
      <c r="BS19" s="199">
        <v>0</v>
      </c>
      <c r="BT19" s="199">
        <v>0</v>
      </c>
      <c r="BU19" s="199">
        <v>0</v>
      </c>
      <c r="BV19" s="199">
        <v>0</v>
      </c>
      <c r="BW19" s="199">
        <v>0</v>
      </c>
      <c r="BX19" s="199">
        <v>0</v>
      </c>
      <c r="BY19" s="199">
        <v>0</v>
      </c>
      <c r="BZ19" s="199">
        <v>0</v>
      </c>
      <c r="CA19" s="199">
        <v>0</v>
      </c>
      <c r="CB19" s="199">
        <v>0</v>
      </c>
      <c r="CC19" s="199">
        <v>0</v>
      </c>
      <c r="CD19" s="199">
        <v>0</v>
      </c>
      <c r="CE19" s="199">
        <v>0</v>
      </c>
      <c r="CF19" s="199">
        <v>0</v>
      </c>
      <c r="CG19" s="199">
        <v>0</v>
      </c>
      <c r="CH19" s="199">
        <v>0</v>
      </c>
      <c r="CI19" s="199">
        <v>0</v>
      </c>
      <c r="CJ19" s="199">
        <v>0</v>
      </c>
      <c r="CK19" s="199">
        <v>0</v>
      </c>
      <c r="CL19" s="199">
        <v>0</v>
      </c>
      <c r="CM19" s="199">
        <v>0</v>
      </c>
      <c r="CN19" s="199">
        <v>0</v>
      </c>
      <c r="CO19" s="199">
        <v>0</v>
      </c>
      <c r="CP19" s="199">
        <v>0</v>
      </c>
      <c r="CQ19" s="199">
        <v>0</v>
      </c>
      <c r="CR19" s="199">
        <v>0</v>
      </c>
      <c r="CS19" s="199">
        <v>0</v>
      </c>
      <c r="CT19" s="199">
        <v>0</v>
      </c>
      <c r="CU19" s="199">
        <v>0</v>
      </c>
      <c r="CV19" s="199">
        <v>0</v>
      </c>
      <c r="CW19" s="199">
        <v>0</v>
      </c>
      <c r="CX19" s="199">
        <v>0</v>
      </c>
      <c r="CY19" s="199">
        <v>0</v>
      </c>
      <c r="CZ19" s="199">
        <v>0</v>
      </c>
      <c r="DA19" s="199">
        <v>0</v>
      </c>
      <c r="DB19" s="199">
        <v>0</v>
      </c>
      <c r="DC19" s="199">
        <v>0</v>
      </c>
      <c r="DD19" s="199">
        <v>0</v>
      </c>
      <c r="DE19" s="199">
        <v>0</v>
      </c>
      <c r="DF19" s="199">
        <v>0</v>
      </c>
      <c r="DG19" s="199">
        <v>0</v>
      </c>
      <c r="DH19" s="199">
        <v>0</v>
      </c>
      <c r="DI19" s="199">
        <v>0</v>
      </c>
      <c r="DJ19" s="199">
        <v>0</v>
      </c>
      <c r="DK19" s="199">
        <v>0</v>
      </c>
      <c r="DL19" s="199">
        <v>0</v>
      </c>
      <c r="DM19" s="199">
        <v>0</v>
      </c>
      <c r="DN19" s="199">
        <v>0</v>
      </c>
      <c r="DO19" s="199">
        <v>0</v>
      </c>
      <c r="DP19" s="199">
        <v>0</v>
      </c>
      <c r="DQ19" s="199">
        <v>0</v>
      </c>
      <c r="DR19" s="199">
        <v>0</v>
      </c>
      <c r="DS19" s="199">
        <v>0</v>
      </c>
      <c r="DT19" s="199">
        <v>0</v>
      </c>
      <c r="DU19" s="199">
        <v>0</v>
      </c>
      <c r="DV19" s="199">
        <v>0</v>
      </c>
      <c r="DW19" s="199">
        <v>0</v>
      </c>
      <c r="DX19" s="199">
        <v>0</v>
      </c>
      <c r="DY19" s="199">
        <v>0</v>
      </c>
      <c r="DZ19" s="199">
        <v>0</v>
      </c>
      <c r="EA19" s="199">
        <v>0</v>
      </c>
      <c r="EB19" s="199">
        <v>0</v>
      </c>
      <c r="EC19" s="199">
        <v>0</v>
      </c>
      <c r="ED19" s="199">
        <v>0</v>
      </c>
      <c r="EE19" s="199">
        <v>0</v>
      </c>
      <c r="EF19" s="199">
        <v>0</v>
      </c>
      <c r="EG19" s="199">
        <v>0</v>
      </c>
      <c r="EH19" s="199">
        <v>0</v>
      </c>
      <c r="EI19" s="199">
        <v>0</v>
      </c>
      <c r="EJ19" s="199">
        <v>0</v>
      </c>
      <c r="EK19" s="199">
        <v>0</v>
      </c>
      <c r="EL19" s="199">
        <v>0</v>
      </c>
      <c r="EM19" s="199">
        <v>0</v>
      </c>
      <c r="EN19" s="199">
        <v>0</v>
      </c>
      <c r="EO19" s="199">
        <v>0</v>
      </c>
      <c r="EP19" s="199">
        <v>0</v>
      </c>
      <c r="EQ19" s="199">
        <v>0</v>
      </c>
      <c r="ER19" s="199">
        <v>0</v>
      </c>
      <c r="ES19" s="199">
        <v>0</v>
      </c>
      <c r="ET19" s="199">
        <v>0</v>
      </c>
      <c r="EU19" s="199">
        <v>0</v>
      </c>
      <c r="EV19" s="199">
        <v>0</v>
      </c>
      <c r="EW19" s="199">
        <v>0</v>
      </c>
      <c r="EX19" s="199">
        <v>0</v>
      </c>
      <c r="EY19" s="199">
        <v>0</v>
      </c>
      <c r="EZ19" s="199">
        <v>0</v>
      </c>
      <c r="FA19" s="199">
        <v>0</v>
      </c>
      <c r="FB19" s="199">
        <v>0</v>
      </c>
      <c r="FC19" s="199">
        <v>0</v>
      </c>
      <c r="FD19" s="199">
        <v>0</v>
      </c>
      <c r="FE19" s="199">
        <v>0</v>
      </c>
      <c r="FF19" s="199">
        <v>0</v>
      </c>
      <c r="FG19" s="199">
        <v>0</v>
      </c>
      <c r="FH19" s="199">
        <v>0</v>
      </c>
      <c r="FI19" s="199">
        <v>0</v>
      </c>
      <c r="FJ19" s="199">
        <v>0</v>
      </c>
      <c r="FK19" s="199">
        <v>0</v>
      </c>
      <c r="FL19" s="199">
        <v>0</v>
      </c>
      <c r="FM19" s="199">
        <v>0</v>
      </c>
      <c r="FN19" s="199">
        <v>0</v>
      </c>
      <c r="FO19" s="199">
        <v>0</v>
      </c>
      <c r="FP19" s="199">
        <v>0</v>
      </c>
      <c r="FQ19" s="199">
        <v>0</v>
      </c>
      <c r="FR19" s="199">
        <v>0</v>
      </c>
      <c r="FS19" s="199">
        <v>0</v>
      </c>
      <c r="FT19" s="199">
        <v>0</v>
      </c>
      <c r="FU19" s="199">
        <v>0</v>
      </c>
      <c r="FV19" s="199">
        <v>0</v>
      </c>
      <c r="FW19" s="199">
        <v>0</v>
      </c>
      <c r="FX19" s="199">
        <v>0</v>
      </c>
      <c r="FY19" s="199">
        <v>0</v>
      </c>
      <c r="FZ19" s="199">
        <v>0</v>
      </c>
      <c r="GA19" s="199">
        <v>0</v>
      </c>
      <c r="GB19" s="199">
        <v>0</v>
      </c>
      <c r="GC19" s="199">
        <v>0</v>
      </c>
      <c r="GD19" s="199">
        <v>0</v>
      </c>
      <c r="GE19" s="199">
        <v>0</v>
      </c>
      <c r="GF19" s="199">
        <v>0</v>
      </c>
      <c r="GG19" s="199">
        <v>0</v>
      </c>
      <c r="GH19" s="199">
        <v>0</v>
      </c>
      <c r="GI19" s="199">
        <v>0</v>
      </c>
      <c r="GJ19" s="199">
        <v>0</v>
      </c>
      <c r="GK19" s="199">
        <v>0</v>
      </c>
      <c r="GL19" s="199">
        <v>0</v>
      </c>
      <c r="GM19" s="199">
        <v>0</v>
      </c>
      <c r="GN19" s="199">
        <v>0</v>
      </c>
      <c r="GO19" s="199">
        <v>0</v>
      </c>
      <c r="GP19" s="199">
        <v>0</v>
      </c>
      <c r="GQ19" s="199">
        <v>0</v>
      </c>
      <c r="GR19" s="199">
        <v>0</v>
      </c>
      <c r="GS19" s="199">
        <v>0</v>
      </c>
      <c r="GT19" s="199">
        <v>0</v>
      </c>
      <c r="GU19" s="199">
        <v>0</v>
      </c>
      <c r="GV19" s="199">
        <v>0</v>
      </c>
      <c r="GW19" s="199"/>
      <c r="GX19" s="199"/>
      <c r="GY19" s="199"/>
      <c r="GZ19" s="199"/>
    </row>
    <row r="20" spans="1:208" ht="13.9" customHeight="1">
      <c r="A20" s="34" t="s">
        <v>298</v>
      </c>
      <c r="B20" s="88">
        <v>2</v>
      </c>
      <c r="C20" s="96">
        <v>0</v>
      </c>
      <c r="D20" s="96">
        <v>0</v>
      </c>
      <c r="E20" s="96">
        <v>0</v>
      </c>
      <c r="F20" s="96">
        <v>0</v>
      </c>
      <c r="G20" s="173">
        <f t="shared" si="0"/>
        <v>46</v>
      </c>
      <c r="H20" s="199">
        <v>0</v>
      </c>
      <c r="I20" s="199">
        <v>0</v>
      </c>
      <c r="J20" s="199">
        <v>0</v>
      </c>
      <c r="K20" s="199">
        <v>0</v>
      </c>
      <c r="L20" s="199">
        <v>0</v>
      </c>
      <c r="M20" s="199">
        <v>0</v>
      </c>
      <c r="N20" s="199">
        <v>0</v>
      </c>
      <c r="O20" s="199">
        <v>0</v>
      </c>
      <c r="P20" s="199">
        <v>0</v>
      </c>
      <c r="Q20" s="199">
        <v>0</v>
      </c>
      <c r="R20" s="199">
        <v>0</v>
      </c>
      <c r="S20" s="199">
        <v>0</v>
      </c>
      <c r="T20" s="199">
        <v>0</v>
      </c>
      <c r="U20" s="199">
        <v>0</v>
      </c>
      <c r="V20" s="199">
        <v>0</v>
      </c>
      <c r="W20" s="199">
        <v>46</v>
      </c>
      <c r="X20" s="199">
        <v>0</v>
      </c>
      <c r="Y20" s="199">
        <v>0</v>
      </c>
      <c r="Z20" s="199">
        <v>0</v>
      </c>
      <c r="AA20" s="199">
        <v>0</v>
      </c>
      <c r="AB20" s="199">
        <v>0</v>
      </c>
      <c r="AC20" s="199">
        <v>0</v>
      </c>
      <c r="AD20" s="199">
        <v>0</v>
      </c>
      <c r="AE20" s="199">
        <v>0</v>
      </c>
      <c r="AF20" s="199">
        <v>0</v>
      </c>
      <c r="AG20" s="199">
        <v>0</v>
      </c>
      <c r="AH20" s="199">
        <v>0</v>
      </c>
      <c r="AI20" s="199">
        <v>0</v>
      </c>
      <c r="AJ20" s="199">
        <v>0</v>
      </c>
      <c r="AK20" s="199">
        <v>0</v>
      </c>
      <c r="AL20" s="199">
        <v>0</v>
      </c>
      <c r="AM20" s="199">
        <v>0</v>
      </c>
      <c r="AN20" s="199">
        <v>0</v>
      </c>
      <c r="AO20" s="199">
        <v>0</v>
      </c>
      <c r="AP20" s="199">
        <v>0</v>
      </c>
      <c r="AQ20" s="199">
        <v>0</v>
      </c>
      <c r="AR20" s="199">
        <v>0</v>
      </c>
      <c r="AS20" s="199">
        <v>0</v>
      </c>
      <c r="AT20" s="199">
        <v>0</v>
      </c>
      <c r="AU20" s="199">
        <v>0</v>
      </c>
      <c r="AV20" s="199">
        <v>0</v>
      </c>
      <c r="AW20" s="199">
        <v>0</v>
      </c>
      <c r="AX20" s="199">
        <v>0</v>
      </c>
      <c r="AY20" s="199">
        <v>0</v>
      </c>
      <c r="AZ20" s="199">
        <v>0</v>
      </c>
      <c r="BA20" s="199">
        <v>0</v>
      </c>
      <c r="BB20" s="199">
        <v>0</v>
      </c>
      <c r="BC20" s="199">
        <v>0</v>
      </c>
      <c r="BD20" s="199">
        <v>0</v>
      </c>
      <c r="BE20" s="199">
        <v>0</v>
      </c>
      <c r="BF20" s="199">
        <v>0</v>
      </c>
      <c r="BG20" s="199">
        <v>0</v>
      </c>
      <c r="BH20" s="199">
        <v>0</v>
      </c>
      <c r="BI20" s="199">
        <v>0</v>
      </c>
      <c r="BJ20" s="199">
        <v>0</v>
      </c>
      <c r="BK20" s="199">
        <v>0</v>
      </c>
      <c r="BL20" s="199">
        <v>0</v>
      </c>
      <c r="BM20" s="199">
        <v>0</v>
      </c>
      <c r="BN20" s="199">
        <v>0</v>
      </c>
      <c r="BO20" s="199">
        <v>0</v>
      </c>
      <c r="BP20" s="199">
        <v>0</v>
      </c>
      <c r="BQ20" s="199">
        <v>0</v>
      </c>
      <c r="BR20" s="199">
        <v>0</v>
      </c>
      <c r="BS20" s="199">
        <v>0</v>
      </c>
      <c r="BT20" s="199">
        <v>0</v>
      </c>
      <c r="BU20" s="199">
        <v>0</v>
      </c>
      <c r="BV20" s="199">
        <v>0</v>
      </c>
      <c r="BW20" s="199">
        <v>0</v>
      </c>
      <c r="BX20" s="199">
        <v>0</v>
      </c>
      <c r="BY20" s="199">
        <v>0</v>
      </c>
      <c r="BZ20" s="199">
        <v>0</v>
      </c>
      <c r="CA20" s="199">
        <v>0</v>
      </c>
      <c r="CB20" s="199">
        <v>0</v>
      </c>
      <c r="CC20" s="199">
        <v>0</v>
      </c>
      <c r="CD20" s="199">
        <v>0</v>
      </c>
      <c r="CE20" s="199">
        <v>0</v>
      </c>
      <c r="CF20" s="199">
        <v>0</v>
      </c>
      <c r="CG20" s="199">
        <v>0</v>
      </c>
      <c r="CH20" s="199">
        <v>0</v>
      </c>
      <c r="CI20" s="199">
        <v>0</v>
      </c>
      <c r="CJ20" s="199">
        <v>0</v>
      </c>
      <c r="CK20" s="199">
        <v>0</v>
      </c>
      <c r="CL20" s="199">
        <v>0</v>
      </c>
      <c r="CM20" s="199">
        <v>0</v>
      </c>
      <c r="CN20" s="199">
        <v>0</v>
      </c>
      <c r="CO20" s="199">
        <v>0</v>
      </c>
      <c r="CP20" s="199">
        <v>0</v>
      </c>
      <c r="CQ20" s="199">
        <v>0</v>
      </c>
      <c r="CR20" s="199">
        <v>0</v>
      </c>
      <c r="CS20" s="199">
        <v>0</v>
      </c>
      <c r="CT20" s="199">
        <v>0</v>
      </c>
      <c r="CU20" s="199">
        <v>0</v>
      </c>
      <c r="CV20" s="199">
        <v>0</v>
      </c>
      <c r="CW20" s="199">
        <v>0</v>
      </c>
      <c r="CX20" s="199">
        <v>0</v>
      </c>
      <c r="CY20" s="199">
        <v>0</v>
      </c>
      <c r="CZ20" s="199">
        <v>0</v>
      </c>
      <c r="DA20" s="199">
        <v>0</v>
      </c>
      <c r="DB20" s="199">
        <v>0</v>
      </c>
      <c r="DC20" s="199">
        <v>0</v>
      </c>
      <c r="DD20" s="199">
        <v>0</v>
      </c>
      <c r="DE20" s="199">
        <v>0</v>
      </c>
      <c r="DF20" s="199">
        <v>0</v>
      </c>
      <c r="DG20" s="199">
        <v>0</v>
      </c>
      <c r="DH20" s="199">
        <v>0</v>
      </c>
      <c r="DI20" s="199">
        <v>0</v>
      </c>
      <c r="DJ20" s="199">
        <v>0</v>
      </c>
      <c r="DK20" s="199">
        <v>0</v>
      </c>
      <c r="DL20" s="199">
        <v>0</v>
      </c>
      <c r="DM20" s="199">
        <v>0</v>
      </c>
      <c r="DN20" s="199">
        <v>0</v>
      </c>
      <c r="DO20" s="199">
        <v>0</v>
      </c>
      <c r="DP20" s="199">
        <v>0</v>
      </c>
      <c r="DQ20" s="199">
        <v>0</v>
      </c>
      <c r="DR20" s="199">
        <v>0</v>
      </c>
      <c r="DS20" s="199">
        <v>0</v>
      </c>
      <c r="DT20" s="199">
        <v>0</v>
      </c>
      <c r="DU20" s="199">
        <v>0</v>
      </c>
      <c r="DV20" s="199">
        <v>0</v>
      </c>
      <c r="DW20" s="199">
        <v>0</v>
      </c>
      <c r="DX20" s="199">
        <v>0</v>
      </c>
      <c r="DY20" s="199">
        <v>0</v>
      </c>
      <c r="DZ20" s="199">
        <v>0</v>
      </c>
      <c r="EA20" s="199">
        <v>0</v>
      </c>
      <c r="EB20" s="199">
        <v>0</v>
      </c>
      <c r="EC20" s="199">
        <v>0</v>
      </c>
      <c r="ED20" s="199">
        <v>0</v>
      </c>
      <c r="EE20" s="199">
        <v>0</v>
      </c>
      <c r="EF20" s="199">
        <v>0</v>
      </c>
      <c r="EG20" s="199">
        <v>0</v>
      </c>
      <c r="EH20" s="199">
        <v>0</v>
      </c>
      <c r="EI20" s="199">
        <v>0</v>
      </c>
      <c r="EJ20" s="199">
        <v>0</v>
      </c>
      <c r="EK20" s="199">
        <v>0</v>
      </c>
      <c r="EL20" s="199">
        <v>0</v>
      </c>
      <c r="EM20" s="199">
        <v>0</v>
      </c>
      <c r="EN20" s="199">
        <v>0</v>
      </c>
      <c r="EO20" s="199">
        <v>0</v>
      </c>
      <c r="EP20" s="199">
        <v>0</v>
      </c>
      <c r="EQ20" s="199">
        <v>0</v>
      </c>
      <c r="ER20" s="199">
        <v>0</v>
      </c>
      <c r="ES20" s="199">
        <v>0</v>
      </c>
      <c r="ET20" s="199">
        <v>0</v>
      </c>
      <c r="EU20" s="199">
        <v>0</v>
      </c>
      <c r="EV20" s="199">
        <v>0</v>
      </c>
      <c r="EW20" s="199">
        <v>0</v>
      </c>
      <c r="EX20" s="199">
        <v>0</v>
      </c>
      <c r="EY20" s="199">
        <v>0</v>
      </c>
      <c r="EZ20" s="199">
        <v>0</v>
      </c>
      <c r="FA20" s="199">
        <v>0</v>
      </c>
      <c r="FB20" s="199">
        <v>0</v>
      </c>
      <c r="FC20" s="199">
        <v>0</v>
      </c>
      <c r="FD20" s="199">
        <v>0</v>
      </c>
      <c r="FE20" s="199">
        <v>0</v>
      </c>
      <c r="FF20" s="199">
        <v>0</v>
      </c>
      <c r="FG20" s="199">
        <v>0</v>
      </c>
      <c r="FH20" s="199">
        <v>0</v>
      </c>
      <c r="FI20" s="199">
        <v>0</v>
      </c>
      <c r="FJ20" s="199">
        <v>0</v>
      </c>
      <c r="FK20" s="199">
        <v>0</v>
      </c>
      <c r="FL20" s="199">
        <v>0</v>
      </c>
      <c r="FM20" s="199">
        <v>0</v>
      </c>
      <c r="FN20" s="199">
        <v>0</v>
      </c>
      <c r="FO20" s="199">
        <v>0</v>
      </c>
      <c r="FP20" s="199">
        <v>0</v>
      </c>
      <c r="FQ20" s="199">
        <v>0</v>
      </c>
      <c r="FR20" s="199">
        <v>0</v>
      </c>
      <c r="FS20" s="199">
        <v>0</v>
      </c>
      <c r="FT20" s="199">
        <v>0</v>
      </c>
      <c r="FU20" s="199">
        <v>0</v>
      </c>
      <c r="FV20" s="199">
        <v>0</v>
      </c>
      <c r="FW20" s="199">
        <v>0</v>
      </c>
      <c r="FX20" s="199">
        <v>0</v>
      </c>
      <c r="FY20" s="199">
        <v>0</v>
      </c>
      <c r="FZ20" s="199">
        <v>0</v>
      </c>
      <c r="GA20" s="199">
        <v>0</v>
      </c>
      <c r="GB20" s="199">
        <v>0</v>
      </c>
      <c r="GC20" s="199">
        <v>0</v>
      </c>
      <c r="GD20" s="199">
        <v>0</v>
      </c>
      <c r="GE20" s="199">
        <v>0</v>
      </c>
      <c r="GF20" s="199">
        <v>0</v>
      </c>
      <c r="GG20" s="199">
        <v>0</v>
      </c>
      <c r="GH20" s="199">
        <v>0</v>
      </c>
      <c r="GI20" s="199">
        <v>0</v>
      </c>
      <c r="GJ20" s="199">
        <v>0</v>
      </c>
      <c r="GK20" s="199">
        <v>0</v>
      </c>
      <c r="GL20" s="199">
        <v>0</v>
      </c>
      <c r="GM20" s="199">
        <v>0</v>
      </c>
      <c r="GN20" s="199">
        <v>0</v>
      </c>
      <c r="GO20" s="199">
        <v>0</v>
      </c>
      <c r="GP20" s="199">
        <v>0</v>
      </c>
      <c r="GQ20" s="199">
        <v>0</v>
      </c>
      <c r="GR20" s="199">
        <v>0</v>
      </c>
      <c r="GS20" s="199">
        <v>0</v>
      </c>
      <c r="GT20" s="199">
        <v>0</v>
      </c>
      <c r="GU20" s="199">
        <v>0</v>
      </c>
      <c r="GV20" s="199">
        <v>0</v>
      </c>
      <c r="GW20" s="199"/>
      <c r="GX20" s="199"/>
      <c r="GY20" s="199"/>
      <c r="GZ20" s="199"/>
    </row>
    <row r="21" spans="1:208" ht="13.9" customHeight="1">
      <c r="A21" s="34" t="s">
        <v>299</v>
      </c>
      <c r="B21" s="88">
        <v>2</v>
      </c>
      <c r="C21" s="96">
        <v>0</v>
      </c>
      <c r="D21" s="96">
        <v>0</v>
      </c>
      <c r="E21" s="96">
        <v>0</v>
      </c>
      <c r="F21" s="96">
        <v>0</v>
      </c>
      <c r="G21" s="173">
        <f t="shared" si="0"/>
        <v>21</v>
      </c>
      <c r="H21" s="199">
        <v>0</v>
      </c>
      <c r="I21" s="199">
        <v>0</v>
      </c>
      <c r="J21" s="199">
        <v>0</v>
      </c>
      <c r="K21" s="199">
        <v>0</v>
      </c>
      <c r="L21" s="199">
        <v>0</v>
      </c>
      <c r="M21" s="199">
        <v>0</v>
      </c>
      <c r="N21" s="199">
        <v>0</v>
      </c>
      <c r="O21" s="199">
        <v>0</v>
      </c>
      <c r="P21" s="199">
        <v>0</v>
      </c>
      <c r="Q21" s="199">
        <v>0</v>
      </c>
      <c r="R21" s="199">
        <v>0</v>
      </c>
      <c r="S21" s="199">
        <v>0</v>
      </c>
      <c r="T21" s="199">
        <v>0</v>
      </c>
      <c r="U21" s="199">
        <v>0</v>
      </c>
      <c r="V21" s="199">
        <v>0</v>
      </c>
      <c r="W21" s="199">
        <v>0</v>
      </c>
      <c r="X21" s="199">
        <v>0</v>
      </c>
      <c r="Y21" s="199">
        <v>0</v>
      </c>
      <c r="Z21" s="199">
        <v>0</v>
      </c>
      <c r="AA21" s="199">
        <v>0</v>
      </c>
      <c r="AB21" s="199">
        <v>0</v>
      </c>
      <c r="AC21" s="199">
        <v>0</v>
      </c>
      <c r="AD21" s="199">
        <v>0</v>
      </c>
      <c r="AE21" s="199">
        <v>0</v>
      </c>
      <c r="AF21" s="199">
        <v>0</v>
      </c>
      <c r="AG21" s="199">
        <v>0</v>
      </c>
      <c r="AH21" s="199">
        <v>0</v>
      </c>
      <c r="AI21" s="199">
        <v>0</v>
      </c>
      <c r="AJ21" s="199">
        <v>0</v>
      </c>
      <c r="AK21" s="199">
        <v>0</v>
      </c>
      <c r="AL21" s="199">
        <v>0</v>
      </c>
      <c r="AM21" s="199">
        <v>0</v>
      </c>
      <c r="AN21" s="199">
        <v>0</v>
      </c>
      <c r="AO21" s="199">
        <v>0</v>
      </c>
      <c r="AP21" s="199">
        <v>0</v>
      </c>
      <c r="AQ21" s="199">
        <v>0</v>
      </c>
      <c r="AR21" s="199">
        <v>0</v>
      </c>
      <c r="AS21" s="199">
        <v>0</v>
      </c>
      <c r="AT21" s="199">
        <v>0</v>
      </c>
      <c r="AU21" s="199">
        <v>0</v>
      </c>
      <c r="AV21" s="199">
        <v>0</v>
      </c>
      <c r="AW21" s="199">
        <v>0</v>
      </c>
      <c r="AX21" s="199">
        <v>0</v>
      </c>
      <c r="AY21" s="199">
        <v>0</v>
      </c>
      <c r="AZ21" s="199">
        <v>0</v>
      </c>
      <c r="BA21" s="199">
        <v>0</v>
      </c>
      <c r="BB21" s="199">
        <v>0</v>
      </c>
      <c r="BC21" s="199">
        <v>0</v>
      </c>
      <c r="BD21" s="199">
        <v>0</v>
      </c>
      <c r="BE21" s="199">
        <v>0</v>
      </c>
      <c r="BF21" s="199">
        <v>0</v>
      </c>
      <c r="BG21" s="199">
        <v>0</v>
      </c>
      <c r="BH21" s="199">
        <v>0</v>
      </c>
      <c r="BI21" s="199">
        <v>0</v>
      </c>
      <c r="BJ21" s="199">
        <v>0</v>
      </c>
      <c r="BK21" s="199">
        <v>0</v>
      </c>
      <c r="BL21" s="199">
        <v>0</v>
      </c>
      <c r="BM21" s="199">
        <v>0</v>
      </c>
      <c r="BN21" s="199">
        <v>0</v>
      </c>
      <c r="BO21" s="199">
        <v>0</v>
      </c>
      <c r="BP21" s="199">
        <v>0</v>
      </c>
      <c r="BQ21" s="199">
        <v>0</v>
      </c>
      <c r="BR21" s="199">
        <v>0</v>
      </c>
      <c r="BS21" s="199">
        <v>0</v>
      </c>
      <c r="BT21" s="199">
        <v>0</v>
      </c>
      <c r="BU21" s="199">
        <v>0</v>
      </c>
      <c r="BV21" s="199">
        <v>0</v>
      </c>
      <c r="BW21" s="199">
        <v>0</v>
      </c>
      <c r="BX21" s="199">
        <v>0</v>
      </c>
      <c r="BY21" s="199">
        <v>0</v>
      </c>
      <c r="BZ21" s="199">
        <v>0</v>
      </c>
      <c r="CA21" s="199">
        <v>0</v>
      </c>
      <c r="CB21" s="199">
        <v>0</v>
      </c>
      <c r="CC21" s="199">
        <v>0</v>
      </c>
      <c r="CD21" s="199">
        <v>0</v>
      </c>
      <c r="CE21" s="199">
        <v>0</v>
      </c>
      <c r="CF21" s="199">
        <v>0</v>
      </c>
      <c r="CG21" s="199">
        <v>0</v>
      </c>
      <c r="CH21" s="199">
        <v>0</v>
      </c>
      <c r="CI21" s="199">
        <v>0</v>
      </c>
      <c r="CJ21" s="199">
        <v>0</v>
      </c>
      <c r="CK21" s="199">
        <v>0</v>
      </c>
      <c r="CL21" s="199">
        <v>0</v>
      </c>
      <c r="CM21" s="199">
        <v>0</v>
      </c>
      <c r="CN21" s="199">
        <v>0</v>
      </c>
      <c r="CO21" s="199">
        <v>0</v>
      </c>
      <c r="CP21" s="199">
        <v>0</v>
      </c>
      <c r="CQ21" s="199">
        <v>0</v>
      </c>
      <c r="CR21" s="199">
        <v>0</v>
      </c>
      <c r="CS21" s="199">
        <v>0</v>
      </c>
      <c r="CT21" s="199">
        <v>0</v>
      </c>
      <c r="CU21" s="199">
        <v>0</v>
      </c>
      <c r="CV21" s="199">
        <v>0</v>
      </c>
      <c r="CW21" s="199">
        <v>0</v>
      </c>
      <c r="CX21" s="199">
        <v>0</v>
      </c>
      <c r="CY21" s="199">
        <v>0</v>
      </c>
      <c r="CZ21" s="199">
        <v>0</v>
      </c>
      <c r="DA21" s="199">
        <v>0</v>
      </c>
      <c r="DB21" s="199">
        <v>0</v>
      </c>
      <c r="DC21" s="199">
        <v>0</v>
      </c>
      <c r="DD21" s="199">
        <v>0</v>
      </c>
      <c r="DE21" s="199">
        <v>0</v>
      </c>
      <c r="DF21" s="199">
        <v>0</v>
      </c>
      <c r="DG21" s="199">
        <v>0</v>
      </c>
      <c r="DH21" s="199">
        <v>0</v>
      </c>
      <c r="DI21" s="199">
        <v>0</v>
      </c>
      <c r="DJ21" s="199">
        <v>0</v>
      </c>
      <c r="DK21" s="199">
        <v>0</v>
      </c>
      <c r="DL21" s="199">
        <v>0</v>
      </c>
      <c r="DM21" s="199">
        <v>0</v>
      </c>
      <c r="DN21" s="199">
        <v>0</v>
      </c>
      <c r="DO21" s="199">
        <v>0</v>
      </c>
      <c r="DP21" s="199">
        <v>0</v>
      </c>
      <c r="DQ21" s="199">
        <v>0</v>
      </c>
      <c r="DR21" s="199">
        <v>0</v>
      </c>
      <c r="DS21" s="199">
        <v>0</v>
      </c>
      <c r="DT21" s="199">
        <v>15</v>
      </c>
      <c r="DU21" s="199">
        <v>0</v>
      </c>
      <c r="DV21" s="199">
        <v>0</v>
      </c>
      <c r="DW21" s="199">
        <v>0</v>
      </c>
      <c r="DX21" s="199">
        <v>0</v>
      </c>
      <c r="DY21" s="199">
        <v>0</v>
      </c>
      <c r="DZ21" s="199">
        <v>0</v>
      </c>
      <c r="EA21" s="199">
        <v>0</v>
      </c>
      <c r="EB21" s="199">
        <v>0</v>
      </c>
      <c r="EC21" s="199">
        <v>0</v>
      </c>
      <c r="ED21" s="199">
        <v>6</v>
      </c>
      <c r="EE21" s="199">
        <v>0</v>
      </c>
      <c r="EF21" s="199">
        <v>0</v>
      </c>
      <c r="EG21" s="199">
        <v>0</v>
      </c>
      <c r="EH21" s="199">
        <v>0</v>
      </c>
      <c r="EI21" s="199">
        <v>0</v>
      </c>
      <c r="EJ21" s="199">
        <v>0</v>
      </c>
      <c r="EK21" s="199">
        <v>0</v>
      </c>
      <c r="EL21" s="199">
        <v>0</v>
      </c>
      <c r="EM21" s="199">
        <v>0</v>
      </c>
      <c r="EN21" s="199">
        <v>0</v>
      </c>
      <c r="EO21" s="199">
        <v>0</v>
      </c>
      <c r="EP21" s="199">
        <v>0</v>
      </c>
      <c r="EQ21" s="199">
        <v>0</v>
      </c>
      <c r="ER21" s="199">
        <v>0</v>
      </c>
      <c r="ES21" s="199">
        <v>0</v>
      </c>
      <c r="ET21" s="199">
        <v>0</v>
      </c>
      <c r="EU21" s="199">
        <v>0</v>
      </c>
      <c r="EV21" s="199">
        <v>0</v>
      </c>
      <c r="EW21" s="199">
        <v>0</v>
      </c>
      <c r="EX21" s="199">
        <v>0</v>
      </c>
      <c r="EY21" s="199">
        <v>0</v>
      </c>
      <c r="EZ21" s="199">
        <v>0</v>
      </c>
      <c r="FA21" s="199">
        <v>0</v>
      </c>
      <c r="FB21" s="199">
        <v>0</v>
      </c>
      <c r="FC21" s="199">
        <v>0</v>
      </c>
      <c r="FD21" s="199">
        <v>0</v>
      </c>
      <c r="FE21" s="199">
        <v>0</v>
      </c>
      <c r="FF21" s="199">
        <v>0</v>
      </c>
      <c r="FG21" s="199">
        <v>0</v>
      </c>
      <c r="FH21" s="199">
        <v>0</v>
      </c>
      <c r="FI21" s="199">
        <v>0</v>
      </c>
      <c r="FJ21" s="199">
        <v>0</v>
      </c>
      <c r="FK21" s="199">
        <v>0</v>
      </c>
      <c r="FL21" s="199">
        <v>0</v>
      </c>
      <c r="FM21" s="199">
        <v>0</v>
      </c>
      <c r="FN21" s="199">
        <v>0</v>
      </c>
      <c r="FO21" s="199">
        <v>0</v>
      </c>
      <c r="FP21" s="199">
        <v>0</v>
      </c>
      <c r="FQ21" s="199">
        <v>0</v>
      </c>
      <c r="FR21" s="199">
        <v>0</v>
      </c>
      <c r="FS21" s="199">
        <v>0</v>
      </c>
      <c r="FT21" s="199">
        <v>0</v>
      </c>
      <c r="FU21" s="199">
        <v>0</v>
      </c>
      <c r="FV21" s="199">
        <v>0</v>
      </c>
      <c r="FW21" s="199">
        <v>0</v>
      </c>
      <c r="FX21" s="199">
        <v>0</v>
      </c>
      <c r="FY21" s="199">
        <v>0</v>
      </c>
      <c r="FZ21" s="199">
        <v>0</v>
      </c>
      <c r="GA21" s="199">
        <v>0</v>
      </c>
      <c r="GB21" s="199">
        <v>0</v>
      </c>
      <c r="GC21" s="199">
        <v>0</v>
      </c>
      <c r="GD21" s="199">
        <v>0</v>
      </c>
      <c r="GE21" s="199">
        <v>0</v>
      </c>
      <c r="GF21" s="199">
        <v>0</v>
      </c>
      <c r="GG21" s="199">
        <v>0</v>
      </c>
      <c r="GH21" s="199">
        <v>0</v>
      </c>
      <c r="GI21" s="199">
        <v>0</v>
      </c>
      <c r="GJ21" s="199">
        <v>0</v>
      </c>
      <c r="GK21" s="199">
        <v>0</v>
      </c>
      <c r="GL21" s="199">
        <v>0</v>
      </c>
      <c r="GM21" s="199">
        <v>0</v>
      </c>
      <c r="GN21" s="199">
        <v>0</v>
      </c>
      <c r="GO21" s="199">
        <v>0</v>
      </c>
      <c r="GP21" s="199">
        <v>0</v>
      </c>
      <c r="GQ21" s="199">
        <v>0</v>
      </c>
      <c r="GR21" s="199">
        <v>0</v>
      </c>
      <c r="GS21" s="199">
        <v>0</v>
      </c>
      <c r="GT21" s="199">
        <v>0</v>
      </c>
      <c r="GU21" s="199">
        <v>0</v>
      </c>
      <c r="GV21" s="199">
        <v>0</v>
      </c>
      <c r="GW21" s="199"/>
      <c r="GX21" s="199"/>
      <c r="GY21" s="199"/>
      <c r="GZ21" s="199"/>
    </row>
    <row r="22" spans="1:208" ht="13.9" customHeight="1">
      <c r="A22" s="34" t="s">
        <v>300</v>
      </c>
      <c r="B22" s="88">
        <v>0.5</v>
      </c>
      <c r="C22" s="96">
        <v>0</v>
      </c>
      <c r="D22" s="96">
        <v>0</v>
      </c>
      <c r="E22" s="96">
        <v>0</v>
      </c>
      <c r="F22" s="96">
        <v>0</v>
      </c>
      <c r="G22" s="173">
        <f t="shared" si="0"/>
        <v>122</v>
      </c>
      <c r="H22" s="199">
        <v>0</v>
      </c>
      <c r="I22" s="199">
        <v>0</v>
      </c>
      <c r="J22" s="199">
        <v>0</v>
      </c>
      <c r="K22" s="199">
        <v>0</v>
      </c>
      <c r="L22" s="199">
        <v>0</v>
      </c>
      <c r="M22" s="199">
        <v>0</v>
      </c>
      <c r="N22" s="199">
        <v>0</v>
      </c>
      <c r="O22" s="199">
        <v>0</v>
      </c>
      <c r="P22" s="199">
        <v>0</v>
      </c>
      <c r="Q22" s="199">
        <v>0</v>
      </c>
      <c r="R22" s="199">
        <v>0</v>
      </c>
      <c r="S22" s="199">
        <v>0</v>
      </c>
      <c r="T22" s="199">
        <v>0</v>
      </c>
      <c r="U22" s="199">
        <v>0</v>
      </c>
      <c r="V22" s="199">
        <v>0</v>
      </c>
      <c r="W22" s="199">
        <v>0</v>
      </c>
      <c r="X22" s="199">
        <v>0</v>
      </c>
      <c r="Y22" s="199">
        <v>122</v>
      </c>
      <c r="Z22" s="199">
        <v>0</v>
      </c>
      <c r="AA22" s="199">
        <v>0</v>
      </c>
      <c r="AB22" s="199">
        <v>0</v>
      </c>
      <c r="AC22" s="199">
        <v>0</v>
      </c>
      <c r="AD22" s="199">
        <v>0</v>
      </c>
      <c r="AE22" s="199">
        <v>0</v>
      </c>
      <c r="AF22" s="199">
        <v>0</v>
      </c>
      <c r="AG22" s="199">
        <v>0</v>
      </c>
      <c r="AH22" s="199">
        <v>0</v>
      </c>
      <c r="AI22" s="199">
        <v>0</v>
      </c>
      <c r="AJ22" s="199">
        <v>0</v>
      </c>
      <c r="AK22" s="199">
        <v>0</v>
      </c>
      <c r="AL22" s="199">
        <v>0</v>
      </c>
      <c r="AM22" s="199">
        <v>0</v>
      </c>
      <c r="AN22" s="199">
        <v>0</v>
      </c>
      <c r="AO22" s="199">
        <v>0</v>
      </c>
      <c r="AP22" s="199">
        <v>0</v>
      </c>
      <c r="AQ22" s="199">
        <v>0</v>
      </c>
      <c r="AR22" s="199">
        <v>0</v>
      </c>
      <c r="AS22" s="199">
        <v>0</v>
      </c>
      <c r="AT22" s="199">
        <v>0</v>
      </c>
      <c r="AU22" s="199">
        <v>0</v>
      </c>
      <c r="AV22" s="199">
        <v>0</v>
      </c>
      <c r="AW22" s="199">
        <v>0</v>
      </c>
      <c r="AX22" s="199">
        <v>0</v>
      </c>
      <c r="AY22" s="199">
        <v>0</v>
      </c>
      <c r="AZ22" s="199">
        <v>0</v>
      </c>
      <c r="BA22" s="199">
        <v>0</v>
      </c>
      <c r="BB22" s="199">
        <v>0</v>
      </c>
      <c r="BC22" s="199">
        <v>0</v>
      </c>
      <c r="BD22" s="199">
        <v>0</v>
      </c>
      <c r="BE22" s="199">
        <v>0</v>
      </c>
      <c r="BF22" s="199">
        <v>0</v>
      </c>
      <c r="BG22" s="199">
        <v>0</v>
      </c>
      <c r="BH22" s="199">
        <v>0</v>
      </c>
      <c r="BI22" s="199">
        <v>0</v>
      </c>
      <c r="BJ22" s="199">
        <v>0</v>
      </c>
      <c r="BK22" s="199">
        <v>0</v>
      </c>
      <c r="BL22" s="199">
        <v>0</v>
      </c>
      <c r="BM22" s="199">
        <v>0</v>
      </c>
      <c r="BN22" s="199">
        <v>0</v>
      </c>
      <c r="BO22" s="199">
        <v>0</v>
      </c>
      <c r="BP22" s="199">
        <v>0</v>
      </c>
      <c r="BQ22" s="199">
        <v>0</v>
      </c>
      <c r="BR22" s="199">
        <v>0</v>
      </c>
      <c r="BS22" s="199">
        <v>0</v>
      </c>
      <c r="BT22" s="199">
        <v>0</v>
      </c>
      <c r="BU22" s="199">
        <v>0</v>
      </c>
      <c r="BV22" s="199">
        <v>0</v>
      </c>
      <c r="BW22" s="199">
        <v>0</v>
      </c>
      <c r="BX22" s="199">
        <v>0</v>
      </c>
      <c r="BY22" s="199">
        <v>0</v>
      </c>
      <c r="BZ22" s="199">
        <v>0</v>
      </c>
      <c r="CA22" s="199">
        <v>0</v>
      </c>
      <c r="CB22" s="199">
        <v>0</v>
      </c>
      <c r="CC22" s="199">
        <v>0</v>
      </c>
      <c r="CD22" s="199">
        <v>0</v>
      </c>
      <c r="CE22" s="199">
        <v>0</v>
      </c>
      <c r="CF22" s="199">
        <v>0</v>
      </c>
      <c r="CG22" s="199">
        <v>0</v>
      </c>
      <c r="CH22" s="199">
        <v>0</v>
      </c>
      <c r="CI22" s="199">
        <v>0</v>
      </c>
      <c r="CJ22" s="199">
        <v>0</v>
      </c>
      <c r="CK22" s="199">
        <v>0</v>
      </c>
      <c r="CL22" s="199">
        <v>0</v>
      </c>
      <c r="CM22" s="199">
        <v>0</v>
      </c>
      <c r="CN22" s="199">
        <v>0</v>
      </c>
      <c r="CO22" s="199">
        <v>0</v>
      </c>
      <c r="CP22" s="199">
        <v>0</v>
      </c>
      <c r="CQ22" s="199">
        <v>0</v>
      </c>
      <c r="CR22" s="199">
        <v>0</v>
      </c>
      <c r="CS22" s="199">
        <v>0</v>
      </c>
      <c r="CT22" s="199">
        <v>0</v>
      </c>
      <c r="CU22" s="199">
        <v>0</v>
      </c>
      <c r="CV22" s="199">
        <v>0</v>
      </c>
      <c r="CW22" s="199">
        <v>0</v>
      </c>
      <c r="CX22" s="199">
        <v>0</v>
      </c>
      <c r="CY22" s="199">
        <v>0</v>
      </c>
      <c r="CZ22" s="199">
        <v>0</v>
      </c>
      <c r="DA22" s="199">
        <v>0</v>
      </c>
      <c r="DB22" s="199">
        <v>0</v>
      </c>
      <c r="DC22" s="199">
        <v>0</v>
      </c>
      <c r="DD22" s="199">
        <v>0</v>
      </c>
      <c r="DE22" s="199">
        <v>0</v>
      </c>
      <c r="DF22" s="199">
        <v>0</v>
      </c>
      <c r="DG22" s="199">
        <v>0</v>
      </c>
      <c r="DH22" s="199">
        <v>0</v>
      </c>
      <c r="DI22" s="199">
        <v>0</v>
      </c>
      <c r="DJ22" s="199">
        <v>0</v>
      </c>
      <c r="DK22" s="199">
        <v>0</v>
      </c>
      <c r="DL22" s="199">
        <v>0</v>
      </c>
      <c r="DM22" s="199">
        <v>0</v>
      </c>
      <c r="DN22" s="199">
        <v>0</v>
      </c>
      <c r="DO22" s="199">
        <v>0</v>
      </c>
      <c r="DP22" s="199">
        <v>0</v>
      </c>
      <c r="DQ22" s="199">
        <v>0</v>
      </c>
      <c r="DR22" s="199">
        <v>0</v>
      </c>
      <c r="DS22" s="199">
        <v>0</v>
      </c>
      <c r="DT22" s="199">
        <v>0</v>
      </c>
      <c r="DU22" s="199">
        <v>0</v>
      </c>
      <c r="DV22" s="199">
        <v>0</v>
      </c>
      <c r="DW22" s="199">
        <v>0</v>
      </c>
      <c r="DX22" s="199">
        <v>0</v>
      </c>
      <c r="DY22" s="199">
        <v>0</v>
      </c>
      <c r="DZ22" s="199">
        <v>0</v>
      </c>
      <c r="EA22" s="199">
        <v>0</v>
      </c>
      <c r="EB22" s="199">
        <v>0</v>
      </c>
      <c r="EC22" s="199">
        <v>0</v>
      </c>
      <c r="ED22" s="199">
        <v>0</v>
      </c>
      <c r="EE22" s="199">
        <v>0</v>
      </c>
      <c r="EF22" s="199">
        <v>0</v>
      </c>
      <c r="EG22" s="199">
        <v>0</v>
      </c>
      <c r="EH22" s="199">
        <v>0</v>
      </c>
      <c r="EI22" s="199">
        <v>0</v>
      </c>
      <c r="EJ22" s="199">
        <v>0</v>
      </c>
      <c r="EK22" s="199">
        <v>0</v>
      </c>
      <c r="EL22" s="199">
        <v>0</v>
      </c>
      <c r="EM22" s="199">
        <v>0</v>
      </c>
      <c r="EN22" s="199">
        <v>0</v>
      </c>
      <c r="EO22" s="199">
        <v>0</v>
      </c>
      <c r="EP22" s="199">
        <v>0</v>
      </c>
      <c r="EQ22" s="199">
        <v>0</v>
      </c>
      <c r="ER22" s="199">
        <v>0</v>
      </c>
      <c r="ES22" s="199">
        <v>0</v>
      </c>
      <c r="ET22" s="199">
        <v>0</v>
      </c>
      <c r="EU22" s="199">
        <v>0</v>
      </c>
      <c r="EV22" s="199">
        <v>0</v>
      </c>
      <c r="EW22" s="199">
        <v>0</v>
      </c>
      <c r="EX22" s="199">
        <v>0</v>
      </c>
      <c r="EY22" s="199">
        <v>0</v>
      </c>
      <c r="EZ22" s="199">
        <v>0</v>
      </c>
      <c r="FA22" s="199">
        <v>0</v>
      </c>
      <c r="FB22" s="199">
        <v>0</v>
      </c>
      <c r="FC22" s="199">
        <v>0</v>
      </c>
      <c r="FD22" s="199">
        <v>0</v>
      </c>
      <c r="FE22" s="199">
        <v>0</v>
      </c>
      <c r="FF22" s="199">
        <v>0</v>
      </c>
      <c r="FG22" s="199">
        <v>0</v>
      </c>
      <c r="FH22" s="199">
        <v>0</v>
      </c>
      <c r="FI22" s="199">
        <v>0</v>
      </c>
      <c r="FJ22" s="199">
        <v>0</v>
      </c>
      <c r="FK22" s="199">
        <v>0</v>
      </c>
      <c r="FL22" s="199">
        <v>0</v>
      </c>
      <c r="FM22" s="199">
        <v>0</v>
      </c>
      <c r="FN22" s="199">
        <v>0</v>
      </c>
      <c r="FO22" s="199">
        <v>0</v>
      </c>
      <c r="FP22" s="199">
        <v>0</v>
      </c>
      <c r="FQ22" s="199">
        <v>0</v>
      </c>
      <c r="FR22" s="199">
        <v>0</v>
      </c>
      <c r="FS22" s="199">
        <v>0</v>
      </c>
      <c r="FT22" s="199">
        <v>0</v>
      </c>
      <c r="FU22" s="199">
        <v>0</v>
      </c>
      <c r="FV22" s="199">
        <v>0</v>
      </c>
      <c r="FW22" s="199">
        <v>0</v>
      </c>
      <c r="FX22" s="199">
        <v>0</v>
      </c>
      <c r="FY22" s="199">
        <v>0</v>
      </c>
      <c r="FZ22" s="199">
        <v>0</v>
      </c>
      <c r="GA22" s="199">
        <v>0</v>
      </c>
      <c r="GB22" s="199">
        <v>0</v>
      </c>
      <c r="GC22" s="199">
        <v>0</v>
      </c>
      <c r="GD22" s="199">
        <v>0</v>
      </c>
      <c r="GE22" s="199">
        <v>0</v>
      </c>
      <c r="GF22" s="199">
        <v>0</v>
      </c>
      <c r="GG22" s="199">
        <v>0</v>
      </c>
      <c r="GH22" s="199">
        <v>0</v>
      </c>
      <c r="GI22" s="199">
        <v>0</v>
      </c>
      <c r="GJ22" s="199">
        <v>0</v>
      </c>
      <c r="GK22" s="199">
        <v>0</v>
      </c>
      <c r="GL22" s="199">
        <v>0</v>
      </c>
      <c r="GM22" s="199">
        <v>0</v>
      </c>
      <c r="GN22" s="199">
        <v>0</v>
      </c>
      <c r="GO22" s="199">
        <v>0</v>
      </c>
      <c r="GP22" s="199">
        <v>0</v>
      </c>
      <c r="GQ22" s="199">
        <v>0</v>
      </c>
      <c r="GR22" s="199">
        <v>0</v>
      </c>
      <c r="GS22" s="199">
        <v>0</v>
      </c>
      <c r="GT22" s="199">
        <v>0</v>
      </c>
      <c r="GU22" s="199">
        <v>0</v>
      </c>
      <c r="GV22" s="199">
        <v>0</v>
      </c>
      <c r="GW22" s="199"/>
      <c r="GX22" s="199"/>
      <c r="GY22" s="199"/>
      <c r="GZ22" s="199"/>
    </row>
    <row r="23" spans="1:208" ht="13.9" customHeight="1">
      <c r="A23" s="34" t="s">
        <v>301</v>
      </c>
      <c r="B23" s="88">
        <v>2</v>
      </c>
      <c r="C23" s="96"/>
      <c r="D23" s="96"/>
      <c r="E23" s="96"/>
      <c r="F23" s="96"/>
      <c r="G23" s="173">
        <f t="shared" si="0"/>
        <v>127</v>
      </c>
      <c r="H23" s="199">
        <v>0</v>
      </c>
      <c r="I23" s="199">
        <v>0</v>
      </c>
      <c r="J23" s="199">
        <v>0</v>
      </c>
      <c r="K23" s="199">
        <v>0</v>
      </c>
      <c r="L23" s="199">
        <v>0</v>
      </c>
      <c r="M23" s="199">
        <v>0</v>
      </c>
      <c r="N23" s="199">
        <v>0</v>
      </c>
      <c r="O23" s="199">
        <v>0</v>
      </c>
      <c r="P23" s="199">
        <v>0</v>
      </c>
      <c r="Q23" s="199">
        <v>0</v>
      </c>
      <c r="R23" s="199">
        <v>0</v>
      </c>
      <c r="S23" s="199">
        <v>0</v>
      </c>
      <c r="T23" s="199">
        <v>0</v>
      </c>
      <c r="U23" s="199">
        <v>0</v>
      </c>
      <c r="V23" s="199">
        <v>0</v>
      </c>
      <c r="W23" s="199">
        <v>0</v>
      </c>
      <c r="X23" s="199">
        <v>0</v>
      </c>
      <c r="Y23" s="199">
        <v>127</v>
      </c>
      <c r="Z23" s="199">
        <v>0</v>
      </c>
      <c r="AA23" s="199">
        <v>0</v>
      </c>
      <c r="AB23" s="199">
        <v>0</v>
      </c>
      <c r="AC23" s="199">
        <v>0</v>
      </c>
      <c r="AD23" s="199">
        <v>0</v>
      </c>
      <c r="AE23" s="199">
        <v>0</v>
      </c>
      <c r="AF23" s="199">
        <v>0</v>
      </c>
      <c r="AG23" s="199">
        <v>0</v>
      </c>
      <c r="AH23" s="199">
        <v>0</v>
      </c>
      <c r="AI23" s="199">
        <v>0</v>
      </c>
      <c r="AJ23" s="199">
        <v>0</v>
      </c>
      <c r="AK23" s="199">
        <v>0</v>
      </c>
      <c r="AL23" s="199">
        <v>0</v>
      </c>
      <c r="AM23" s="199">
        <v>0</v>
      </c>
      <c r="AN23" s="199">
        <v>0</v>
      </c>
      <c r="AO23" s="199">
        <v>0</v>
      </c>
      <c r="AP23" s="199">
        <v>0</v>
      </c>
      <c r="AQ23" s="199">
        <v>0</v>
      </c>
      <c r="AR23" s="199">
        <v>0</v>
      </c>
      <c r="AS23" s="199">
        <v>0</v>
      </c>
      <c r="AT23" s="199">
        <v>0</v>
      </c>
      <c r="AU23" s="199">
        <v>0</v>
      </c>
      <c r="AV23" s="199">
        <v>0</v>
      </c>
      <c r="AW23" s="199">
        <v>0</v>
      </c>
      <c r="AX23" s="199">
        <v>0</v>
      </c>
      <c r="AY23" s="199">
        <v>0</v>
      </c>
      <c r="AZ23" s="199">
        <v>0</v>
      </c>
      <c r="BA23" s="199">
        <v>0</v>
      </c>
      <c r="BB23" s="199">
        <v>0</v>
      </c>
      <c r="BC23" s="199">
        <v>0</v>
      </c>
      <c r="BD23" s="199">
        <v>0</v>
      </c>
      <c r="BE23" s="199">
        <v>0</v>
      </c>
      <c r="BF23" s="199">
        <v>0</v>
      </c>
      <c r="BG23" s="199">
        <v>0</v>
      </c>
      <c r="BH23" s="199">
        <v>0</v>
      </c>
      <c r="BI23" s="199">
        <v>0</v>
      </c>
      <c r="BJ23" s="199">
        <v>0</v>
      </c>
      <c r="BK23" s="199">
        <v>0</v>
      </c>
      <c r="BL23" s="199">
        <v>0</v>
      </c>
      <c r="BM23" s="199">
        <v>0</v>
      </c>
      <c r="BN23" s="199">
        <v>0</v>
      </c>
      <c r="BO23" s="199">
        <v>0</v>
      </c>
      <c r="BP23" s="199">
        <v>0</v>
      </c>
      <c r="BQ23" s="199">
        <v>0</v>
      </c>
      <c r="BR23" s="199">
        <v>0</v>
      </c>
      <c r="BS23" s="199">
        <v>0</v>
      </c>
      <c r="BT23" s="199">
        <v>0</v>
      </c>
      <c r="BU23" s="199">
        <v>0</v>
      </c>
      <c r="BV23" s="199">
        <v>0</v>
      </c>
      <c r="BW23" s="199">
        <v>0</v>
      </c>
      <c r="BX23" s="199">
        <v>0</v>
      </c>
      <c r="BY23" s="199">
        <v>0</v>
      </c>
      <c r="BZ23" s="199">
        <v>0</v>
      </c>
      <c r="CA23" s="199">
        <v>0</v>
      </c>
      <c r="CB23" s="199">
        <v>0</v>
      </c>
      <c r="CC23" s="199">
        <v>0</v>
      </c>
      <c r="CD23" s="199">
        <v>0</v>
      </c>
      <c r="CE23" s="199">
        <v>0</v>
      </c>
      <c r="CF23" s="199">
        <v>0</v>
      </c>
      <c r="CG23" s="199">
        <v>0</v>
      </c>
      <c r="CH23" s="199">
        <v>0</v>
      </c>
      <c r="CI23" s="199">
        <v>0</v>
      </c>
      <c r="CJ23" s="199">
        <v>0</v>
      </c>
      <c r="CK23" s="199">
        <v>0</v>
      </c>
      <c r="CL23" s="199">
        <v>0</v>
      </c>
      <c r="CM23" s="199">
        <v>0</v>
      </c>
      <c r="CN23" s="199">
        <v>0</v>
      </c>
      <c r="CO23" s="199">
        <v>0</v>
      </c>
      <c r="CP23" s="199">
        <v>0</v>
      </c>
      <c r="CQ23" s="199">
        <v>0</v>
      </c>
      <c r="CR23" s="199">
        <v>0</v>
      </c>
      <c r="CS23" s="199">
        <v>0</v>
      </c>
      <c r="CT23" s="199">
        <v>0</v>
      </c>
      <c r="CU23" s="199">
        <v>0</v>
      </c>
      <c r="CV23" s="199">
        <v>0</v>
      </c>
      <c r="CW23" s="199">
        <v>0</v>
      </c>
      <c r="CX23" s="199">
        <v>0</v>
      </c>
      <c r="CY23" s="199">
        <v>0</v>
      </c>
      <c r="CZ23" s="199">
        <v>0</v>
      </c>
      <c r="DA23" s="199">
        <v>0</v>
      </c>
      <c r="DB23" s="199">
        <v>0</v>
      </c>
      <c r="DC23" s="199">
        <v>0</v>
      </c>
      <c r="DD23" s="199">
        <v>0</v>
      </c>
      <c r="DE23" s="199">
        <v>0</v>
      </c>
      <c r="DF23" s="199">
        <v>0</v>
      </c>
      <c r="DG23" s="199">
        <v>0</v>
      </c>
      <c r="DH23" s="199">
        <v>0</v>
      </c>
      <c r="DI23" s="199">
        <v>0</v>
      </c>
      <c r="DJ23" s="199">
        <v>0</v>
      </c>
      <c r="DK23" s="199">
        <v>0</v>
      </c>
      <c r="DL23" s="199">
        <v>0</v>
      </c>
      <c r="DM23" s="199">
        <v>0</v>
      </c>
      <c r="DN23" s="199">
        <v>0</v>
      </c>
      <c r="DO23" s="199">
        <v>0</v>
      </c>
      <c r="DP23" s="199">
        <v>0</v>
      </c>
      <c r="DQ23" s="199">
        <v>0</v>
      </c>
      <c r="DR23" s="199">
        <v>0</v>
      </c>
      <c r="DS23" s="199">
        <v>0</v>
      </c>
      <c r="DT23" s="199">
        <v>0</v>
      </c>
      <c r="DU23" s="199">
        <v>0</v>
      </c>
      <c r="DV23" s="199">
        <v>0</v>
      </c>
      <c r="DW23" s="199">
        <v>0</v>
      </c>
      <c r="DX23" s="199">
        <v>0</v>
      </c>
      <c r="DY23" s="199">
        <v>0</v>
      </c>
      <c r="DZ23" s="199">
        <v>0</v>
      </c>
      <c r="EA23" s="199">
        <v>0</v>
      </c>
      <c r="EB23" s="199">
        <v>0</v>
      </c>
      <c r="EC23" s="199">
        <v>0</v>
      </c>
      <c r="ED23" s="199">
        <v>0</v>
      </c>
      <c r="EE23" s="199">
        <v>0</v>
      </c>
      <c r="EF23" s="199">
        <v>0</v>
      </c>
      <c r="EG23" s="199">
        <v>0</v>
      </c>
      <c r="EH23" s="199">
        <v>0</v>
      </c>
      <c r="EI23" s="199">
        <v>0</v>
      </c>
      <c r="EJ23" s="199">
        <v>0</v>
      </c>
      <c r="EK23" s="199">
        <v>0</v>
      </c>
      <c r="EL23" s="199">
        <v>0</v>
      </c>
      <c r="EM23" s="199">
        <v>0</v>
      </c>
      <c r="EN23" s="199">
        <v>0</v>
      </c>
      <c r="EO23" s="199">
        <v>0</v>
      </c>
      <c r="EP23" s="199">
        <v>0</v>
      </c>
      <c r="EQ23" s="199">
        <v>0</v>
      </c>
      <c r="ER23" s="199">
        <v>0</v>
      </c>
      <c r="ES23" s="199">
        <v>0</v>
      </c>
      <c r="ET23" s="199">
        <v>0</v>
      </c>
      <c r="EU23" s="199">
        <v>0</v>
      </c>
      <c r="EV23" s="199">
        <v>0</v>
      </c>
      <c r="EW23" s="199">
        <v>0</v>
      </c>
      <c r="EX23" s="199">
        <v>0</v>
      </c>
      <c r="EY23" s="199">
        <v>0</v>
      </c>
      <c r="EZ23" s="199">
        <v>0</v>
      </c>
      <c r="FA23" s="199">
        <v>0</v>
      </c>
      <c r="FB23" s="199">
        <v>0</v>
      </c>
      <c r="FC23" s="199">
        <v>0</v>
      </c>
      <c r="FD23" s="199">
        <v>0</v>
      </c>
      <c r="FE23" s="199">
        <v>0</v>
      </c>
      <c r="FF23" s="199">
        <v>0</v>
      </c>
      <c r="FG23" s="199">
        <v>0</v>
      </c>
      <c r="FH23" s="199">
        <v>0</v>
      </c>
      <c r="FI23" s="199">
        <v>0</v>
      </c>
      <c r="FJ23" s="199">
        <v>0</v>
      </c>
      <c r="FK23" s="199">
        <v>0</v>
      </c>
      <c r="FL23" s="199">
        <v>0</v>
      </c>
      <c r="FM23" s="199">
        <v>0</v>
      </c>
      <c r="FN23" s="199">
        <v>0</v>
      </c>
      <c r="FO23" s="199">
        <v>0</v>
      </c>
      <c r="FP23" s="199">
        <v>0</v>
      </c>
      <c r="FQ23" s="199">
        <v>0</v>
      </c>
      <c r="FR23" s="199">
        <v>0</v>
      </c>
      <c r="FS23" s="199">
        <v>0</v>
      </c>
      <c r="FT23" s="199">
        <v>0</v>
      </c>
      <c r="FU23" s="199">
        <v>0</v>
      </c>
      <c r="FV23" s="199">
        <v>0</v>
      </c>
      <c r="FW23" s="199">
        <v>0</v>
      </c>
      <c r="FX23" s="199">
        <v>0</v>
      </c>
      <c r="FY23" s="199">
        <v>0</v>
      </c>
      <c r="FZ23" s="199">
        <v>0</v>
      </c>
      <c r="GA23" s="199">
        <v>0</v>
      </c>
      <c r="GB23" s="199">
        <v>0</v>
      </c>
      <c r="GC23" s="199">
        <v>0</v>
      </c>
      <c r="GD23" s="199">
        <v>0</v>
      </c>
      <c r="GE23" s="199">
        <v>0</v>
      </c>
      <c r="GF23" s="199">
        <v>0</v>
      </c>
      <c r="GG23" s="199">
        <v>0</v>
      </c>
      <c r="GH23" s="199">
        <v>0</v>
      </c>
      <c r="GI23" s="199">
        <v>0</v>
      </c>
      <c r="GJ23" s="199">
        <v>0</v>
      </c>
      <c r="GK23" s="199">
        <v>0</v>
      </c>
      <c r="GL23" s="199">
        <v>0</v>
      </c>
      <c r="GM23" s="199">
        <v>0</v>
      </c>
      <c r="GN23" s="199">
        <v>0</v>
      </c>
      <c r="GO23" s="199">
        <v>0</v>
      </c>
      <c r="GP23" s="199">
        <v>0</v>
      </c>
      <c r="GQ23" s="199">
        <v>0</v>
      </c>
      <c r="GR23" s="199">
        <v>0</v>
      </c>
      <c r="GS23" s="199">
        <v>0</v>
      </c>
      <c r="GT23" s="199">
        <v>0</v>
      </c>
      <c r="GU23" s="199">
        <v>0</v>
      </c>
      <c r="GV23" s="199">
        <v>0</v>
      </c>
      <c r="GW23" s="199"/>
      <c r="GX23" s="199"/>
      <c r="GY23" s="199"/>
      <c r="GZ23" s="199"/>
    </row>
    <row r="24" spans="1:208">
      <c r="A24" s="236" t="s">
        <v>302</v>
      </c>
      <c r="B24" s="236"/>
      <c r="C24" s="236"/>
      <c r="D24" s="236"/>
      <c r="E24" s="236"/>
      <c r="F24" s="84">
        <f>SUM(G2:G23)-G24</f>
        <v>0</v>
      </c>
      <c r="G24" s="20">
        <f>SUM(H24:GZ24)</f>
        <v>2220</v>
      </c>
      <c r="H24" s="20">
        <f t="shared" ref="H24:BS24" si="2">SUM(H2:H23)</f>
        <v>0</v>
      </c>
      <c r="I24" s="20">
        <f t="shared" si="2"/>
        <v>0</v>
      </c>
      <c r="J24" s="20">
        <f t="shared" si="2"/>
        <v>0</v>
      </c>
      <c r="K24" s="20">
        <f t="shared" si="2"/>
        <v>0</v>
      </c>
      <c r="L24" s="20">
        <f t="shared" si="2"/>
        <v>0</v>
      </c>
      <c r="M24" s="20">
        <f t="shared" si="2"/>
        <v>0</v>
      </c>
      <c r="N24" s="20">
        <f t="shared" si="2"/>
        <v>0</v>
      </c>
      <c r="O24" s="20">
        <f t="shared" si="2"/>
        <v>0</v>
      </c>
      <c r="P24" s="20">
        <f t="shared" si="2"/>
        <v>0</v>
      </c>
      <c r="Q24" s="20">
        <f t="shared" si="2"/>
        <v>0</v>
      </c>
      <c r="R24" s="20">
        <f t="shared" si="2"/>
        <v>0</v>
      </c>
      <c r="S24" s="20">
        <f t="shared" si="2"/>
        <v>0</v>
      </c>
      <c r="T24" s="20">
        <f t="shared" si="2"/>
        <v>0</v>
      </c>
      <c r="U24" s="20">
        <f t="shared" si="2"/>
        <v>0</v>
      </c>
      <c r="V24" s="20">
        <f t="shared" si="2"/>
        <v>0</v>
      </c>
      <c r="W24" s="20">
        <f t="shared" si="2"/>
        <v>92</v>
      </c>
      <c r="X24" s="20">
        <f t="shared" si="2"/>
        <v>118</v>
      </c>
      <c r="Y24" s="20">
        <f t="shared" si="2"/>
        <v>249</v>
      </c>
      <c r="Z24" s="20">
        <f t="shared" si="2"/>
        <v>0</v>
      </c>
      <c r="AA24" s="20">
        <f t="shared" si="2"/>
        <v>0</v>
      </c>
      <c r="AB24" s="20">
        <f t="shared" si="2"/>
        <v>0</v>
      </c>
      <c r="AC24" s="20">
        <f t="shared" si="2"/>
        <v>0</v>
      </c>
      <c r="AD24" s="20">
        <f t="shared" si="2"/>
        <v>0</v>
      </c>
      <c r="AE24" s="20">
        <f t="shared" si="2"/>
        <v>0</v>
      </c>
      <c r="AF24" s="20">
        <f t="shared" si="2"/>
        <v>0</v>
      </c>
      <c r="AG24" s="20">
        <f t="shared" si="2"/>
        <v>0</v>
      </c>
      <c r="AH24" s="20">
        <f t="shared" si="2"/>
        <v>0</v>
      </c>
      <c r="AI24" s="20">
        <f t="shared" si="2"/>
        <v>0</v>
      </c>
      <c r="AJ24" s="20">
        <f t="shared" si="2"/>
        <v>0</v>
      </c>
      <c r="AK24" s="20">
        <f t="shared" si="2"/>
        <v>0</v>
      </c>
      <c r="AL24" s="20">
        <f t="shared" si="2"/>
        <v>0</v>
      </c>
      <c r="AM24" s="20">
        <f t="shared" si="2"/>
        <v>0</v>
      </c>
      <c r="AN24" s="20">
        <f t="shared" si="2"/>
        <v>0</v>
      </c>
      <c r="AO24" s="20">
        <f t="shared" si="2"/>
        <v>0</v>
      </c>
      <c r="AP24" s="20">
        <f t="shared" si="2"/>
        <v>0</v>
      </c>
      <c r="AQ24" s="20">
        <f t="shared" si="2"/>
        <v>0</v>
      </c>
      <c r="AR24" s="20">
        <f t="shared" si="2"/>
        <v>0</v>
      </c>
      <c r="AS24" s="20">
        <f t="shared" si="2"/>
        <v>0</v>
      </c>
      <c r="AT24" s="20">
        <f t="shared" si="2"/>
        <v>0</v>
      </c>
      <c r="AU24" s="20">
        <f t="shared" si="2"/>
        <v>0</v>
      </c>
      <c r="AV24" s="20">
        <f t="shared" si="2"/>
        <v>0</v>
      </c>
      <c r="AW24" s="20">
        <f t="shared" si="2"/>
        <v>0</v>
      </c>
      <c r="AX24" s="20">
        <f t="shared" si="2"/>
        <v>0</v>
      </c>
      <c r="AY24" s="20">
        <f t="shared" si="2"/>
        <v>0</v>
      </c>
      <c r="AZ24" s="20">
        <f t="shared" si="2"/>
        <v>0</v>
      </c>
      <c r="BA24" s="20">
        <f t="shared" si="2"/>
        <v>0</v>
      </c>
      <c r="BB24" s="20">
        <f t="shared" si="2"/>
        <v>0</v>
      </c>
      <c r="BC24" s="20">
        <f t="shared" si="2"/>
        <v>0</v>
      </c>
      <c r="BD24" s="20">
        <f t="shared" si="2"/>
        <v>0</v>
      </c>
      <c r="BE24" s="20">
        <f t="shared" si="2"/>
        <v>0</v>
      </c>
      <c r="BF24" s="20">
        <f t="shared" si="2"/>
        <v>0</v>
      </c>
      <c r="BG24" s="20">
        <f t="shared" si="2"/>
        <v>0</v>
      </c>
      <c r="BH24" s="20">
        <f t="shared" si="2"/>
        <v>0</v>
      </c>
      <c r="BI24" s="20">
        <f t="shared" si="2"/>
        <v>0</v>
      </c>
      <c r="BJ24" s="20">
        <f t="shared" si="2"/>
        <v>0</v>
      </c>
      <c r="BK24" s="20">
        <f t="shared" si="2"/>
        <v>0</v>
      </c>
      <c r="BL24" s="20">
        <f t="shared" si="2"/>
        <v>0</v>
      </c>
      <c r="BM24" s="20">
        <f t="shared" si="2"/>
        <v>37</v>
      </c>
      <c r="BN24" s="20">
        <f t="shared" si="2"/>
        <v>0</v>
      </c>
      <c r="BO24" s="20">
        <f t="shared" si="2"/>
        <v>0</v>
      </c>
      <c r="BP24" s="20">
        <f t="shared" si="2"/>
        <v>0</v>
      </c>
      <c r="BQ24" s="20">
        <f t="shared" si="2"/>
        <v>0</v>
      </c>
      <c r="BR24" s="20">
        <f t="shared" si="2"/>
        <v>0</v>
      </c>
      <c r="BS24" s="20">
        <f t="shared" si="2"/>
        <v>0</v>
      </c>
      <c r="BT24" s="20">
        <f t="shared" ref="BT24:EE24" si="3">SUM(BT2:BT23)</f>
        <v>0</v>
      </c>
      <c r="BU24" s="20">
        <f t="shared" si="3"/>
        <v>0</v>
      </c>
      <c r="BV24" s="20">
        <f t="shared" si="3"/>
        <v>0</v>
      </c>
      <c r="BW24" s="20">
        <f t="shared" si="3"/>
        <v>0</v>
      </c>
      <c r="BX24" s="20">
        <f t="shared" si="3"/>
        <v>0</v>
      </c>
      <c r="BY24" s="20">
        <f t="shared" si="3"/>
        <v>0</v>
      </c>
      <c r="BZ24" s="20">
        <f t="shared" si="3"/>
        <v>0</v>
      </c>
      <c r="CA24" s="20">
        <f t="shared" si="3"/>
        <v>0</v>
      </c>
      <c r="CB24" s="20">
        <f t="shared" si="3"/>
        <v>0</v>
      </c>
      <c r="CC24" s="20">
        <f t="shared" si="3"/>
        <v>0</v>
      </c>
      <c r="CD24" s="20">
        <f t="shared" si="3"/>
        <v>13</v>
      </c>
      <c r="CE24" s="20">
        <f t="shared" si="3"/>
        <v>0</v>
      </c>
      <c r="CF24" s="20">
        <f t="shared" si="3"/>
        <v>0</v>
      </c>
      <c r="CG24" s="20">
        <f t="shared" si="3"/>
        <v>0</v>
      </c>
      <c r="CH24" s="20">
        <f t="shared" si="3"/>
        <v>14</v>
      </c>
      <c r="CI24" s="20">
        <f t="shared" si="3"/>
        <v>0</v>
      </c>
      <c r="CJ24" s="20">
        <f t="shared" si="3"/>
        <v>0</v>
      </c>
      <c r="CK24" s="20">
        <f t="shared" si="3"/>
        <v>0</v>
      </c>
      <c r="CL24" s="20">
        <f t="shared" si="3"/>
        <v>0</v>
      </c>
      <c r="CM24" s="20">
        <f t="shared" si="3"/>
        <v>0</v>
      </c>
      <c r="CN24" s="20">
        <f t="shared" si="3"/>
        <v>0</v>
      </c>
      <c r="CO24" s="20">
        <f t="shared" si="3"/>
        <v>0</v>
      </c>
      <c r="CP24" s="20">
        <f t="shared" si="3"/>
        <v>0</v>
      </c>
      <c r="CQ24" s="20">
        <f t="shared" si="3"/>
        <v>0</v>
      </c>
      <c r="CR24" s="20">
        <f t="shared" si="3"/>
        <v>107</v>
      </c>
      <c r="CS24" s="20">
        <f t="shared" si="3"/>
        <v>0</v>
      </c>
      <c r="CT24" s="20">
        <f t="shared" si="3"/>
        <v>0</v>
      </c>
      <c r="CU24" s="20">
        <f t="shared" si="3"/>
        <v>0</v>
      </c>
      <c r="CV24" s="20">
        <f t="shared" si="3"/>
        <v>434</v>
      </c>
      <c r="CW24" s="20">
        <f t="shared" si="3"/>
        <v>0</v>
      </c>
      <c r="CX24" s="20">
        <f t="shared" si="3"/>
        <v>0</v>
      </c>
      <c r="CY24" s="20">
        <f t="shared" si="3"/>
        <v>0</v>
      </c>
      <c r="CZ24" s="20">
        <f t="shared" si="3"/>
        <v>0</v>
      </c>
      <c r="DA24" s="20">
        <f t="shared" si="3"/>
        <v>0</v>
      </c>
      <c r="DB24" s="20">
        <f t="shared" si="3"/>
        <v>0</v>
      </c>
      <c r="DC24" s="20">
        <f t="shared" si="3"/>
        <v>0</v>
      </c>
      <c r="DD24" s="20">
        <f t="shared" si="3"/>
        <v>0</v>
      </c>
      <c r="DE24" s="20">
        <f t="shared" si="3"/>
        <v>0</v>
      </c>
      <c r="DF24" s="20">
        <f t="shared" si="3"/>
        <v>0</v>
      </c>
      <c r="DG24" s="20">
        <f t="shared" si="3"/>
        <v>0</v>
      </c>
      <c r="DH24" s="20">
        <f t="shared" si="3"/>
        <v>0</v>
      </c>
      <c r="DI24" s="20">
        <f t="shared" si="3"/>
        <v>0</v>
      </c>
      <c r="DJ24" s="20">
        <f t="shared" si="3"/>
        <v>0</v>
      </c>
      <c r="DK24" s="20">
        <f t="shared" si="3"/>
        <v>0</v>
      </c>
      <c r="DL24" s="20">
        <f t="shared" si="3"/>
        <v>0</v>
      </c>
      <c r="DM24" s="20">
        <f t="shared" si="3"/>
        <v>0</v>
      </c>
      <c r="DN24" s="20">
        <f t="shared" si="3"/>
        <v>0</v>
      </c>
      <c r="DO24" s="20">
        <f t="shared" si="3"/>
        <v>124</v>
      </c>
      <c r="DP24" s="20">
        <f t="shared" si="3"/>
        <v>0</v>
      </c>
      <c r="DQ24" s="20">
        <f t="shared" si="3"/>
        <v>0</v>
      </c>
      <c r="DR24" s="20">
        <f t="shared" si="3"/>
        <v>0</v>
      </c>
      <c r="DS24" s="20">
        <f t="shared" si="3"/>
        <v>18</v>
      </c>
      <c r="DT24" s="20">
        <f t="shared" si="3"/>
        <v>15</v>
      </c>
      <c r="DU24" s="20">
        <f t="shared" si="3"/>
        <v>0</v>
      </c>
      <c r="DV24" s="20">
        <f t="shared" si="3"/>
        <v>0</v>
      </c>
      <c r="DW24" s="20">
        <f t="shared" si="3"/>
        <v>0</v>
      </c>
      <c r="DX24" s="20">
        <f t="shared" si="3"/>
        <v>0</v>
      </c>
      <c r="DY24" s="20">
        <f t="shared" si="3"/>
        <v>0</v>
      </c>
      <c r="DZ24" s="20">
        <f t="shared" si="3"/>
        <v>0</v>
      </c>
      <c r="EA24" s="20">
        <f t="shared" si="3"/>
        <v>0</v>
      </c>
      <c r="EB24" s="20">
        <f t="shared" si="3"/>
        <v>0</v>
      </c>
      <c r="EC24" s="20">
        <f t="shared" si="3"/>
        <v>0</v>
      </c>
      <c r="ED24" s="20">
        <f t="shared" si="3"/>
        <v>65</v>
      </c>
      <c r="EE24" s="20">
        <f t="shared" si="3"/>
        <v>0</v>
      </c>
      <c r="EF24" s="20">
        <f t="shared" ref="EF24:GQ24" si="4">SUM(EF2:EF23)</f>
        <v>0</v>
      </c>
      <c r="EG24" s="20">
        <f t="shared" si="4"/>
        <v>0</v>
      </c>
      <c r="EH24" s="20">
        <f t="shared" si="4"/>
        <v>0</v>
      </c>
      <c r="EI24" s="20">
        <f t="shared" si="4"/>
        <v>0</v>
      </c>
      <c r="EJ24" s="20">
        <f t="shared" si="4"/>
        <v>0</v>
      </c>
      <c r="EK24" s="20">
        <f t="shared" si="4"/>
        <v>0</v>
      </c>
      <c r="EL24" s="20">
        <f t="shared" si="4"/>
        <v>0</v>
      </c>
      <c r="EM24" s="20">
        <f t="shared" si="4"/>
        <v>0</v>
      </c>
      <c r="EN24" s="20">
        <f t="shared" si="4"/>
        <v>0</v>
      </c>
      <c r="EO24" s="20">
        <f t="shared" si="4"/>
        <v>0</v>
      </c>
      <c r="EP24" s="20">
        <f t="shared" si="4"/>
        <v>0</v>
      </c>
      <c r="EQ24" s="20">
        <f t="shared" si="4"/>
        <v>0</v>
      </c>
      <c r="ER24" s="20">
        <f t="shared" si="4"/>
        <v>0</v>
      </c>
      <c r="ES24" s="20">
        <f t="shared" si="4"/>
        <v>0</v>
      </c>
      <c r="ET24" s="20">
        <f t="shared" si="4"/>
        <v>0</v>
      </c>
      <c r="EU24" s="20">
        <f t="shared" si="4"/>
        <v>0</v>
      </c>
      <c r="EV24" s="20">
        <f t="shared" si="4"/>
        <v>0</v>
      </c>
      <c r="EW24" s="20">
        <f t="shared" si="4"/>
        <v>0</v>
      </c>
      <c r="EX24" s="20">
        <f t="shared" si="4"/>
        <v>0</v>
      </c>
      <c r="EY24" s="20">
        <f t="shared" si="4"/>
        <v>0</v>
      </c>
      <c r="EZ24" s="20">
        <f t="shared" si="4"/>
        <v>23</v>
      </c>
      <c r="FA24" s="20">
        <f t="shared" si="4"/>
        <v>47</v>
      </c>
      <c r="FB24" s="20">
        <f t="shared" si="4"/>
        <v>0</v>
      </c>
      <c r="FC24" s="20">
        <f t="shared" si="4"/>
        <v>0</v>
      </c>
      <c r="FD24" s="20">
        <f t="shared" si="4"/>
        <v>0</v>
      </c>
      <c r="FE24" s="20">
        <f t="shared" si="4"/>
        <v>0</v>
      </c>
      <c r="FF24" s="20">
        <f t="shared" si="4"/>
        <v>0</v>
      </c>
      <c r="FG24" s="20">
        <f t="shared" si="4"/>
        <v>0</v>
      </c>
      <c r="FH24" s="20">
        <f t="shared" si="4"/>
        <v>0</v>
      </c>
      <c r="FI24" s="20">
        <f t="shared" si="4"/>
        <v>0</v>
      </c>
      <c r="FJ24" s="20">
        <f t="shared" si="4"/>
        <v>0</v>
      </c>
      <c r="FK24" s="20">
        <f t="shared" si="4"/>
        <v>0</v>
      </c>
      <c r="FL24" s="20">
        <f t="shared" si="4"/>
        <v>0</v>
      </c>
      <c r="FM24" s="20">
        <f t="shared" si="4"/>
        <v>0</v>
      </c>
      <c r="FN24" s="20">
        <f t="shared" si="4"/>
        <v>0</v>
      </c>
      <c r="FO24" s="20">
        <f t="shared" si="4"/>
        <v>0</v>
      </c>
      <c r="FP24" s="20">
        <f t="shared" si="4"/>
        <v>0</v>
      </c>
      <c r="FQ24" s="20">
        <f t="shared" si="4"/>
        <v>0</v>
      </c>
      <c r="FR24" s="20">
        <f t="shared" si="4"/>
        <v>0</v>
      </c>
      <c r="FS24" s="20">
        <f t="shared" si="4"/>
        <v>0</v>
      </c>
      <c r="FT24" s="20">
        <f t="shared" si="4"/>
        <v>0</v>
      </c>
      <c r="FU24" s="20">
        <f t="shared" si="4"/>
        <v>0</v>
      </c>
      <c r="FV24" s="20">
        <f t="shared" si="4"/>
        <v>0</v>
      </c>
      <c r="FW24" s="20">
        <f t="shared" si="4"/>
        <v>216</v>
      </c>
      <c r="FX24" s="20">
        <f t="shared" si="4"/>
        <v>0</v>
      </c>
      <c r="FY24" s="20">
        <f t="shared" si="4"/>
        <v>0</v>
      </c>
      <c r="FZ24" s="20">
        <f t="shared" si="4"/>
        <v>0</v>
      </c>
      <c r="GA24" s="20">
        <f t="shared" si="4"/>
        <v>0</v>
      </c>
      <c r="GB24" s="20">
        <f t="shared" si="4"/>
        <v>0</v>
      </c>
      <c r="GC24" s="20">
        <f t="shared" si="4"/>
        <v>616</v>
      </c>
      <c r="GD24" s="20">
        <f t="shared" si="4"/>
        <v>0</v>
      </c>
      <c r="GE24" s="20">
        <f t="shared" si="4"/>
        <v>0</v>
      </c>
      <c r="GF24" s="20">
        <f t="shared" si="4"/>
        <v>0</v>
      </c>
      <c r="GG24" s="20">
        <f t="shared" si="4"/>
        <v>0</v>
      </c>
      <c r="GH24" s="20">
        <f t="shared" si="4"/>
        <v>0</v>
      </c>
      <c r="GI24" s="20">
        <f t="shared" si="4"/>
        <v>0</v>
      </c>
      <c r="GJ24" s="20">
        <f t="shared" si="4"/>
        <v>0</v>
      </c>
      <c r="GK24" s="20">
        <f t="shared" si="4"/>
        <v>0</v>
      </c>
      <c r="GL24" s="20">
        <f t="shared" si="4"/>
        <v>0</v>
      </c>
      <c r="GM24" s="20">
        <f t="shared" si="4"/>
        <v>0</v>
      </c>
      <c r="GN24" s="20">
        <f t="shared" si="4"/>
        <v>0</v>
      </c>
      <c r="GO24" s="20">
        <f t="shared" si="4"/>
        <v>0</v>
      </c>
      <c r="GP24" s="20">
        <f t="shared" si="4"/>
        <v>0</v>
      </c>
      <c r="GQ24" s="20">
        <f t="shared" si="4"/>
        <v>0</v>
      </c>
      <c r="GR24" s="20">
        <f t="shared" ref="GR24:GZ24" si="5">SUM(GR2:GR23)</f>
        <v>0</v>
      </c>
      <c r="GS24" s="20">
        <f t="shared" si="5"/>
        <v>32</v>
      </c>
      <c r="GT24" s="20">
        <f t="shared" si="5"/>
        <v>0</v>
      </c>
      <c r="GU24" s="20">
        <f t="shared" si="5"/>
        <v>0</v>
      </c>
      <c r="GV24" s="20">
        <f t="shared" si="5"/>
        <v>0</v>
      </c>
      <c r="GW24" s="20">
        <f t="shared" si="5"/>
        <v>0</v>
      </c>
      <c r="GX24" s="20">
        <f t="shared" si="5"/>
        <v>0</v>
      </c>
      <c r="GY24" s="20">
        <f t="shared" si="5"/>
        <v>0</v>
      </c>
      <c r="GZ24" s="20">
        <f t="shared" si="5"/>
        <v>0</v>
      </c>
    </row>
    <row r="25" spans="1:208">
      <c r="A25" s="236" t="s">
        <v>1</v>
      </c>
      <c r="B25" s="236"/>
      <c r="C25" s="236"/>
      <c r="D25" s="236"/>
      <c r="E25" s="236"/>
      <c r="F25" s="84">
        <f>G24-G16-G15-G22</f>
        <v>1993</v>
      </c>
      <c r="G25" s="159">
        <f>SUM(H25:GZ25)</f>
        <v>10381.5</v>
      </c>
      <c r="H25" s="89">
        <f t="shared" ref="H25:BS25" si="6">H2*$B$2+H3*$B$3+H4*$B$4+H5*$B$5+H6*$B$6+H7*$B$7+H8*$B$8+H9*$B$9+H10*$B$10+H11*$B$11+H12*$B$12+H13*$B$13+H14*$B$14+H16*$B$16+H15*$B$15+H17*$B$17+H18*$B$18+H19*$B$19+H20*$B$20+H21*$B$21+H22*$B$22+H23*$B$23</f>
        <v>0</v>
      </c>
      <c r="I25" s="89">
        <f t="shared" si="6"/>
        <v>0</v>
      </c>
      <c r="J25" s="89">
        <f t="shared" si="6"/>
        <v>0</v>
      </c>
      <c r="K25" s="89">
        <f t="shared" si="6"/>
        <v>0</v>
      </c>
      <c r="L25" s="89">
        <f t="shared" si="6"/>
        <v>0</v>
      </c>
      <c r="M25" s="89">
        <f t="shared" si="6"/>
        <v>0</v>
      </c>
      <c r="N25" s="89">
        <f t="shared" si="6"/>
        <v>0</v>
      </c>
      <c r="O25" s="89">
        <f t="shared" si="6"/>
        <v>0</v>
      </c>
      <c r="P25" s="89">
        <f t="shared" si="6"/>
        <v>0</v>
      </c>
      <c r="Q25" s="89">
        <f t="shared" si="6"/>
        <v>0</v>
      </c>
      <c r="R25" s="89">
        <f t="shared" si="6"/>
        <v>0</v>
      </c>
      <c r="S25" s="89">
        <f t="shared" si="6"/>
        <v>0</v>
      </c>
      <c r="T25" s="89">
        <f t="shared" si="6"/>
        <v>0</v>
      </c>
      <c r="U25" s="89">
        <f t="shared" si="6"/>
        <v>0</v>
      </c>
      <c r="V25" s="89">
        <f t="shared" si="6"/>
        <v>0</v>
      </c>
      <c r="W25" s="89">
        <f t="shared" si="6"/>
        <v>115</v>
      </c>
      <c r="X25" s="89">
        <f t="shared" si="6"/>
        <v>147.5</v>
      </c>
      <c r="Y25" s="89">
        <f t="shared" si="6"/>
        <v>315</v>
      </c>
      <c r="Z25" s="89">
        <f t="shared" si="6"/>
        <v>0</v>
      </c>
      <c r="AA25" s="89">
        <f t="shared" si="6"/>
        <v>0</v>
      </c>
      <c r="AB25" s="89">
        <f t="shared" si="6"/>
        <v>0</v>
      </c>
      <c r="AC25" s="89">
        <f t="shared" si="6"/>
        <v>0</v>
      </c>
      <c r="AD25" s="89">
        <f t="shared" si="6"/>
        <v>0</v>
      </c>
      <c r="AE25" s="89">
        <f t="shared" si="6"/>
        <v>0</v>
      </c>
      <c r="AF25" s="89">
        <f t="shared" si="6"/>
        <v>0</v>
      </c>
      <c r="AG25" s="89">
        <f t="shared" si="6"/>
        <v>0</v>
      </c>
      <c r="AH25" s="89">
        <f t="shared" si="6"/>
        <v>0</v>
      </c>
      <c r="AI25" s="89">
        <f t="shared" si="6"/>
        <v>0</v>
      </c>
      <c r="AJ25" s="89">
        <f t="shared" si="6"/>
        <v>0</v>
      </c>
      <c r="AK25" s="89">
        <f t="shared" si="6"/>
        <v>0</v>
      </c>
      <c r="AL25" s="89">
        <f t="shared" si="6"/>
        <v>0</v>
      </c>
      <c r="AM25" s="89">
        <f t="shared" si="6"/>
        <v>0</v>
      </c>
      <c r="AN25" s="89">
        <f t="shared" si="6"/>
        <v>0</v>
      </c>
      <c r="AO25" s="89">
        <f t="shared" si="6"/>
        <v>0</v>
      </c>
      <c r="AP25" s="89">
        <f t="shared" si="6"/>
        <v>0</v>
      </c>
      <c r="AQ25" s="89">
        <f t="shared" si="6"/>
        <v>0</v>
      </c>
      <c r="AR25" s="89">
        <f t="shared" si="6"/>
        <v>0</v>
      </c>
      <c r="AS25" s="89">
        <f t="shared" si="6"/>
        <v>0</v>
      </c>
      <c r="AT25" s="89">
        <f t="shared" si="6"/>
        <v>0</v>
      </c>
      <c r="AU25" s="89">
        <f t="shared" si="6"/>
        <v>0</v>
      </c>
      <c r="AV25" s="89">
        <f t="shared" si="6"/>
        <v>0</v>
      </c>
      <c r="AW25" s="89">
        <f t="shared" si="6"/>
        <v>0</v>
      </c>
      <c r="AX25" s="89">
        <f t="shared" si="6"/>
        <v>0</v>
      </c>
      <c r="AY25" s="89">
        <f t="shared" si="6"/>
        <v>0</v>
      </c>
      <c r="AZ25" s="89">
        <f t="shared" si="6"/>
        <v>0</v>
      </c>
      <c r="BA25" s="89">
        <f t="shared" si="6"/>
        <v>0</v>
      </c>
      <c r="BB25" s="89">
        <f t="shared" si="6"/>
        <v>0</v>
      </c>
      <c r="BC25" s="89">
        <f t="shared" si="6"/>
        <v>0</v>
      </c>
      <c r="BD25" s="89">
        <f t="shared" si="6"/>
        <v>0</v>
      </c>
      <c r="BE25" s="89">
        <f t="shared" si="6"/>
        <v>0</v>
      </c>
      <c r="BF25" s="89">
        <f t="shared" si="6"/>
        <v>0</v>
      </c>
      <c r="BG25" s="89">
        <f t="shared" si="6"/>
        <v>0</v>
      </c>
      <c r="BH25" s="89">
        <f t="shared" si="6"/>
        <v>0</v>
      </c>
      <c r="BI25" s="89">
        <f t="shared" si="6"/>
        <v>0</v>
      </c>
      <c r="BJ25" s="89">
        <f t="shared" si="6"/>
        <v>0</v>
      </c>
      <c r="BK25" s="89">
        <f t="shared" si="6"/>
        <v>0</v>
      </c>
      <c r="BL25" s="89">
        <f t="shared" si="6"/>
        <v>0</v>
      </c>
      <c r="BM25" s="89">
        <f t="shared" si="6"/>
        <v>74</v>
      </c>
      <c r="BN25" s="89">
        <f t="shared" si="6"/>
        <v>0</v>
      </c>
      <c r="BO25" s="89">
        <f t="shared" si="6"/>
        <v>0</v>
      </c>
      <c r="BP25" s="89">
        <f t="shared" si="6"/>
        <v>0</v>
      </c>
      <c r="BQ25" s="89">
        <f t="shared" si="6"/>
        <v>0</v>
      </c>
      <c r="BR25" s="89">
        <f t="shared" si="6"/>
        <v>0</v>
      </c>
      <c r="BS25" s="89">
        <f t="shared" si="6"/>
        <v>0</v>
      </c>
      <c r="BT25" s="89">
        <f t="shared" ref="BT25:EE25" si="7">BT2*$B$2+BT3*$B$3+BT4*$B$4+BT5*$B$5+BT6*$B$6+BT7*$B$7+BT8*$B$8+BT9*$B$9+BT10*$B$10+BT11*$B$11+BT12*$B$12+BT13*$B$13+BT14*$B$14+BT16*$B$16+BT15*$B$15+BT17*$B$17+BT18*$B$18+BT19*$B$19+BT20*$B$20+BT21*$B$21+BT22*$B$22+BT23*$B$23</f>
        <v>0</v>
      </c>
      <c r="BU25" s="89">
        <f t="shared" si="7"/>
        <v>0</v>
      </c>
      <c r="BV25" s="89">
        <f t="shared" si="7"/>
        <v>0</v>
      </c>
      <c r="BW25" s="89">
        <f t="shared" si="7"/>
        <v>0</v>
      </c>
      <c r="BX25" s="89">
        <f t="shared" si="7"/>
        <v>0</v>
      </c>
      <c r="BY25" s="89">
        <f t="shared" si="7"/>
        <v>0</v>
      </c>
      <c r="BZ25" s="89">
        <f t="shared" si="7"/>
        <v>0</v>
      </c>
      <c r="CA25" s="89">
        <f t="shared" si="7"/>
        <v>0</v>
      </c>
      <c r="CB25" s="89">
        <f t="shared" si="7"/>
        <v>0</v>
      </c>
      <c r="CC25" s="89">
        <f t="shared" si="7"/>
        <v>0</v>
      </c>
      <c r="CD25" s="89">
        <f t="shared" si="7"/>
        <v>26</v>
      </c>
      <c r="CE25" s="89">
        <f t="shared" si="7"/>
        <v>0</v>
      </c>
      <c r="CF25" s="89">
        <f t="shared" si="7"/>
        <v>0</v>
      </c>
      <c r="CG25" s="89">
        <f t="shared" si="7"/>
        <v>0</v>
      </c>
      <c r="CH25" s="89">
        <f t="shared" si="7"/>
        <v>28</v>
      </c>
      <c r="CI25" s="89">
        <f t="shared" si="7"/>
        <v>0</v>
      </c>
      <c r="CJ25" s="89">
        <f t="shared" si="7"/>
        <v>0</v>
      </c>
      <c r="CK25" s="89">
        <f t="shared" si="7"/>
        <v>0</v>
      </c>
      <c r="CL25" s="89">
        <f t="shared" si="7"/>
        <v>0</v>
      </c>
      <c r="CM25" s="89">
        <f t="shared" si="7"/>
        <v>0</v>
      </c>
      <c r="CN25" s="89">
        <f t="shared" si="7"/>
        <v>0</v>
      </c>
      <c r="CO25" s="89">
        <f t="shared" si="7"/>
        <v>0</v>
      </c>
      <c r="CP25" s="89">
        <f t="shared" si="7"/>
        <v>0</v>
      </c>
      <c r="CQ25" s="89">
        <f t="shared" si="7"/>
        <v>0</v>
      </c>
      <c r="CR25" s="89">
        <f t="shared" si="7"/>
        <v>214</v>
      </c>
      <c r="CS25" s="89">
        <f t="shared" si="7"/>
        <v>0</v>
      </c>
      <c r="CT25" s="89">
        <f t="shared" si="7"/>
        <v>0</v>
      </c>
      <c r="CU25" s="89">
        <f t="shared" si="7"/>
        <v>0</v>
      </c>
      <c r="CV25" s="89">
        <f>CV2*$B$2+CV3*$B$3+CV4*$B$4+CV5*$B$5+CV6*$B$6+CV7*$B$7+CV8*$B$8+CV9*$B$9+CV10*$B$10+CV11*$B$11+CV12*$B$12+CV13*$B$13+CV14*$B$14+CV16*$B$16+CV15*$B$15+CV17*$B$17+CV18*$B$18+CV19*$B$19+CV20*$B$20+CV21*$B$21+CV22*$B$22+CV23*$B$23+200</f>
        <v>3672</v>
      </c>
      <c r="CW25" s="89">
        <f t="shared" si="7"/>
        <v>0</v>
      </c>
      <c r="CX25" s="89">
        <f t="shared" si="7"/>
        <v>0</v>
      </c>
      <c r="CY25" s="89">
        <f t="shared" si="7"/>
        <v>0</v>
      </c>
      <c r="CZ25" s="89">
        <f t="shared" si="7"/>
        <v>0</v>
      </c>
      <c r="DA25" s="89">
        <f t="shared" si="7"/>
        <v>0</v>
      </c>
      <c r="DB25" s="89">
        <f t="shared" si="7"/>
        <v>0</v>
      </c>
      <c r="DC25" s="89">
        <f t="shared" si="7"/>
        <v>0</v>
      </c>
      <c r="DD25" s="89">
        <f t="shared" si="7"/>
        <v>0</v>
      </c>
      <c r="DE25" s="89">
        <f t="shared" si="7"/>
        <v>0</v>
      </c>
      <c r="DF25" s="89">
        <f t="shared" si="7"/>
        <v>0</v>
      </c>
      <c r="DG25" s="89">
        <f t="shared" si="7"/>
        <v>0</v>
      </c>
      <c r="DH25" s="89">
        <f t="shared" si="7"/>
        <v>0</v>
      </c>
      <c r="DI25" s="89">
        <f t="shared" si="7"/>
        <v>0</v>
      </c>
      <c r="DJ25" s="89">
        <f t="shared" si="7"/>
        <v>0</v>
      </c>
      <c r="DK25" s="89">
        <f t="shared" si="7"/>
        <v>0</v>
      </c>
      <c r="DL25" s="89">
        <f t="shared" si="7"/>
        <v>0</v>
      </c>
      <c r="DM25" s="89">
        <f t="shared" si="7"/>
        <v>0</v>
      </c>
      <c r="DN25" s="89">
        <f t="shared" si="7"/>
        <v>0</v>
      </c>
      <c r="DO25" s="89">
        <f t="shared" si="7"/>
        <v>248</v>
      </c>
      <c r="DP25" s="89">
        <f t="shared" si="7"/>
        <v>0</v>
      </c>
      <c r="DQ25" s="89">
        <f t="shared" si="7"/>
        <v>0</v>
      </c>
      <c r="DR25" s="89">
        <f t="shared" si="7"/>
        <v>0</v>
      </c>
      <c r="DS25" s="89">
        <f t="shared" si="7"/>
        <v>36</v>
      </c>
      <c r="DT25" s="89">
        <f t="shared" si="7"/>
        <v>30</v>
      </c>
      <c r="DU25" s="89">
        <f t="shared" si="7"/>
        <v>0</v>
      </c>
      <c r="DV25" s="89">
        <f t="shared" si="7"/>
        <v>0</v>
      </c>
      <c r="DW25" s="89">
        <f t="shared" si="7"/>
        <v>0</v>
      </c>
      <c r="DX25" s="89">
        <f t="shared" si="7"/>
        <v>0</v>
      </c>
      <c r="DY25" s="89">
        <f t="shared" si="7"/>
        <v>0</v>
      </c>
      <c r="DZ25" s="89">
        <f t="shared" si="7"/>
        <v>0</v>
      </c>
      <c r="EA25" s="89">
        <f t="shared" si="7"/>
        <v>0</v>
      </c>
      <c r="EB25" s="89">
        <f t="shared" si="7"/>
        <v>0</v>
      </c>
      <c r="EC25" s="89">
        <f t="shared" si="7"/>
        <v>0</v>
      </c>
      <c r="ED25" s="89">
        <f t="shared" si="7"/>
        <v>130</v>
      </c>
      <c r="EE25" s="89">
        <f t="shared" si="7"/>
        <v>0</v>
      </c>
      <c r="EF25" s="89">
        <f t="shared" ref="EF25:GQ25" si="8">EF2*$B$2+EF3*$B$3+EF4*$B$4+EF5*$B$5+EF6*$B$6+EF7*$B$7+EF8*$B$8+EF9*$B$9+EF10*$B$10+EF11*$B$11+EF12*$B$12+EF13*$B$13+EF14*$B$14+EF16*$B$16+EF15*$B$15+EF17*$B$17+EF18*$B$18+EF19*$B$19+EF20*$B$20+EF21*$B$21+EF22*$B$22+EF23*$B$23</f>
        <v>0</v>
      </c>
      <c r="EG25" s="89">
        <f t="shared" si="8"/>
        <v>0</v>
      </c>
      <c r="EH25" s="89">
        <f t="shared" si="8"/>
        <v>0</v>
      </c>
      <c r="EI25" s="89">
        <f t="shared" si="8"/>
        <v>0</v>
      </c>
      <c r="EJ25" s="89">
        <f t="shared" si="8"/>
        <v>0</v>
      </c>
      <c r="EK25" s="89">
        <f t="shared" si="8"/>
        <v>0</v>
      </c>
      <c r="EL25" s="89">
        <f t="shared" si="8"/>
        <v>0</v>
      </c>
      <c r="EM25" s="89">
        <f t="shared" si="8"/>
        <v>0</v>
      </c>
      <c r="EN25" s="89">
        <f t="shared" si="8"/>
        <v>0</v>
      </c>
      <c r="EO25" s="89">
        <f t="shared" si="8"/>
        <v>0</v>
      </c>
      <c r="EP25" s="89">
        <f t="shared" si="8"/>
        <v>0</v>
      </c>
      <c r="EQ25" s="89">
        <f t="shared" si="8"/>
        <v>0</v>
      </c>
      <c r="ER25" s="89">
        <f t="shared" si="8"/>
        <v>0</v>
      </c>
      <c r="ES25" s="89">
        <f t="shared" si="8"/>
        <v>0</v>
      </c>
      <c r="ET25" s="89">
        <f t="shared" si="8"/>
        <v>0</v>
      </c>
      <c r="EU25" s="89">
        <f t="shared" si="8"/>
        <v>0</v>
      </c>
      <c r="EV25" s="89">
        <f t="shared" si="8"/>
        <v>0</v>
      </c>
      <c r="EW25" s="89">
        <f t="shared" si="8"/>
        <v>0</v>
      </c>
      <c r="EX25" s="89">
        <f t="shared" si="8"/>
        <v>0</v>
      </c>
      <c r="EY25" s="89">
        <f t="shared" si="8"/>
        <v>0</v>
      </c>
      <c r="EZ25" s="89">
        <f t="shared" si="8"/>
        <v>46</v>
      </c>
      <c r="FA25" s="89">
        <f t="shared" si="8"/>
        <v>94</v>
      </c>
      <c r="FB25" s="89">
        <f t="shared" si="8"/>
        <v>0</v>
      </c>
      <c r="FC25" s="89">
        <f t="shared" si="8"/>
        <v>0</v>
      </c>
      <c r="FD25" s="89">
        <f t="shared" si="8"/>
        <v>0</v>
      </c>
      <c r="FE25" s="89">
        <f t="shared" si="8"/>
        <v>0</v>
      </c>
      <c r="FF25" s="89">
        <f t="shared" si="8"/>
        <v>0</v>
      </c>
      <c r="FG25" s="89">
        <f t="shared" si="8"/>
        <v>0</v>
      </c>
      <c r="FH25" s="89">
        <f t="shared" si="8"/>
        <v>0</v>
      </c>
      <c r="FI25" s="89">
        <f t="shared" si="8"/>
        <v>0</v>
      </c>
      <c r="FJ25" s="89">
        <f t="shared" si="8"/>
        <v>0</v>
      </c>
      <c r="FK25" s="89">
        <f t="shared" si="8"/>
        <v>0</v>
      </c>
      <c r="FL25" s="89">
        <f t="shared" si="8"/>
        <v>0</v>
      </c>
      <c r="FM25" s="89">
        <f t="shared" si="8"/>
        <v>0</v>
      </c>
      <c r="FN25" s="89">
        <f t="shared" si="8"/>
        <v>0</v>
      </c>
      <c r="FO25" s="89">
        <f t="shared" si="8"/>
        <v>0</v>
      </c>
      <c r="FP25" s="89">
        <f t="shared" si="8"/>
        <v>0</v>
      </c>
      <c r="FQ25" s="89">
        <f t="shared" si="8"/>
        <v>0</v>
      </c>
      <c r="FR25" s="89">
        <f t="shared" si="8"/>
        <v>0</v>
      </c>
      <c r="FS25" s="89">
        <f t="shared" si="8"/>
        <v>0</v>
      </c>
      <c r="FT25" s="89">
        <f t="shared" si="8"/>
        <v>0</v>
      </c>
      <c r="FU25" s="89">
        <f t="shared" si="8"/>
        <v>0</v>
      </c>
      <c r="FV25" s="89">
        <f t="shared" si="8"/>
        <v>0</v>
      </c>
      <c r="FW25" s="89">
        <f t="shared" si="8"/>
        <v>432</v>
      </c>
      <c r="FX25" s="89">
        <f t="shared" si="8"/>
        <v>0</v>
      </c>
      <c r="FY25" s="89">
        <f t="shared" si="8"/>
        <v>0</v>
      </c>
      <c r="FZ25" s="89">
        <f t="shared" si="8"/>
        <v>0</v>
      </c>
      <c r="GA25" s="89">
        <f t="shared" si="8"/>
        <v>0</v>
      </c>
      <c r="GB25" s="89">
        <f t="shared" si="8"/>
        <v>0</v>
      </c>
      <c r="GC25" s="89">
        <f>GC2*$B$2+GC3*$B$3+GC4*$B$4+GC5*$B$5+GC6*$B$6+GC7*$B$7+GC8*$B$8+GC9*$B$9+GC10*$B$10+GC11*$B$11+GC12*$B$12+GC13*$B$13+GC14*$B$14+GC16*$B$16+GC15*$B$15+GC17*$B$17+GC18*$B$18+GC19*$B$19+GC20*$B$20+GC21*$B$21+GC22*$B$22+GC23*$B$23+100</f>
        <v>4710</v>
      </c>
      <c r="GD25" s="89">
        <f t="shared" si="8"/>
        <v>0</v>
      </c>
      <c r="GE25" s="89">
        <f t="shared" si="8"/>
        <v>0</v>
      </c>
      <c r="GF25" s="89">
        <f t="shared" si="8"/>
        <v>0</v>
      </c>
      <c r="GG25" s="89">
        <f t="shared" si="8"/>
        <v>0</v>
      </c>
      <c r="GH25" s="89">
        <f t="shared" si="8"/>
        <v>0</v>
      </c>
      <c r="GI25" s="89">
        <f t="shared" si="8"/>
        <v>0</v>
      </c>
      <c r="GJ25" s="89">
        <f t="shared" si="8"/>
        <v>0</v>
      </c>
      <c r="GK25" s="89">
        <f t="shared" si="8"/>
        <v>0</v>
      </c>
      <c r="GL25" s="89">
        <f t="shared" si="8"/>
        <v>0</v>
      </c>
      <c r="GM25" s="89">
        <f t="shared" si="8"/>
        <v>0</v>
      </c>
      <c r="GN25" s="89">
        <f t="shared" si="8"/>
        <v>0</v>
      </c>
      <c r="GO25" s="89">
        <f t="shared" si="8"/>
        <v>0</v>
      </c>
      <c r="GP25" s="89">
        <f t="shared" si="8"/>
        <v>0</v>
      </c>
      <c r="GQ25" s="89">
        <f t="shared" si="8"/>
        <v>0</v>
      </c>
      <c r="GR25" s="89">
        <f t="shared" ref="GR25:GZ25" si="9">GR2*$B$2+GR3*$B$3+GR4*$B$4+GR5*$B$5+GR6*$B$6+GR7*$B$7+GR8*$B$8+GR9*$B$9+GR10*$B$10+GR11*$B$11+GR12*$B$12+GR13*$B$13+GR14*$B$14+GR16*$B$16+GR15*$B$15+GR17*$B$17+GR18*$B$18+GR19*$B$19+GR20*$B$20+GR21*$B$21+GR22*$B$22+GR23*$B$23</f>
        <v>0</v>
      </c>
      <c r="GS25" s="89">
        <f t="shared" si="9"/>
        <v>64</v>
      </c>
      <c r="GT25" s="89">
        <f t="shared" si="9"/>
        <v>0</v>
      </c>
      <c r="GU25" s="89">
        <f t="shared" si="9"/>
        <v>0</v>
      </c>
      <c r="GV25" s="89">
        <f t="shared" si="9"/>
        <v>0</v>
      </c>
      <c r="GW25" s="89">
        <f t="shared" si="9"/>
        <v>0</v>
      </c>
      <c r="GX25" s="89">
        <f t="shared" si="9"/>
        <v>0</v>
      </c>
      <c r="GY25" s="89">
        <f t="shared" si="9"/>
        <v>0</v>
      </c>
      <c r="GZ25" s="89">
        <f t="shared" si="9"/>
        <v>0</v>
      </c>
    </row>
    <row r="26" spans="1:208">
      <c r="A26" s="236" t="s">
        <v>204</v>
      </c>
      <c r="B26" s="236"/>
      <c r="C26" s="236"/>
      <c r="D26" s="236"/>
      <c r="E26" s="236"/>
      <c r="F26" s="84"/>
      <c r="G26" s="200">
        <f>SUM(G25,G60)</f>
        <v>32743.200000000001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</row>
    <row r="27" spans="1:208" ht="14.45">
      <c r="A27" s="174" t="s">
        <v>276</v>
      </c>
      <c r="B27" s="174" t="s">
        <v>277</v>
      </c>
      <c r="C27" s="87" t="s">
        <v>278</v>
      </c>
      <c r="D27" s="87" t="s">
        <v>279</v>
      </c>
      <c r="E27" s="87" t="s">
        <v>4</v>
      </c>
      <c r="F27" s="87" t="s">
        <v>280</v>
      </c>
      <c r="G27" s="174" t="s">
        <v>202</v>
      </c>
      <c r="H27" s="145" t="str">
        <f t="shared" ref="H27:BS27" si="10">H1</f>
        <v>Aanya</v>
      </c>
      <c r="I27" s="145" t="str">
        <f t="shared" si="10"/>
        <v>Ahila Sundaresan</v>
      </c>
      <c r="J27" s="145" t="str">
        <f t="shared" si="10"/>
        <v>Alekhya Pokuri</v>
      </c>
      <c r="K27" s="145" t="str">
        <f t="shared" si="10"/>
        <v>Ambar Romero</v>
      </c>
      <c r="L27" s="145" t="str">
        <f t="shared" si="10"/>
        <v>Amel Yousfi</v>
      </c>
      <c r="M27" s="145" t="str">
        <f t="shared" si="10"/>
        <v>Amrita Singh</v>
      </c>
      <c r="N27" s="145" t="str">
        <f t="shared" si="10"/>
        <v>Andrea Lorenzano</v>
      </c>
      <c r="O27" s="145" t="str">
        <f t="shared" si="10"/>
        <v>Angayarkanni Kannan</v>
      </c>
      <c r="P27" s="145" t="str">
        <f t="shared" si="10"/>
        <v>Angel Edwards</v>
      </c>
      <c r="Q27" s="145" t="str">
        <f t="shared" si="10"/>
        <v>Anitaben Patel</v>
      </c>
      <c r="R27" s="145" t="str">
        <f t="shared" si="10"/>
        <v>Anjali Devunuri</v>
      </c>
      <c r="S27" s="145" t="str">
        <f t="shared" si="10"/>
        <v>Anjana Vijayan</v>
      </c>
      <c r="T27" s="145" t="str">
        <f t="shared" si="10"/>
        <v>Ankana Biswas Dutta</v>
      </c>
      <c r="U27" s="145" t="str">
        <f t="shared" si="10"/>
        <v>Anshu Dubey</v>
      </c>
      <c r="V27" s="145" t="str">
        <f t="shared" si="10"/>
        <v>Anusha Cheerla</v>
      </c>
      <c r="W27" s="145" t="str">
        <f t="shared" si="10"/>
        <v>Anusha Kulageri</v>
      </c>
      <c r="X27" s="145" t="str">
        <f t="shared" si="10"/>
        <v>Anusha Prasannakumar</v>
      </c>
      <c r="Y27" s="145" t="str">
        <f t="shared" si="10"/>
        <v>Arcelia Finkelberg</v>
      </c>
      <c r="Z27" s="145" t="str">
        <f t="shared" si="10"/>
        <v>Atchaya Rangasamy Venugopal</v>
      </c>
      <c r="AA27" s="145" t="str">
        <f t="shared" si="10"/>
        <v>Azumi Van Scyoc</v>
      </c>
      <c r="AB27" s="145" t="str">
        <f t="shared" si="10"/>
        <v>Babitha Koraganti</v>
      </c>
      <c r="AC27" s="145" t="str">
        <f t="shared" si="10"/>
        <v>Balasubramani Kandasamy</v>
      </c>
      <c r="AD27" s="145" t="str">
        <f t="shared" si="10"/>
        <v>Cecilia Hendricks</v>
      </c>
      <c r="AE27" s="145" t="str">
        <f t="shared" si="10"/>
        <v>Chandana Bathina</v>
      </c>
      <c r="AF27" s="145" t="str">
        <f t="shared" si="10"/>
        <v>Chandini Yellamilli</v>
      </c>
      <c r="AG27" s="145" t="str">
        <f t="shared" si="10"/>
        <v>Chinmaya Jyothi Pulikallu</v>
      </c>
      <c r="AH27" s="145" t="str">
        <f t="shared" si="10"/>
        <v>Damion Newell</v>
      </c>
      <c r="AI27" s="145" t="str">
        <f t="shared" si="10"/>
        <v>Deepika Chintaluri</v>
      </c>
      <c r="AJ27" s="145" t="str">
        <f t="shared" si="10"/>
        <v>Devi Prakash</v>
      </c>
      <c r="AK27" s="145" t="str">
        <f t="shared" si="10"/>
        <v>Devicharitha Malapati</v>
      </c>
      <c r="AL27" s="145" t="str">
        <f t="shared" si="10"/>
        <v>Dhanalakshmi Nelluri</v>
      </c>
      <c r="AM27" s="145" t="str">
        <f t="shared" si="10"/>
        <v>Dhivya Shankar</v>
      </c>
      <c r="AN27" s="145" t="str">
        <f t="shared" si="10"/>
        <v>Dhivyalakshmi Vigneshwaran</v>
      </c>
      <c r="AO27" s="145" t="str">
        <f t="shared" si="10"/>
        <v>Diksha Vijaykumar More</v>
      </c>
      <c r="AP27" s="145" t="str">
        <f t="shared" si="10"/>
        <v>Divya Babu</v>
      </c>
      <c r="AQ27" s="145" t="str">
        <f t="shared" si="10"/>
        <v>Divya Manjeshwar kamath</v>
      </c>
      <c r="AR27" s="145" t="str">
        <f t="shared" si="10"/>
        <v>Divya Shree</v>
      </c>
      <c r="AS27" s="145" t="str">
        <f t="shared" si="10"/>
        <v>Erianna Lockhart</v>
      </c>
      <c r="AT27" s="145" t="str">
        <f t="shared" si="10"/>
        <v>Faith Ujjwala Singh</v>
      </c>
      <c r="AU27" s="145" t="str">
        <f t="shared" si="10"/>
        <v>Fallyan Redd</v>
      </c>
      <c r="AV27" s="145" t="str">
        <f t="shared" si="10"/>
        <v>Farheen Hasham</v>
      </c>
      <c r="AW27" s="145" t="str">
        <f t="shared" si="10"/>
        <v>Farzana Shaik</v>
      </c>
      <c r="AX27" s="145" t="str">
        <f t="shared" si="10"/>
        <v>Fnu Supriya</v>
      </c>
      <c r="AY27" s="145" t="str">
        <f t="shared" si="10"/>
        <v>Foua Yang</v>
      </c>
      <c r="AZ27" s="145" t="str">
        <f t="shared" si="10"/>
        <v>Franklin C Onyedili</v>
      </c>
      <c r="BA27" s="145" t="str">
        <f t="shared" si="10"/>
        <v>Gayatri Paramsivam</v>
      </c>
      <c r="BB27" s="145" t="str">
        <f t="shared" si="10"/>
        <v>Geetalakshmi Govinthara Annadhurai</v>
      </c>
      <c r="BC27" s="145" t="str">
        <f t="shared" si="10"/>
        <v>Gia Erica Coleman</v>
      </c>
      <c r="BD27" s="145" t="str">
        <f t="shared" si="10"/>
        <v>Hadjer Ikram Yousfi</v>
      </c>
      <c r="BE27" s="145" t="str">
        <f t="shared" si="10"/>
        <v>Haley VanNamee</v>
      </c>
      <c r="BF27" s="145" t="str">
        <f t="shared" si="10"/>
        <v>Harathi Nuvuru</v>
      </c>
      <c r="BG27" s="145" t="str">
        <f t="shared" si="10"/>
        <v>Hetal Shah</v>
      </c>
      <c r="BH27" s="145" t="str">
        <f t="shared" si="10"/>
        <v>I-Asia Newkirk</v>
      </c>
      <c r="BI27" s="145" t="str">
        <f t="shared" si="10"/>
        <v>Infanta Clara Victor Anthony</v>
      </c>
      <c r="BJ27" s="145" t="str">
        <f t="shared" si="10"/>
        <v>Jaya Singh</v>
      </c>
      <c r="BK27" s="145" t="str">
        <f t="shared" si="10"/>
        <v>Jayashree Swain</v>
      </c>
      <c r="BL27" s="145" t="str">
        <f t="shared" si="10"/>
        <v>Jhou Yang</v>
      </c>
      <c r="BM27" s="145" t="str">
        <f t="shared" si="10"/>
        <v>Jyothi Venkatasubramanya</v>
      </c>
      <c r="BN27" s="145" t="str">
        <f t="shared" si="10"/>
        <v>Kabila Sivasankar</v>
      </c>
      <c r="BO27" s="145" t="str">
        <f t="shared" si="10"/>
        <v>Kavya Krishnappa</v>
      </c>
      <c r="BP27" s="145" t="str">
        <f t="shared" si="10"/>
        <v>Kawanna Brown</v>
      </c>
      <c r="BQ27" s="145" t="str">
        <f t="shared" si="10"/>
        <v>Komala Renuka Prasad</v>
      </c>
      <c r="BR27" s="145" t="str">
        <f t="shared" si="10"/>
        <v>Krishnaveni</v>
      </c>
      <c r="BS27" s="145" t="str">
        <f t="shared" si="10"/>
        <v>Krithika Balasubramaniam</v>
      </c>
      <c r="BT27" s="145" t="str">
        <f t="shared" ref="BT27:EE27" si="11">BT1</f>
        <v>Lakshmi Neelima Duddula</v>
      </c>
      <c r="BU27" s="145" t="str">
        <f t="shared" si="11"/>
        <v>LaSere Reid Smith</v>
      </c>
      <c r="BV27" s="145" t="str">
        <f t="shared" si="11"/>
        <v>LATHA BUSIREDDY</v>
      </c>
      <c r="BW27" s="145" t="str">
        <f t="shared" si="11"/>
        <v>Latrice Adams</v>
      </c>
      <c r="BX27" s="145" t="str">
        <f t="shared" si="11"/>
        <v>Lavanya Vigrahala</v>
      </c>
      <c r="BY27" s="145" t="str">
        <f t="shared" si="11"/>
        <v>Laxmi Sirisha Penumecha</v>
      </c>
      <c r="BZ27" s="145" t="str">
        <f t="shared" si="11"/>
        <v>Lipsa Padhy</v>
      </c>
      <c r="CA27" s="145" t="str">
        <f t="shared" si="11"/>
        <v>Lokeswari Gummadi</v>
      </c>
      <c r="CB27" s="145" t="str">
        <f t="shared" si="11"/>
        <v>Madhana Sundari Vijayarajan</v>
      </c>
      <c r="CC27" s="145" t="str">
        <f t="shared" si="11"/>
        <v>Madhavi Balineni</v>
      </c>
      <c r="CD27" s="145" t="str">
        <f t="shared" si="11"/>
        <v>Madhura Alva</v>
      </c>
      <c r="CE27" s="145" t="str">
        <f t="shared" si="11"/>
        <v>Madhuri Padala</v>
      </c>
      <c r="CF27" s="145" t="str">
        <f t="shared" si="11"/>
        <v>Maira Becham</v>
      </c>
      <c r="CG27" s="145" t="str">
        <f t="shared" si="11"/>
        <v>Manda Talwekar</v>
      </c>
      <c r="CH27" s="145" t="str">
        <f t="shared" si="11"/>
        <v>Manjunath JagadishPai</v>
      </c>
      <c r="CI27" s="145" t="str">
        <f t="shared" si="11"/>
        <v>Mariko Huskey</v>
      </c>
      <c r="CJ27" s="145" t="str">
        <f t="shared" si="11"/>
        <v>Marilyn Brown</v>
      </c>
      <c r="CK27" s="145" t="str">
        <f t="shared" si="11"/>
        <v>Marina Ibrahim</v>
      </c>
      <c r="CL27" s="145" t="str">
        <f t="shared" si="11"/>
        <v>Mathangi Radhakrishnan</v>
      </c>
      <c r="CM27" s="145" t="str">
        <f t="shared" si="11"/>
        <v>Michelle Cox</v>
      </c>
      <c r="CN27" s="145" t="str">
        <f t="shared" si="11"/>
        <v>Minakshi Deepak</v>
      </c>
      <c r="CO27" s="145" t="str">
        <f t="shared" si="11"/>
        <v>Mojisha Mohandas</v>
      </c>
      <c r="CP27" s="145" t="str">
        <f t="shared" si="11"/>
        <v>Monalisa Roy</v>
      </c>
      <c r="CQ27" s="145" t="str">
        <f t="shared" si="11"/>
        <v>Mool Chand</v>
      </c>
      <c r="CR27" s="145" t="str">
        <f t="shared" si="11"/>
        <v>Naagarashikaa Vijayakumar</v>
      </c>
      <c r="CS27" s="145" t="str">
        <f t="shared" si="11"/>
        <v>Naganandhini Ganapathimaran</v>
      </c>
      <c r="CT27" s="145" t="str">
        <f t="shared" si="11"/>
        <v>Namita Mishra</v>
      </c>
      <c r="CU27" s="145" t="str">
        <f t="shared" si="11"/>
        <v>Namrata Sharma</v>
      </c>
      <c r="CV27" s="145" t="str">
        <f t="shared" si="11"/>
        <v>Namratha Koratala</v>
      </c>
      <c r="CW27" s="145" t="str">
        <f t="shared" si="11"/>
        <v>Narmadhadevi Dharmapalan</v>
      </c>
      <c r="CX27" s="145" t="str">
        <f t="shared" si="11"/>
        <v>Neena Mathew Saravanakumar</v>
      </c>
      <c r="CY27" s="145" t="str">
        <f t="shared" si="11"/>
        <v>Neha Aaggarwal</v>
      </c>
      <c r="CZ27" s="145" t="str">
        <f t="shared" si="11"/>
        <v>Nilopher Lopes</v>
      </c>
      <c r="DA27" s="145" t="str">
        <f t="shared" si="11"/>
        <v>Nitha Chathoth Kunhikrishnan</v>
      </c>
      <c r="DB27" s="145" t="str">
        <f t="shared" si="11"/>
        <v>Padmapriya krishnamoorthy</v>
      </c>
      <c r="DC27" s="145" t="str">
        <f t="shared" si="11"/>
        <v>Palak Porwal</v>
      </c>
      <c r="DD27" s="145" t="str">
        <f t="shared" si="11"/>
        <v>Pavithra Balaji</v>
      </c>
      <c r="DE27" s="145" t="str">
        <f t="shared" si="11"/>
        <v>Pavithra Manas Panda</v>
      </c>
      <c r="DF27" s="145" t="str">
        <f t="shared" si="11"/>
        <v>Pavitra Rani Allam</v>
      </c>
      <c r="DG27" s="145" t="str">
        <f t="shared" si="11"/>
        <v>Pooja Solanki</v>
      </c>
      <c r="DH27" s="145" t="str">
        <f t="shared" si="11"/>
        <v>Poongothai Duraisamy</v>
      </c>
      <c r="DI27" s="145" t="str">
        <f t="shared" si="11"/>
        <v>Pragyan Paramita Mohanty</v>
      </c>
      <c r="DJ27" s="145" t="str">
        <f t="shared" si="11"/>
        <v>Pranusha Dontineni</v>
      </c>
      <c r="DK27" s="145" t="str">
        <f t="shared" si="11"/>
        <v>Prasana Kotagiri</v>
      </c>
      <c r="DL27" s="145" t="str">
        <f t="shared" si="11"/>
        <v>Prathima Krishnamurthy Yadav</v>
      </c>
      <c r="DM27" s="145" t="str">
        <f t="shared" si="11"/>
        <v>Prathima Lakkireddy</v>
      </c>
      <c r="DN27" s="145" t="str">
        <f t="shared" si="11"/>
        <v>PRAVALLIKA NUTHALAPATI</v>
      </c>
      <c r="DO27" s="145" t="str">
        <f t="shared" si="11"/>
        <v>Priti Suman</v>
      </c>
      <c r="DP27" s="145" t="str">
        <f t="shared" si="11"/>
        <v>Priyadarsini Baral</v>
      </c>
      <c r="DQ27" s="145" t="str">
        <f t="shared" si="11"/>
        <v>Priyanka Chandrikapure</v>
      </c>
      <c r="DR27" s="145" t="str">
        <f t="shared" si="11"/>
        <v>Priyanka Dey Sarkar</v>
      </c>
      <c r="DS27" s="145" t="str">
        <f t="shared" si="11"/>
        <v>Priyanka Gadar</v>
      </c>
      <c r="DT27" s="145" t="str">
        <f t="shared" si="11"/>
        <v>Pushpaja Vullamgunta</v>
      </c>
      <c r="DU27" s="145" t="str">
        <f t="shared" si="11"/>
        <v>Rajameenakshi Sankarasubramanian</v>
      </c>
      <c r="DV27" s="145" t="str">
        <f t="shared" si="11"/>
        <v>Rajeshwari Thammineni</v>
      </c>
      <c r="DW27" s="145" t="str">
        <f t="shared" si="11"/>
        <v>Ramsheena Nadathalakkel</v>
      </c>
      <c r="DX27" s="145" t="str">
        <f t="shared" si="11"/>
        <v>Ramya Muralidharan</v>
      </c>
      <c r="DY27" s="145" t="str">
        <f t="shared" si="11"/>
        <v>Ramya Sudarshan Palavalli</v>
      </c>
      <c r="DZ27" s="145" t="str">
        <f t="shared" si="11"/>
        <v>Randi Wood</v>
      </c>
      <c r="EA27" s="145" t="str">
        <f t="shared" si="11"/>
        <v>Rashmi Gupta</v>
      </c>
      <c r="EB27" s="145" t="str">
        <f t="shared" si="11"/>
        <v>Rashmi Kottachery</v>
      </c>
      <c r="EC27" s="145" t="str">
        <f t="shared" si="11"/>
        <v>Rashmi Rangdale</v>
      </c>
      <c r="ED27" s="145" t="str">
        <f t="shared" si="11"/>
        <v>Rathika Jude</v>
      </c>
      <c r="EE27" s="145" t="str">
        <f t="shared" si="11"/>
        <v>Ratnasree Gudla</v>
      </c>
      <c r="EF27" s="145" t="str">
        <f t="shared" ref="EF27:GQ27" si="12">EF1</f>
        <v>Reejaramani Subramani</v>
      </c>
      <c r="EG27" s="145" t="str">
        <f t="shared" si="12"/>
        <v>Reema Rasheed</v>
      </c>
      <c r="EH27" s="145" t="str">
        <f t="shared" si="12"/>
        <v>Reshmi Pulickal Radhakrishnan</v>
      </c>
      <c r="EI27" s="145" t="str">
        <f t="shared" si="12"/>
        <v>Rima Loganathan</v>
      </c>
      <c r="EJ27" s="145" t="str">
        <f t="shared" si="12"/>
        <v>Rishi Goswami</v>
      </c>
      <c r="EK27" s="145" t="str">
        <f t="shared" si="12"/>
        <v>Roja Punna</v>
      </c>
      <c r="EL27" s="145" t="str">
        <f t="shared" si="12"/>
        <v>Rupali Bangar</v>
      </c>
      <c r="EM27" s="145" t="str">
        <f t="shared" si="12"/>
        <v>Rutuja Rajput</v>
      </c>
      <c r="EN27" s="145" t="str">
        <f t="shared" si="12"/>
        <v>Sabiha Khan</v>
      </c>
      <c r="EO27" s="145" t="str">
        <f t="shared" si="12"/>
        <v>Sai Santhya Ravikumar</v>
      </c>
      <c r="EP27" s="145" t="str">
        <f t="shared" si="12"/>
        <v>Sangeetha Jeyabalan</v>
      </c>
      <c r="EQ27" s="145" t="str">
        <f t="shared" si="12"/>
        <v>Sanjana Mandal</v>
      </c>
      <c r="ER27" s="145" t="str">
        <f t="shared" si="12"/>
        <v>Sara Abdelsayed</v>
      </c>
      <c r="ES27" s="145" t="str">
        <f t="shared" si="12"/>
        <v>Saranya Sabarish</v>
      </c>
      <c r="ET27" s="145" t="str">
        <f t="shared" si="12"/>
        <v>Sasikala Murugesan</v>
      </c>
      <c r="EU27" s="145" t="str">
        <f t="shared" si="12"/>
        <v>Sathya Ezhilan</v>
      </c>
      <c r="EV27" s="145" t="str">
        <f t="shared" si="12"/>
        <v>Sathya Naveenraj</v>
      </c>
      <c r="EW27" s="145" t="str">
        <f t="shared" si="12"/>
        <v>Selvakamatchi Rajamani</v>
      </c>
      <c r="EX27" s="145" t="str">
        <f t="shared" si="12"/>
        <v>Shagida Nishwan</v>
      </c>
      <c r="EY27" s="145" t="str">
        <f t="shared" si="12"/>
        <v>Sharanya Madhavan</v>
      </c>
      <c r="EZ27" s="145" t="str">
        <f t="shared" si="12"/>
        <v>Sharmila Lakshmipathy</v>
      </c>
      <c r="FA27" s="145" t="str">
        <f t="shared" si="12"/>
        <v>Sharmila Raghavan</v>
      </c>
      <c r="FB27" s="145" t="str">
        <f t="shared" si="12"/>
        <v>Siddhardha Yalavarthy</v>
      </c>
      <c r="FC27" s="145" t="str">
        <f t="shared" si="12"/>
        <v>Sindhu Selvaraj</v>
      </c>
      <c r="FD27" s="145" t="str">
        <f t="shared" si="12"/>
        <v>Sindhu Thanigesan</v>
      </c>
      <c r="FE27" s="145" t="str">
        <f t="shared" si="12"/>
        <v>Sireesha Gottimukkala</v>
      </c>
      <c r="FF27" s="145" t="str">
        <f t="shared" si="12"/>
        <v>Snehal Choudhari</v>
      </c>
      <c r="FG27" s="145" t="str">
        <f t="shared" si="12"/>
        <v>Snighdha Dave</v>
      </c>
      <c r="FH27" s="145" t="str">
        <f t="shared" si="12"/>
        <v>Somdutta Paul</v>
      </c>
      <c r="FI27" s="145" t="str">
        <f t="shared" si="12"/>
        <v>Sonali Gupta</v>
      </c>
      <c r="FJ27" s="145" t="str">
        <f t="shared" si="12"/>
        <v>Sonia Mohanty</v>
      </c>
      <c r="FK27" s="145" t="str">
        <f t="shared" si="12"/>
        <v>Soumya kalyanaraman</v>
      </c>
      <c r="FL27" s="145" t="str">
        <f t="shared" si="12"/>
        <v>Sowjanya Ravella</v>
      </c>
      <c r="FM27" s="145" t="str">
        <f t="shared" si="12"/>
        <v>Sree Nalini Uduta</v>
      </c>
      <c r="FN27" s="145" t="str">
        <f t="shared" si="12"/>
        <v>Sreedevi Salapu</v>
      </c>
      <c r="FO27" s="145" t="str">
        <f t="shared" si="12"/>
        <v>Srikanya R</v>
      </c>
      <c r="FP27" s="145" t="str">
        <f t="shared" si="12"/>
        <v>Srilekha Kotte</v>
      </c>
      <c r="FQ27" s="145" t="str">
        <f t="shared" si="12"/>
        <v>Sripriyadarshini</v>
      </c>
      <c r="FR27" s="145" t="str">
        <f t="shared" si="12"/>
        <v>Srividhyalakshmi Murugadass</v>
      </c>
      <c r="FS27" s="145" t="str">
        <f t="shared" si="12"/>
        <v>Sruthi Arambachalil</v>
      </c>
      <c r="FT27" s="145" t="str">
        <f t="shared" si="12"/>
        <v>Subasri Swaminathan</v>
      </c>
      <c r="FU27" s="145" t="str">
        <f t="shared" si="12"/>
        <v>Subhanandhini Kumarasamy</v>
      </c>
      <c r="FV27" s="145" t="str">
        <f t="shared" si="12"/>
        <v>Subhina Bhaskar</v>
      </c>
      <c r="FW27" s="145" t="str">
        <f t="shared" si="12"/>
        <v>subratha suresh kamat</v>
      </c>
      <c r="FX27" s="145" t="str">
        <f t="shared" si="12"/>
        <v>Suchitra Rajesh</v>
      </c>
      <c r="FY27" s="145" t="str">
        <f t="shared" si="12"/>
        <v>Sudesh Goel</v>
      </c>
      <c r="FZ27" s="145" t="str">
        <f t="shared" si="12"/>
        <v>Sunitha nara</v>
      </c>
      <c r="GA27" s="145" t="str">
        <f t="shared" si="12"/>
        <v>Swathi Kodali</v>
      </c>
      <c r="GB27" s="145" t="str">
        <f t="shared" si="12"/>
        <v>SWATHI LAKSHMI GUNDURU</v>
      </c>
      <c r="GC27" s="145" t="str">
        <f t="shared" si="12"/>
        <v>Swati bartake</v>
      </c>
      <c r="GD27" s="145" t="str">
        <f t="shared" si="12"/>
        <v>Swati Ghogare</v>
      </c>
      <c r="GE27" s="145" t="str">
        <f t="shared" si="12"/>
        <v>Sweety Ranka</v>
      </c>
      <c r="GF27" s="145" t="str">
        <f t="shared" si="12"/>
        <v>Tapasi Rath</v>
      </c>
      <c r="GG27" s="145" t="str">
        <f t="shared" si="12"/>
        <v>Tarshik Spurling</v>
      </c>
      <c r="GH27" s="145" t="str">
        <f t="shared" si="12"/>
        <v>Tej Patel</v>
      </c>
      <c r="GI27" s="145" t="str">
        <f t="shared" si="12"/>
        <v>Umamaheswari Shanmugam</v>
      </c>
      <c r="GJ27" s="145" t="str">
        <f t="shared" si="12"/>
        <v>Usha Devi Singaravelu</v>
      </c>
      <c r="GK27" s="145" t="str">
        <f t="shared" si="12"/>
        <v>Vaishnavi Devi Bunja Dhinakaran</v>
      </c>
      <c r="GL27" s="145" t="str">
        <f t="shared" si="12"/>
        <v>Valarmathi Magudeswaran</v>
      </c>
      <c r="GM27" s="145" t="str">
        <f t="shared" si="12"/>
        <v>Valliammai Ramanathan</v>
      </c>
      <c r="GN27" s="145" t="str">
        <f t="shared" si="12"/>
        <v>Vani Hanumantu</v>
      </c>
      <c r="GO27" s="145" t="str">
        <f t="shared" si="12"/>
        <v>Varsha Javali</v>
      </c>
      <c r="GP27" s="145" t="str">
        <f t="shared" si="12"/>
        <v>Vasuda Rawal</v>
      </c>
      <c r="GQ27" s="145" t="str">
        <f t="shared" si="12"/>
        <v>Vasudha Kodi</v>
      </c>
      <c r="GR27" s="145" t="str">
        <f t="shared" ref="GR27:GZ27" si="13">GR1</f>
        <v>Venkata Vemuri</v>
      </c>
      <c r="GS27" s="145" t="str">
        <f t="shared" si="13"/>
        <v>Vidya Thirunavukkarasu</v>
      </c>
      <c r="GT27" s="145" t="str">
        <f t="shared" si="13"/>
        <v>Vijayalakshmi Bhaskaran</v>
      </c>
      <c r="GU27" s="145" t="str">
        <f t="shared" si="13"/>
        <v>Vyom Bhandari</v>
      </c>
      <c r="GV27" s="145" t="str">
        <f t="shared" si="13"/>
        <v>Yazhini Ravichandran</v>
      </c>
      <c r="GW27" s="145">
        <f t="shared" si="13"/>
        <v>0</v>
      </c>
      <c r="GX27" s="145">
        <f t="shared" si="13"/>
        <v>0</v>
      </c>
      <c r="GY27" s="145">
        <f t="shared" si="13"/>
        <v>0</v>
      </c>
      <c r="GZ27" s="145">
        <f t="shared" si="13"/>
        <v>0</v>
      </c>
    </row>
    <row r="28" spans="1:208" ht="14.45">
      <c r="A28" s="175" t="s">
        <v>303</v>
      </c>
      <c r="B28" s="45">
        <v>1.25</v>
      </c>
      <c r="C28" s="96">
        <v>0</v>
      </c>
      <c r="D28" s="96">
        <v>0</v>
      </c>
      <c r="E28" s="96">
        <v>0</v>
      </c>
      <c r="F28" s="96">
        <v>0</v>
      </c>
      <c r="G28" s="173">
        <f>SUM(H28:GZ28)</f>
        <v>0</v>
      </c>
      <c r="H28" s="203">
        <v>0</v>
      </c>
      <c r="I28" s="203">
        <v>0</v>
      </c>
      <c r="J28" s="203">
        <v>0</v>
      </c>
      <c r="K28" s="203">
        <v>0</v>
      </c>
      <c r="L28" s="203">
        <v>0</v>
      </c>
      <c r="M28" s="203">
        <v>0</v>
      </c>
      <c r="N28" s="203">
        <v>0</v>
      </c>
      <c r="O28" s="203">
        <v>0</v>
      </c>
      <c r="P28" s="203">
        <v>0</v>
      </c>
      <c r="Q28" s="203">
        <v>0</v>
      </c>
      <c r="R28" s="203">
        <v>0</v>
      </c>
      <c r="S28" s="203">
        <v>0</v>
      </c>
      <c r="T28" s="203">
        <v>0</v>
      </c>
      <c r="U28" s="203">
        <v>0</v>
      </c>
      <c r="V28" s="203">
        <v>0</v>
      </c>
      <c r="W28" s="203">
        <v>0</v>
      </c>
      <c r="X28" s="203">
        <v>0</v>
      </c>
      <c r="Y28" s="203">
        <v>0</v>
      </c>
      <c r="Z28" s="203">
        <v>0</v>
      </c>
      <c r="AA28" s="203">
        <v>0</v>
      </c>
      <c r="AB28" s="203">
        <v>0</v>
      </c>
      <c r="AC28" s="203">
        <v>0</v>
      </c>
      <c r="AD28" s="203">
        <v>0</v>
      </c>
      <c r="AE28" s="203">
        <v>0</v>
      </c>
      <c r="AF28" s="203">
        <v>0</v>
      </c>
      <c r="AG28" s="203">
        <v>0</v>
      </c>
      <c r="AH28" s="203">
        <v>0</v>
      </c>
      <c r="AI28" s="203">
        <v>0</v>
      </c>
      <c r="AJ28" s="203">
        <v>0</v>
      </c>
      <c r="AK28" s="203">
        <v>0</v>
      </c>
      <c r="AL28" s="203">
        <v>0</v>
      </c>
      <c r="AM28" s="203">
        <v>0</v>
      </c>
      <c r="AN28" s="203">
        <v>0</v>
      </c>
      <c r="AO28" s="203">
        <v>0</v>
      </c>
      <c r="AP28" s="203">
        <v>0</v>
      </c>
      <c r="AQ28" s="203">
        <v>0</v>
      </c>
      <c r="AR28" s="203">
        <v>0</v>
      </c>
      <c r="AS28" s="203">
        <v>0</v>
      </c>
      <c r="AT28" s="203">
        <v>0</v>
      </c>
      <c r="AU28" s="203">
        <v>0</v>
      </c>
      <c r="AV28" s="203">
        <v>0</v>
      </c>
      <c r="AW28" s="203">
        <v>0</v>
      </c>
      <c r="AX28" s="203">
        <v>0</v>
      </c>
      <c r="AY28" s="203">
        <v>0</v>
      </c>
      <c r="AZ28" s="203">
        <v>0</v>
      </c>
      <c r="BA28" s="203">
        <v>0</v>
      </c>
      <c r="BB28" s="203">
        <v>0</v>
      </c>
      <c r="BC28" s="203">
        <v>0</v>
      </c>
      <c r="BD28" s="203">
        <v>0</v>
      </c>
      <c r="BE28" s="203">
        <v>0</v>
      </c>
      <c r="BF28" s="203">
        <v>0</v>
      </c>
      <c r="BG28" s="203">
        <v>0</v>
      </c>
      <c r="BH28" s="203">
        <v>0</v>
      </c>
      <c r="BI28" s="203">
        <v>0</v>
      </c>
      <c r="BJ28" s="203">
        <v>0</v>
      </c>
      <c r="BK28" s="203">
        <v>0</v>
      </c>
      <c r="BL28" s="203">
        <v>0</v>
      </c>
      <c r="BM28" s="203">
        <v>0</v>
      </c>
      <c r="BN28" s="203">
        <v>0</v>
      </c>
      <c r="BO28" s="203">
        <v>0</v>
      </c>
      <c r="BP28" s="203">
        <v>0</v>
      </c>
      <c r="BQ28" s="203">
        <v>0</v>
      </c>
      <c r="BR28" s="203">
        <v>0</v>
      </c>
      <c r="BS28" s="203">
        <v>0</v>
      </c>
      <c r="BT28" s="203">
        <v>0</v>
      </c>
      <c r="BU28" s="203">
        <v>0</v>
      </c>
      <c r="BV28" s="203">
        <v>0</v>
      </c>
      <c r="BW28" s="203">
        <v>0</v>
      </c>
      <c r="BX28" s="203">
        <v>0</v>
      </c>
      <c r="BY28" s="203">
        <v>0</v>
      </c>
      <c r="BZ28" s="203">
        <v>0</v>
      </c>
      <c r="CA28" s="203">
        <v>0</v>
      </c>
      <c r="CB28" s="203">
        <v>0</v>
      </c>
      <c r="CC28" s="203">
        <v>0</v>
      </c>
      <c r="CD28" s="203">
        <v>0</v>
      </c>
      <c r="CE28" s="203">
        <v>0</v>
      </c>
      <c r="CF28" s="203">
        <v>0</v>
      </c>
      <c r="CG28" s="203">
        <v>0</v>
      </c>
      <c r="CH28" s="203">
        <v>0</v>
      </c>
      <c r="CI28" s="203">
        <v>0</v>
      </c>
      <c r="CJ28" s="203">
        <v>0</v>
      </c>
      <c r="CK28" s="203">
        <v>0</v>
      </c>
      <c r="CL28" s="203">
        <v>0</v>
      </c>
      <c r="CM28" s="203">
        <v>0</v>
      </c>
      <c r="CN28" s="203">
        <v>0</v>
      </c>
      <c r="CO28" s="203">
        <v>0</v>
      </c>
      <c r="CP28" s="203">
        <v>0</v>
      </c>
      <c r="CQ28" s="203">
        <v>0</v>
      </c>
      <c r="CR28" s="203">
        <v>0</v>
      </c>
      <c r="CS28" s="203">
        <v>0</v>
      </c>
      <c r="CT28" s="203">
        <v>0</v>
      </c>
      <c r="CU28" s="203">
        <v>0</v>
      </c>
      <c r="CV28" s="203">
        <v>0</v>
      </c>
      <c r="CW28" s="203">
        <v>0</v>
      </c>
      <c r="CX28" s="203">
        <v>0</v>
      </c>
      <c r="CY28" s="203">
        <v>0</v>
      </c>
      <c r="CZ28" s="203">
        <v>0</v>
      </c>
      <c r="DA28" s="203">
        <v>0</v>
      </c>
      <c r="DB28" s="203">
        <v>0</v>
      </c>
      <c r="DC28" s="203">
        <v>0</v>
      </c>
      <c r="DD28" s="203">
        <v>0</v>
      </c>
      <c r="DE28" s="203">
        <v>0</v>
      </c>
      <c r="DF28" s="203">
        <v>0</v>
      </c>
      <c r="DG28" s="203">
        <v>0</v>
      </c>
      <c r="DH28" s="203">
        <v>0</v>
      </c>
      <c r="DI28" s="203">
        <v>0</v>
      </c>
      <c r="DJ28" s="203">
        <v>0</v>
      </c>
      <c r="DK28" s="203">
        <v>0</v>
      </c>
      <c r="DL28" s="203">
        <v>0</v>
      </c>
      <c r="DM28" s="203">
        <v>0</v>
      </c>
      <c r="DN28" s="203">
        <v>0</v>
      </c>
      <c r="DO28" s="203">
        <v>0</v>
      </c>
      <c r="DP28" s="203">
        <v>0</v>
      </c>
      <c r="DQ28" s="203">
        <v>0</v>
      </c>
      <c r="DR28" s="203">
        <v>0</v>
      </c>
      <c r="DS28" s="203">
        <v>0</v>
      </c>
      <c r="DT28" s="203">
        <v>0</v>
      </c>
      <c r="DU28" s="203">
        <v>0</v>
      </c>
      <c r="DV28" s="203">
        <v>0</v>
      </c>
      <c r="DW28" s="203">
        <v>0</v>
      </c>
      <c r="DX28" s="203">
        <v>0</v>
      </c>
      <c r="DY28" s="203">
        <v>0</v>
      </c>
      <c r="DZ28" s="203">
        <v>0</v>
      </c>
      <c r="EA28" s="203">
        <v>0</v>
      </c>
      <c r="EB28" s="203">
        <v>0</v>
      </c>
      <c r="EC28" s="203">
        <v>0</v>
      </c>
      <c r="ED28" s="203">
        <v>0</v>
      </c>
      <c r="EE28" s="203">
        <v>0</v>
      </c>
      <c r="EF28" s="203">
        <v>0</v>
      </c>
      <c r="EG28" s="203">
        <v>0</v>
      </c>
      <c r="EH28" s="203">
        <v>0</v>
      </c>
      <c r="EI28" s="203">
        <v>0</v>
      </c>
      <c r="EJ28" s="203">
        <v>0</v>
      </c>
      <c r="EK28" s="203">
        <v>0</v>
      </c>
      <c r="EL28" s="203">
        <v>0</v>
      </c>
      <c r="EM28" s="203">
        <v>0</v>
      </c>
      <c r="EN28" s="203">
        <v>0</v>
      </c>
      <c r="EO28" s="203">
        <v>0</v>
      </c>
      <c r="EP28" s="203">
        <v>0</v>
      </c>
      <c r="EQ28" s="203">
        <v>0</v>
      </c>
      <c r="ER28" s="203">
        <v>0</v>
      </c>
      <c r="ES28" s="203">
        <v>0</v>
      </c>
      <c r="ET28" s="203">
        <v>0</v>
      </c>
      <c r="EU28" s="203">
        <v>0</v>
      </c>
      <c r="EV28" s="203">
        <v>0</v>
      </c>
      <c r="EW28" s="203">
        <v>0</v>
      </c>
      <c r="EX28" s="203">
        <v>0</v>
      </c>
      <c r="EY28" s="203">
        <v>0</v>
      </c>
      <c r="EZ28" s="203">
        <v>0</v>
      </c>
      <c r="FA28" s="203">
        <v>0</v>
      </c>
      <c r="FB28" s="203">
        <v>0</v>
      </c>
      <c r="FC28" s="203">
        <v>0</v>
      </c>
      <c r="FD28" s="203">
        <v>0</v>
      </c>
      <c r="FE28" s="203">
        <v>0</v>
      </c>
      <c r="FF28" s="203">
        <v>0</v>
      </c>
      <c r="FG28" s="203">
        <v>0</v>
      </c>
      <c r="FH28" s="203">
        <v>0</v>
      </c>
      <c r="FI28" s="203">
        <v>0</v>
      </c>
      <c r="FJ28" s="203">
        <v>0</v>
      </c>
      <c r="FK28" s="203">
        <v>0</v>
      </c>
      <c r="FL28" s="203">
        <v>0</v>
      </c>
      <c r="FM28" s="203">
        <v>0</v>
      </c>
      <c r="FN28" s="203">
        <v>0</v>
      </c>
      <c r="FO28" s="203">
        <v>0</v>
      </c>
      <c r="FP28" s="203">
        <v>0</v>
      </c>
      <c r="FQ28" s="203">
        <v>0</v>
      </c>
      <c r="FR28" s="203">
        <v>0</v>
      </c>
      <c r="FS28" s="203">
        <v>0</v>
      </c>
      <c r="FT28" s="203">
        <v>0</v>
      </c>
      <c r="FU28" s="203">
        <v>0</v>
      </c>
      <c r="FV28" s="203">
        <v>0</v>
      </c>
      <c r="FW28" s="203">
        <v>0</v>
      </c>
      <c r="FX28" s="203">
        <v>0</v>
      </c>
      <c r="FY28" s="203">
        <v>0</v>
      </c>
      <c r="FZ28" s="203">
        <v>0</v>
      </c>
      <c r="GA28" s="203">
        <v>0</v>
      </c>
      <c r="GB28" s="203">
        <v>0</v>
      </c>
      <c r="GC28" s="203">
        <v>0</v>
      </c>
      <c r="GD28" s="203">
        <v>0</v>
      </c>
      <c r="GE28" s="203">
        <v>0</v>
      </c>
      <c r="GF28" s="203">
        <v>0</v>
      </c>
      <c r="GG28" s="203">
        <v>0</v>
      </c>
      <c r="GH28" s="203">
        <v>0</v>
      </c>
      <c r="GI28" s="203">
        <v>0</v>
      </c>
      <c r="GJ28" s="203">
        <v>0</v>
      </c>
      <c r="GK28" s="203">
        <v>0</v>
      </c>
      <c r="GL28" s="203">
        <v>0</v>
      </c>
      <c r="GM28" s="203">
        <v>0</v>
      </c>
      <c r="GN28" s="203">
        <v>0</v>
      </c>
      <c r="GO28" s="203">
        <v>0</v>
      </c>
      <c r="GP28" s="203">
        <v>0</v>
      </c>
      <c r="GQ28" s="203">
        <v>0</v>
      </c>
      <c r="GR28" s="203">
        <v>0</v>
      </c>
      <c r="GS28" s="203">
        <v>0</v>
      </c>
      <c r="GT28" s="203">
        <v>0</v>
      </c>
      <c r="GU28" s="203">
        <v>0</v>
      </c>
      <c r="GV28" s="203">
        <v>0</v>
      </c>
      <c r="GW28" s="203"/>
      <c r="GX28" s="203"/>
      <c r="GY28" s="203"/>
      <c r="GZ28" s="203"/>
    </row>
    <row r="29" spans="1:208" ht="14.45">
      <c r="A29" s="175" t="s">
        <v>304</v>
      </c>
      <c r="B29" s="88">
        <v>1.5</v>
      </c>
      <c r="C29" s="96">
        <v>0</v>
      </c>
      <c r="D29" s="96">
        <v>0</v>
      </c>
      <c r="E29" s="96">
        <f>G29</f>
        <v>981</v>
      </c>
      <c r="F29" s="96">
        <v>0</v>
      </c>
      <c r="G29" s="173">
        <f t="shared" ref="G29:G58" si="14">SUM(H29:GZ29)</f>
        <v>981</v>
      </c>
      <c r="H29" s="203">
        <v>0</v>
      </c>
      <c r="I29" s="203">
        <v>0</v>
      </c>
      <c r="J29" s="203">
        <v>0</v>
      </c>
      <c r="K29" s="203">
        <v>0</v>
      </c>
      <c r="L29" s="203">
        <v>0</v>
      </c>
      <c r="M29" s="203">
        <v>0</v>
      </c>
      <c r="N29" s="203">
        <v>0</v>
      </c>
      <c r="O29" s="203">
        <v>0</v>
      </c>
      <c r="P29" s="203">
        <v>0</v>
      </c>
      <c r="Q29" s="203">
        <v>36</v>
      </c>
      <c r="R29" s="203">
        <v>0</v>
      </c>
      <c r="S29" s="203">
        <v>0</v>
      </c>
      <c r="T29" s="203">
        <v>0</v>
      </c>
      <c r="U29" s="203">
        <v>0</v>
      </c>
      <c r="V29" s="203">
        <v>0</v>
      </c>
      <c r="W29" s="203">
        <v>0</v>
      </c>
      <c r="X29" s="203">
        <v>0</v>
      </c>
      <c r="Y29" s="203">
        <v>0</v>
      </c>
      <c r="Z29" s="203">
        <v>0</v>
      </c>
      <c r="AA29" s="203">
        <v>85</v>
      </c>
      <c r="AB29" s="203">
        <v>0</v>
      </c>
      <c r="AC29" s="203">
        <v>0</v>
      </c>
      <c r="AD29" s="203">
        <v>0</v>
      </c>
      <c r="AE29" s="203">
        <v>0</v>
      </c>
      <c r="AF29" s="203">
        <v>0</v>
      </c>
      <c r="AG29" s="203">
        <v>0</v>
      </c>
      <c r="AH29" s="203">
        <v>0</v>
      </c>
      <c r="AI29" s="203">
        <v>0</v>
      </c>
      <c r="AJ29" s="203">
        <v>0</v>
      </c>
      <c r="AK29" s="203">
        <v>0</v>
      </c>
      <c r="AL29" s="203">
        <v>0</v>
      </c>
      <c r="AM29" s="203">
        <v>0</v>
      </c>
      <c r="AN29" s="203">
        <v>0</v>
      </c>
      <c r="AO29" s="203">
        <v>0</v>
      </c>
      <c r="AP29" s="203">
        <v>0</v>
      </c>
      <c r="AQ29" s="203">
        <v>0</v>
      </c>
      <c r="AR29" s="203">
        <v>0</v>
      </c>
      <c r="AS29" s="203">
        <v>0</v>
      </c>
      <c r="AT29" s="203">
        <v>0</v>
      </c>
      <c r="AU29" s="203">
        <v>0</v>
      </c>
      <c r="AV29" s="203">
        <v>0</v>
      </c>
      <c r="AW29" s="203">
        <v>0</v>
      </c>
      <c r="AX29" s="203">
        <v>0</v>
      </c>
      <c r="AY29" s="203">
        <v>0</v>
      </c>
      <c r="AZ29" s="203">
        <v>0</v>
      </c>
      <c r="BA29" s="203">
        <v>0</v>
      </c>
      <c r="BB29" s="203">
        <v>0</v>
      </c>
      <c r="BC29" s="203">
        <v>0</v>
      </c>
      <c r="BD29" s="203">
        <v>0</v>
      </c>
      <c r="BE29" s="203">
        <v>0</v>
      </c>
      <c r="BF29" s="203">
        <v>181</v>
      </c>
      <c r="BG29" s="203">
        <v>0</v>
      </c>
      <c r="BH29" s="203">
        <v>0</v>
      </c>
      <c r="BI29" s="203">
        <v>0</v>
      </c>
      <c r="BJ29" s="203">
        <v>0</v>
      </c>
      <c r="BK29" s="203">
        <v>0</v>
      </c>
      <c r="BL29" s="203">
        <v>0</v>
      </c>
      <c r="BM29" s="203">
        <v>0</v>
      </c>
      <c r="BN29" s="203">
        <v>0</v>
      </c>
      <c r="BO29" s="203">
        <v>0</v>
      </c>
      <c r="BP29" s="203">
        <v>0</v>
      </c>
      <c r="BQ29" s="203">
        <v>0</v>
      </c>
      <c r="BR29" s="203">
        <v>0</v>
      </c>
      <c r="BS29" s="203">
        <v>0</v>
      </c>
      <c r="BT29" s="203">
        <v>0</v>
      </c>
      <c r="BU29" s="203">
        <v>0</v>
      </c>
      <c r="BV29" s="203">
        <v>0</v>
      </c>
      <c r="BW29" s="203">
        <v>0</v>
      </c>
      <c r="BX29" s="203">
        <v>0</v>
      </c>
      <c r="BY29" s="203">
        <v>129</v>
      </c>
      <c r="BZ29" s="203">
        <v>0</v>
      </c>
      <c r="CA29" s="203">
        <v>0</v>
      </c>
      <c r="CB29" s="203">
        <v>0</v>
      </c>
      <c r="CC29" s="203">
        <v>0</v>
      </c>
      <c r="CD29" s="203">
        <v>0</v>
      </c>
      <c r="CE29" s="203">
        <v>0</v>
      </c>
      <c r="CF29" s="203">
        <v>0</v>
      </c>
      <c r="CG29" s="203">
        <v>0</v>
      </c>
      <c r="CH29" s="203">
        <v>0</v>
      </c>
      <c r="CI29" s="203">
        <v>0</v>
      </c>
      <c r="CJ29" s="203">
        <v>0</v>
      </c>
      <c r="CK29" s="203">
        <v>0</v>
      </c>
      <c r="CL29" s="203">
        <v>0</v>
      </c>
      <c r="CM29" s="203">
        <v>0</v>
      </c>
      <c r="CN29" s="203">
        <v>0</v>
      </c>
      <c r="CO29" s="203">
        <v>0</v>
      </c>
      <c r="CP29" s="203">
        <v>0</v>
      </c>
      <c r="CQ29" s="203">
        <v>0</v>
      </c>
      <c r="CR29" s="203">
        <v>0</v>
      </c>
      <c r="CS29" s="203">
        <v>0</v>
      </c>
      <c r="CT29" s="203">
        <v>0</v>
      </c>
      <c r="CU29" s="203">
        <v>0</v>
      </c>
      <c r="CV29" s="203">
        <v>0</v>
      </c>
      <c r="CW29" s="203">
        <v>0</v>
      </c>
      <c r="CX29" s="203">
        <v>0</v>
      </c>
      <c r="CY29" s="203">
        <v>0</v>
      </c>
      <c r="CZ29" s="203">
        <v>0</v>
      </c>
      <c r="DA29" s="203">
        <v>0</v>
      </c>
      <c r="DB29" s="203">
        <v>0</v>
      </c>
      <c r="DC29" s="203">
        <v>0</v>
      </c>
      <c r="DD29" s="203">
        <v>0</v>
      </c>
      <c r="DE29" s="203">
        <v>0</v>
      </c>
      <c r="DF29" s="203">
        <v>0</v>
      </c>
      <c r="DG29" s="203">
        <v>0</v>
      </c>
      <c r="DH29" s="203">
        <v>72</v>
      </c>
      <c r="DI29" s="203">
        <v>0</v>
      </c>
      <c r="DJ29" s="203">
        <v>0</v>
      </c>
      <c r="DK29" s="203">
        <v>0</v>
      </c>
      <c r="DL29" s="203">
        <v>0</v>
      </c>
      <c r="DM29" s="203">
        <v>0</v>
      </c>
      <c r="DN29" s="203">
        <v>0</v>
      </c>
      <c r="DO29" s="203">
        <v>0</v>
      </c>
      <c r="DP29" s="203">
        <v>0</v>
      </c>
      <c r="DQ29" s="203">
        <v>0</v>
      </c>
      <c r="DR29" s="203">
        <v>0</v>
      </c>
      <c r="DS29" s="203">
        <v>89</v>
      </c>
      <c r="DT29" s="203">
        <v>0</v>
      </c>
      <c r="DU29" s="203">
        <v>0</v>
      </c>
      <c r="DV29" s="203">
        <v>0</v>
      </c>
      <c r="DW29" s="203">
        <v>0</v>
      </c>
      <c r="DX29" s="203">
        <v>0</v>
      </c>
      <c r="DY29" s="203">
        <v>0</v>
      </c>
      <c r="DZ29" s="203">
        <v>0</v>
      </c>
      <c r="EA29" s="203">
        <v>0</v>
      </c>
      <c r="EB29" s="203">
        <v>0</v>
      </c>
      <c r="EC29" s="203">
        <v>0</v>
      </c>
      <c r="ED29" s="203">
        <v>0</v>
      </c>
      <c r="EE29" s="203">
        <v>0</v>
      </c>
      <c r="EF29" s="203">
        <v>0</v>
      </c>
      <c r="EG29" s="203">
        <v>0</v>
      </c>
      <c r="EH29" s="203">
        <v>0</v>
      </c>
      <c r="EI29" s="203">
        <v>0</v>
      </c>
      <c r="EJ29" s="203">
        <v>0</v>
      </c>
      <c r="EK29" s="203">
        <v>0</v>
      </c>
      <c r="EL29" s="203">
        <v>0</v>
      </c>
      <c r="EM29" s="203">
        <v>0</v>
      </c>
      <c r="EN29" s="203">
        <v>0</v>
      </c>
      <c r="EO29" s="203">
        <v>0</v>
      </c>
      <c r="EP29" s="203">
        <v>0</v>
      </c>
      <c r="EQ29" s="203">
        <v>0</v>
      </c>
      <c r="ER29" s="203">
        <v>297</v>
      </c>
      <c r="ES29" s="203">
        <v>0</v>
      </c>
      <c r="ET29" s="203">
        <v>0</v>
      </c>
      <c r="EU29" s="203">
        <v>0</v>
      </c>
      <c r="EV29" s="203">
        <v>0</v>
      </c>
      <c r="EW29" s="203">
        <v>0</v>
      </c>
      <c r="EX29" s="203">
        <v>0</v>
      </c>
      <c r="EY29" s="203">
        <v>0</v>
      </c>
      <c r="EZ29" s="203">
        <v>0</v>
      </c>
      <c r="FA29" s="203">
        <v>0</v>
      </c>
      <c r="FB29" s="203">
        <v>0</v>
      </c>
      <c r="FC29" s="203">
        <v>0</v>
      </c>
      <c r="FD29" s="203">
        <v>0</v>
      </c>
      <c r="FE29" s="203">
        <v>0</v>
      </c>
      <c r="FF29" s="203">
        <v>0</v>
      </c>
      <c r="FG29" s="203">
        <v>0</v>
      </c>
      <c r="FH29" s="203">
        <v>0</v>
      </c>
      <c r="FI29" s="203">
        <v>0</v>
      </c>
      <c r="FJ29" s="203">
        <v>0</v>
      </c>
      <c r="FK29" s="203">
        <v>0</v>
      </c>
      <c r="FL29" s="203">
        <v>0</v>
      </c>
      <c r="FM29" s="203">
        <v>0</v>
      </c>
      <c r="FN29" s="203">
        <v>0</v>
      </c>
      <c r="FO29" s="203">
        <v>0</v>
      </c>
      <c r="FP29" s="203">
        <v>0</v>
      </c>
      <c r="FQ29" s="203">
        <v>0</v>
      </c>
      <c r="FR29" s="203">
        <v>0</v>
      </c>
      <c r="FS29" s="203">
        <v>0</v>
      </c>
      <c r="FT29" s="203">
        <v>0</v>
      </c>
      <c r="FU29" s="203">
        <v>0</v>
      </c>
      <c r="FV29" s="203">
        <v>92</v>
      </c>
      <c r="FW29" s="203">
        <v>0</v>
      </c>
      <c r="FX29" s="203">
        <v>0</v>
      </c>
      <c r="FY29" s="203">
        <v>0</v>
      </c>
      <c r="FZ29" s="203">
        <v>0</v>
      </c>
      <c r="GA29" s="203">
        <v>0</v>
      </c>
      <c r="GB29" s="203">
        <v>0</v>
      </c>
      <c r="GC29" s="203">
        <v>0</v>
      </c>
      <c r="GD29" s="203">
        <v>0</v>
      </c>
      <c r="GE29" s="203">
        <v>0</v>
      </c>
      <c r="GF29" s="203">
        <v>0</v>
      </c>
      <c r="GG29" s="203">
        <v>0</v>
      </c>
      <c r="GH29" s="203">
        <v>0</v>
      </c>
      <c r="GI29" s="203">
        <v>0</v>
      </c>
      <c r="GJ29" s="203">
        <v>0</v>
      </c>
      <c r="GK29" s="203">
        <v>0</v>
      </c>
      <c r="GL29" s="203">
        <v>0</v>
      </c>
      <c r="GM29" s="203">
        <v>0</v>
      </c>
      <c r="GN29" s="203">
        <v>0</v>
      </c>
      <c r="GO29" s="203">
        <v>0</v>
      </c>
      <c r="GP29" s="203">
        <v>0</v>
      </c>
      <c r="GQ29" s="203">
        <v>0</v>
      </c>
      <c r="GR29" s="203">
        <v>0</v>
      </c>
      <c r="GS29" s="203">
        <v>0</v>
      </c>
      <c r="GT29" s="203">
        <v>0</v>
      </c>
      <c r="GU29" s="203">
        <v>0</v>
      </c>
      <c r="GV29" s="203">
        <v>0</v>
      </c>
      <c r="GW29" s="203"/>
      <c r="GX29" s="203"/>
      <c r="GY29" s="203"/>
      <c r="GZ29" s="203"/>
    </row>
    <row r="30" spans="1:208" ht="14.45">
      <c r="A30" s="202" t="s">
        <v>305</v>
      </c>
      <c r="B30" s="45">
        <v>1.75</v>
      </c>
      <c r="C30" s="96">
        <v>0</v>
      </c>
      <c r="D30" s="96">
        <v>0</v>
      </c>
      <c r="E30" s="96">
        <v>0</v>
      </c>
      <c r="F30" s="96">
        <f>G30</f>
        <v>7186</v>
      </c>
      <c r="G30" s="173">
        <f t="shared" si="14"/>
        <v>7186</v>
      </c>
      <c r="H30" s="203">
        <v>0</v>
      </c>
      <c r="I30" s="203">
        <v>0</v>
      </c>
      <c r="J30" s="203">
        <v>0</v>
      </c>
      <c r="K30" s="203">
        <v>0</v>
      </c>
      <c r="L30" s="203">
        <v>0</v>
      </c>
      <c r="M30" s="203">
        <v>0</v>
      </c>
      <c r="N30" s="203">
        <v>0</v>
      </c>
      <c r="O30" s="203">
        <v>0</v>
      </c>
      <c r="P30" s="203">
        <v>0</v>
      </c>
      <c r="Q30" s="203">
        <v>0</v>
      </c>
      <c r="R30" s="203">
        <v>0</v>
      </c>
      <c r="S30" s="203">
        <v>0</v>
      </c>
      <c r="T30" s="203">
        <v>712</v>
      </c>
      <c r="U30" s="203">
        <v>0</v>
      </c>
      <c r="V30" s="203">
        <v>0</v>
      </c>
      <c r="W30" s="203">
        <v>0</v>
      </c>
      <c r="X30" s="203">
        <v>0</v>
      </c>
      <c r="Y30" s="203">
        <v>0</v>
      </c>
      <c r="Z30" s="203">
        <v>0</v>
      </c>
      <c r="AA30" s="203">
        <v>0</v>
      </c>
      <c r="AB30" s="203">
        <v>0</v>
      </c>
      <c r="AC30" s="203">
        <v>1179</v>
      </c>
      <c r="AD30" s="203">
        <v>0</v>
      </c>
      <c r="AE30" s="203">
        <v>0</v>
      </c>
      <c r="AF30" s="203">
        <v>0</v>
      </c>
      <c r="AG30" s="203">
        <v>0</v>
      </c>
      <c r="AH30" s="203">
        <v>0</v>
      </c>
      <c r="AI30" s="203">
        <v>0</v>
      </c>
      <c r="AJ30" s="203">
        <v>0</v>
      </c>
      <c r="AK30" s="203">
        <v>0</v>
      </c>
      <c r="AL30" s="203">
        <v>0</v>
      </c>
      <c r="AM30" s="203">
        <v>0</v>
      </c>
      <c r="AN30" s="203">
        <v>0</v>
      </c>
      <c r="AO30" s="203">
        <v>0</v>
      </c>
      <c r="AP30" s="203">
        <v>155</v>
      </c>
      <c r="AQ30" s="203">
        <v>0</v>
      </c>
      <c r="AR30" s="203">
        <v>0</v>
      </c>
      <c r="AS30" s="203">
        <v>0</v>
      </c>
      <c r="AT30" s="203">
        <v>0</v>
      </c>
      <c r="AU30" s="203">
        <v>0</v>
      </c>
      <c r="AV30" s="203">
        <v>0</v>
      </c>
      <c r="AW30" s="203">
        <v>0</v>
      </c>
      <c r="AX30" s="203">
        <v>0</v>
      </c>
      <c r="AY30" s="203">
        <v>0</v>
      </c>
      <c r="AZ30" s="203">
        <v>0</v>
      </c>
      <c r="BA30" s="203">
        <v>0</v>
      </c>
      <c r="BB30" s="203">
        <v>0</v>
      </c>
      <c r="BC30" s="203">
        <v>0</v>
      </c>
      <c r="BD30" s="203">
        <v>0</v>
      </c>
      <c r="BE30" s="203">
        <v>0</v>
      </c>
      <c r="BF30" s="203">
        <v>0</v>
      </c>
      <c r="BG30" s="203">
        <v>0</v>
      </c>
      <c r="BH30" s="203">
        <v>0</v>
      </c>
      <c r="BI30" s="203">
        <v>0</v>
      </c>
      <c r="BJ30" s="203">
        <v>0</v>
      </c>
      <c r="BK30" s="203">
        <v>0</v>
      </c>
      <c r="BL30" s="203">
        <v>0</v>
      </c>
      <c r="BM30" s="203">
        <v>0</v>
      </c>
      <c r="BN30" s="203">
        <v>0</v>
      </c>
      <c r="BO30" s="203">
        <v>0</v>
      </c>
      <c r="BP30" s="203">
        <v>0</v>
      </c>
      <c r="BQ30" s="203">
        <v>0</v>
      </c>
      <c r="BR30" s="203">
        <v>0</v>
      </c>
      <c r="BS30" s="203">
        <v>0</v>
      </c>
      <c r="BT30" s="203">
        <v>0</v>
      </c>
      <c r="BU30" s="203">
        <v>0</v>
      </c>
      <c r="BV30" s="203">
        <v>0</v>
      </c>
      <c r="BW30" s="203">
        <v>0</v>
      </c>
      <c r="BX30" s="203">
        <v>0</v>
      </c>
      <c r="BY30" s="203">
        <v>0</v>
      </c>
      <c r="BZ30" s="203">
        <v>0</v>
      </c>
      <c r="CA30" s="203">
        <v>0</v>
      </c>
      <c r="CB30" s="203">
        <v>0</v>
      </c>
      <c r="CC30" s="203">
        <v>0</v>
      </c>
      <c r="CD30" s="203">
        <v>0</v>
      </c>
      <c r="CE30" s="203">
        <v>0</v>
      </c>
      <c r="CF30" s="203">
        <v>0</v>
      </c>
      <c r="CG30" s="203">
        <v>0</v>
      </c>
      <c r="CH30" s="203">
        <v>0</v>
      </c>
      <c r="CI30" s="203">
        <v>245</v>
      </c>
      <c r="CJ30" s="203">
        <v>0</v>
      </c>
      <c r="CK30" s="203">
        <v>0</v>
      </c>
      <c r="CL30" s="203">
        <v>0</v>
      </c>
      <c r="CM30" s="203">
        <v>0</v>
      </c>
      <c r="CN30" s="203">
        <v>0</v>
      </c>
      <c r="CO30" s="203">
        <v>0</v>
      </c>
      <c r="CP30" s="203">
        <v>793</v>
      </c>
      <c r="CQ30" s="203">
        <v>0</v>
      </c>
      <c r="CR30" s="203">
        <v>0</v>
      </c>
      <c r="CS30" s="203">
        <v>0</v>
      </c>
      <c r="CT30" s="203">
        <v>0</v>
      </c>
      <c r="CU30" s="203">
        <v>0</v>
      </c>
      <c r="CV30" s="203">
        <v>0</v>
      </c>
      <c r="CW30" s="203">
        <v>0</v>
      </c>
      <c r="CX30" s="203">
        <v>0</v>
      </c>
      <c r="CY30" s="203">
        <v>0</v>
      </c>
      <c r="CZ30" s="203">
        <v>0</v>
      </c>
      <c r="DA30" s="203">
        <v>0</v>
      </c>
      <c r="DB30" s="203">
        <v>0</v>
      </c>
      <c r="DC30" s="203">
        <v>1048</v>
      </c>
      <c r="DD30" s="203">
        <v>0</v>
      </c>
      <c r="DE30" s="203">
        <v>0</v>
      </c>
      <c r="DF30" s="203">
        <v>0</v>
      </c>
      <c r="DG30" s="203">
        <v>0</v>
      </c>
      <c r="DH30" s="203">
        <v>0</v>
      </c>
      <c r="DI30" s="203">
        <v>522</v>
      </c>
      <c r="DJ30" s="203">
        <v>0</v>
      </c>
      <c r="DK30" s="203">
        <v>0</v>
      </c>
      <c r="DL30" s="203">
        <v>0</v>
      </c>
      <c r="DM30" s="203">
        <v>0</v>
      </c>
      <c r="DN30" s="203">
        <v>0</v>
      </c>
      <c r="DO30" s="203">
        <v>0</v>
      </c>
      <c r="DP30" s="203">
        <v>0</v>
      </c>
      <c r="DQ30" s="203">
        <v>0</v>
      </c>
      <c r="DR30" s="203">
        <v>0</v>
      </c>
      <c r="DS30" s="203">
        <v>0</v>
      </c>
      <c r="DT30" s="203">
        <v>0</v>
      </c>
      <c r="DU30" s="203">
        <v>0</v>
      </c>
      <c r="DV30" s="203">
        <v>0</v>
      </c>
      <c r="DW30" s="203">
        <v>0</v>
      </c>
      <c r="DX30" s="203">
        <v>0</v>
      </c>
      <c r="DY30" s="203">
        <v>0</v>
      </c>
      <c r="DZ30" s="203">
        <v>0</v>
      </c>
      <c r="EA30" s="203">
        <v>0</v>
      </c>
      <c r="EB30" s="203">
        <v>0</v>
      </c>
      <c r="EC30" s="203">
        <v>0</v>
      </c>
      <c r="ED30" s="203">
        <v>0</v>
      </c>
      <c r="EE30" s="203">
        <v>0</v>
      </c>
      <c r="EF30" s="203">
        <v>0</v>
      </c>
      <c r="EG30" s="203">
        <v>0</v>
      </c>
      <c r="EH30" s="203">
        <v>0</v>
      </c>
      <c r="EI30" s="203">
        <v>0</v>
      </c>
      <c r="EJ30" s="203">
        <v>0</v>
      </c>
      <c r="EK30" s="203">
        <v>0</v>
      </c>
      <c r="EL30" s="203">
        <v>0</v>
      </c>
      <c r="EM30" s="203">
        <v>0</v>
      </c>
      <c r="EN30" s="203">
        <v>0</v>
      </c>
      <c r="EO30" s="203">
        <v>0</v>
      </c>
      <c r="EP30" s="203">
        <v>0</v>
      </c>
      <c r="EQ30" s="203">
        <v>0</v>
      </c>
      <c r="ER30" s="203">
        <v>0</v>
      </c>
      <c r="ES30" s="203">
        <v>0</v>
      </c>
      <c r="ET30" s="203">
        <v>0</v>
      </c>
      <c r="EU30" s="203">
        <v>0</v>
      </c>
      <c r="EV30" s="203">
        <v>0</v>
      </c>
      <c r="EW30" s="203">
        <v>0</v>
      </c>
      <c r="EX30" s="203">
        <v>0</v>
      </c>
      <c r="EY30" s="203">
        <v>0</v>
      </c>
      <c r="EZ30" s="203">
        <v>0</v>
      </c>
      <c r="FA30" s="203">
        <v>0</v>
      </c>
      <c r="FB30" s="203">
        <v>0</v>
      </c>
      <c r="FC30" s="203">
        <v>0</v>
      </c>
      <c r="FD30" s="203">
        <v>0</v>
      </c>
      <c r="FE30" s="203">
        <v>0</v>
      </c>
      <c r="FF30" s="203">
        <v>0</v>
      </c>
      <c r="FG30" s="203">
        <v>0</v>
      </c>
      <c r="FH30" s="203">
        <v>0</v>
      </c>
      <c r="FI30" s="203">
        <v>108</v>
      </c>
      <c r="FJ30" s="203">
        <v>618</v>
      </c>
      <c r="FK30" s="203">
        <v>0</v>
      </c>
      <c r="FL30" s="203">
        <v>0</v>
      </c>
      <c r="FM30" s="203">
        <v>0</v>
      </c>
      <c r="FN30" s="203">
        <v>0</v>
      </c>
      <c r="FO30" s="203">
        <v>0</v>
      </c>
      <c r="FP30" s="203">
        <v>0</v>
      </c>
      <c r="FQ30" s="203">
        <v>0</v>
      </c>
      <c r="FR30" s="203">
        <v>0</v>
      </c>
      <c r="FS30" s="203">
        <v>0</v>
      </c>
      <c r="FT30" s="203">
        <v>0</v>
      </c>
      <c r="FU30" s="203">
        <v>0</v>
      </c>
      <c r="FV30" s="203">
        <v>0</v>
      </c>
      <c r="FW30" s="203">
        <v>0</v>
      </c>
      <c r="FX30" s="203">
        <v>0</v>
      </c>
      <c r="FY30" s="203">
        <v>0</v>
      </c>
      <c r="FZ30" s="203">
        <v>0</v>
      </c>
      <c r="GA30" s="203">
        <v>0</v>
      </c>
      <c r="GB30" s="203">
        <v>0</v>
      </c>
      <c r="GC30" s="203">
        <v>0</v>
      </c>
      <c r="GD30" s="203">
        <v>0</v>
      </c>
      <c r="GE30" s="203">
        <v>0</v>
      </c>
      <c r="GF30" s="203">
        <v>553</v>
      </c>
      <c r="GG30" s="203">
        <v>0</v>
      </c>
      <c r="GH30" s="203">
        <v>0</v>
      </c>
      <c r="GI30" s="203">
        <v>0</v>
      </c>
      <c r="GJ30" s="203">
        <v>0</v>
      </c>
      <c r="GK30" s="203">
        <v>0</v>
      </c>
      <c r="GL30" s="203">
        <v>0</v>
      </c>
      <c r="GM30" s="203">
        <v>0</v>
      </c>
      <c r="GN30" s="203">
        <v>0</v>
      </c>
      <c r="GO30" s="203">
        <v>0</v>
      </c>
      <c r="GP30" s="203">
        <v>0</v>
      </c>
      <c r="GQ30" s="203">
        <v>0</v>
      </c>
      <c r="GR30" s="203">
        <v>519</v>
      </c>
      <c r="GS30" s="203">
        <v>0</v>
      </c>
      <c r="GT30" s="203">
        <v>734</v>
      </c>
      <c r="GU30" s="203">
        <v>0</v>
      </c>
      <c r="GV30" s="203">
        <v>0</v>
      </c>
      <c r="GW30" s="203"/>
      <c r="GX30" s="203"/>
      <c r="GY30" s="203"/>
      <c r="GZ30" s="203"/>
    </row>
    <row r="31" spans="1:208" ht="14.45">
      <c r="A31" s="175" t="s">
        <v>306</v>
      </c>
      <c r="B31" s="45">
        <v>1.25</v>
      </c>
      <c r="C31" s="96">
        <v>0</v>
      </c>
      <c r="D31" s="96">
        <f>G31</f>
        <v>0</v>
      </c>
      <c r="E31" s="96">
        <v>0</v>
      </c>
      <c r="F31" s="96">
        <v>0</v>
      </c>
      <c r="G31" s="173">
        <f t="shared" si="14"/>
        <v>0</v>
      </c>
      <c r="H31" s="203">
        <v>0</v>
      </c>
      <c r="I31" s="203">
        <v>0</v>
      </c>
      <c r="J31" s="203">
        <v>0</v>
      </c>
      <c r="K31" s="203">
        <v>0</v>
      </c>
      <c r="L31" s="203">
        <v>0</v>
      </c>
      <c r="M31" s="203">
        <v>0</v>
      </c>
      <c r="N31" s="203">
        <v>0</v>
      </c>
      <c r="O31" s="203">
        <v>0</v>
      </c>
      <c r="P31" s="203">
        <v>0</v>
      </c>
      <c r="Q31" s="203">
        <v>0</v>
      </c>
      <c r="R31" s="203">
        <v>0</v>
      </c>
      <c r="S31" s="203">
        <v>0</v>
      </c>
      <c r="T31" s="203">
        <v>0</v>
      </c>
      <c r="U31" s="203">
        <v>0</v>
      </c>
      <c r="V31" s="203">
        <v>0</v>
      </c>
      <c r="W31" s="203">
        <v>0</v>
      </c>
      <c r="X31" s="203">
        <v>0</v>
      </c>
      <c r="Y31" s="203">
        <v>0</v>
      </c>
      <c r="Z31" s="203">
        <v>0</v>
      </c>
      <c r="AA31" s="203">
        <v>0</v>
      </c>
      <c r="AB31" s="203">
        <v>0</v>
      </c>
      <c r="AC31" s="203">
        <v>0</v>
      </c>
      <c r="AD31" s="203">
        <v>0</v>
      </c>
      <c r="AE31" s="203">
        <v>0</v>
      </c>
      <c r="AF31" s="203">
        <v>0</v>
      </c>
      <c r="AG31" s="203">
        <v>0</v>
      </c>
      <c r="AH31" s="203">
        <v>0</v>
      </c>
      <c r="AI31" s="203">
        <v>0</v>
      </c>
      <c r="AJ31" s="203">
        <v>0</v>
      </c>
      <c r="AK31" s="203">
        <v>0</v>
      </c>
      <c r="AL31" s="203">
        <v>0</v>
      </c>
      <c r="AM31" s="203">
        <v>0</v>
      </c>
      <c r="AN31" s="203">
        <v>0</v>
      </c>
      <c r="AO31" s="203">
        <v>0</v>
      </c>
      <c r="AP31" s="203">
        <v>0</v>
      </c>
      <c r="AQ31" s="203">
        <v>0</v>
      </c>
      <c r="AR31" s="203">
        <v>0</v>
      </c>
      <c r="AS31" s="203">
        <v>0</v>
      </c>
      <c r="AT31" s="203">
        <v>0</v>
      </c>
      <c r="AU31" s="203">
        <v>0</v>
      </c>
      <c r="AV31" s="203">
        <v>0</v>
      </c>
      <c r="AW31" s="203">
        <v>0</v>
      </c>
      <c r="AX31" s="203">
        <v>0</v>
      </c>
      <c r="AY31" s="203">
        <v>0</v>
      </c>
      <c r="AZ31" s="203">
        <v>0</v>
      </c>
      <c r="BA31" s="203">
        <v>0</v>
      </c>
      <c r="BB31" s="203">
        <v>0</v>
      </c>
      <c r="BC31" s="203">
        <v>0</v>
      </c>
      <c r="BD31" s="203">
        <v>0</v>
      </c>
      <c r="BE31" s="203">
        <v>0</v>
      </c>
      <c r="BF31" s="203">
        <v>0</v>
      </c>
      <c r="BG31" s="203">
        <v>0</v>
      </c>
      <c r="BH31" s="203">
        <v>0</v>
      </c>
      <c r="BI31" s="203">
        <v>0</v>
      </c>
      <c r="BJ31" s="203">
        <v>0</v>
      </c>
      <c r="BK31" s="203">
        <v>0</v>
      </c>
      <c r="BL31" s="203">
        <v>0</v>
      </c>
      <c r="BM31" s="203">
        <v>0</v>
      </c>
      <c r="BN31" s="203">
        <v>0</v>
      </c>
      <c r="BO31" s="203">
        <v>0</v>
      </c>
      <c r="BP31" s="203">
        <v>0</v>
      </c>
      <c r="BQ31" s="203">
        <v>0</v>
      </c>
      <c r="BR31" s="203">
        <v>0</v>
      </c>
      <c r="BS31" s="203">
        <v>0</v>
      </c>
      <c r="BT31" s="203">
        <v>0</v>
      </c>
      <c r="BU31" s="203">
        <v>0</v>
      </c>
      <c r="BV31" s="203">
        <v>0</v>
      </c>
      <c r="BW31" s="203">
        <v>0</v>
      </c>
      <c r="BX31" s="203">
        <v>0</v>
      </c>
      <c r="BY31" s="203">
        <v>0</v>
      </c>
      <c r="BZ31" s="203">
        <v>0</v>
      </c>
      <c r="CA31" s="203">
        <v>0</v>
      </c>
      <c r="CB31" s="203">
        <v>0</v>
      </c>
      <c r="CC31" s="203">
        <v>0</v>
      </c>
      <c r="CD31" s="203">
        <v>0</v>
      </c>
      <c r="CE31" s="203">
        <v>0</v>
      </c>
      <c r="CF31" s="203">
        <v>0</v>
      </c>
      <c r="CG31" s="203">
        <v>0</v>
      </c>
      <c r="CH31" s="203">
        <v>0</v>
      </c>
      <c r="CI31" s="203">
        <v>0</v>
      </c>
      <c r="CJ31" s="203">
        <v>0</v>
      </c>
      <c r="CK31" s="203">
        <v>0</v>
      </c>
      <c r="CL31" s="203">
        <v>0</v>
      </c>
      <c r="CM31" s="203">
        <v>0</v>
      </c>
      <c r="CN31" s="203">
        <v>0</v>
      </c>
      <c r="CO31" s="203">
        <v>0</v>
      </c>
      <c r="CP31" s="203">
        <v>0</v>
      </c>
      <c r="CQ31" s="203">
        <v>0</v>
      </c>
      <c r="CR31" s="203">
        <v>0</v>
      </c>
      <c r="CS31" s="203">
        <v>0</v>
      </c>
      <c r="CT31" s="203">
        <v>0</v>
      </c>
      <c r="CU31" s="203">
        <v>0</v>
      </c>
      <c r="CV31" s="203">
        <v>0</v>
      </c>
      <c r="CW31" s="203">
        <v>0</v>
      </c>
      <c r="CX31" s="203">
        <v>0</v>
      </c>
      <c r="CY31" s="203">
        <v>0</v>
      </c>
      <c r="CZ31" s="203">
        <v>0</v>
      </c>
      <c r="DA31" s="203">
        <v>0</v>
      </c>
      <c r="DB31" s="203">
        <v>0</v>
      </c>
      <c r="DC31" s="203">
        <v>0</v>
      </c>
      <c r="DD31" s="203">
        <v>0</v>
      </c>
      <c r="DE31" s="203">
        <v>0</v>
      </c>
      <c r="DF31" s="203">
        <v>0</v>
      </c>
      <c r="DG31" s="203">
        <v>0</v>
      </c>
      <c r="DH31" s="203">
        <v>0</v>
      </c>
      <c r="DI31" s="203">
        <v>0</v>
      </c>
      <c r="DJ31" s="203">
        <v>0</v>
      </c>
      <c r="DK31" s="203">
        <v>0</v>
      </c>
      <c r="DL31" s="203">
        <v>0</v>
      </c>
      <c r="DM31" s="203">
        <v>0</v>
      </c>
      <c r="DN31" s="203">
        <v>0</v>
      </c>
      <c r="DO31" s="203">
        <v>0</v>
      </c>
      <c r="DP31" s="203">
        <v>0</v>
      </c>
      <c r="DQ31" s="203">
        <v>0</v>
      </c>
      <c r="DR31" s="203">
        <v>0</v>
      </c>
      <c r="DS31" s="203">
        <v>0</v>
      </c>
      <c r="DT31" s="203">
        <v>0</v>
      </c>
      <c r="DU31" s="203">
        <v>0</v>
      </c>
      <c r="DV31" s="203">
        <v>0</v>
      </c>
      <c r="DW31" s="203">
        <v>0</v>
      </c>
      <c r="DX31" s="203">
        <v>0</v>
      </c>
      <c r="DY31" s="203">
        <v>0</v>
      </c>
      <c r="DZ31" s="203">
        <v>0</v>
      </c>
      <c r="EA31" s="203">
        <v>0</v>
      </c>
      <c r="EB31" s="203">
        <v>0</v>
      </c>
      <c r="EC31" s="203">
        <v>0</v>
      </c>
      <c r="ED31" s="203">
        <v>0</v>
      </c>
      <c r="EE31" s="203">
        <v>0</v>
      </c>
      <c r="EF31" s="203">
        <v>0</v>
      </c>
      <c r="EG31" s="203">
        <v>0</v>
      </c>
      <c r="EH31" s="203">
        <v>0</v>
      </c>
      <c r="EI31" s="203">
        <v>0</v>
      </c>
      <c r="EJ31" s="203">
        <v>0</v>
      </c>
      <c r="EK31" s="203">
        <v>0</v>
      </c>
      <c r="EL31" s="203">
        <v>0</v>
      </c>
      <c r="EM31" s="203">
        <v>0</v>
      </c>
      <c r="EN31" s="203">
        <v>0</v>
      </c>
      <c r="EO31" s="203">
        <v>0</v>
      </c>
      <c r="EP31" s="203">
        <v>0</v>
      </c>
      <c r="EQ31" s="203">
        <v>0</v>
      </c>
      <c r="ER31" s="203">
        <v>0</v>
      </c>
      <c r="ES31" s="203">
        <v>0</v>
      </c>
      <c r="ET31" s="203">
        <v>0</v>
      </c>
      <c r="EU31" s="203">
        <v>0</v>
      </c>
      <c r="EV31" s="203">
        <v>0</v>
      </c>
      <c r="EW31" s="203">
        <v>0</v>
      </c>
      <c r="EX31" s="203">
        <v>0</v>
      </c>
      <c r="EY31" s="203">
        <v>0</v>
      </c>
      <c r="EZ31" s="203">
        <v>0</v>
      </c>
      <c r="FA31" s="203">
        <v>0</v>
      </c>
      <c r="FB31" s="203">
        <v>0</v>
      </c>
      <c r="FC31" s="203">
        <v>0</v>
      </c>
      <c r="FD31" s="203">
        <v>0</v>
      </c>
      <c r="FE31" s="203">
        <v>0</v>
      </c>
      <c r="FF31" s="203">
        <v>0</v>
      </c>
      <c r="FG31" s="203">
        <v>0</v>
      </c>
      <c r="FH31" s="203">
        <v>0</v>
      </c>
      <c r="FI31" s="203">
        <v>0</v>
      </c>
      <c r="FJ31" s="203">
        <v>0</v>
      </c>
      <c r="FK31" s="203">
        <v>0</v>
      </c>
      <c r="FL31" s="203">
        <v>0</v>
      </c>
      <c r="FM31" s="203">
        <v>0</v>
      </c>
      <c r="FN31" s="203">
        <v>0</v>
      </c>
      <c r="FO31" s="203">
        <v>0</v>
      </c>
      <c r="FP31" s="203">
        <v>0</v>
      </c>
      <c r="FQ31" s="203">
        <v>0</v>
      </c>
      <c r="FR31" s="203">
        <v>0</v>
      </c>
      <c r="FS31" s="203">
        <v>0</v>
      </c>
      <c r="FT31" s="203">
        <v>0</v>
      </c>
      <c r="FU31" s="203">
        <v>0</v>
      </c>
      <c r="FV31" s="203">
        <v>0</v>
      </c>
      <c r="FW31" s="203">
        <v>0</v>
      </c>
      <c r="FX31" s="203">
        <v>0</v>
      </c>
      <c r="FY31" s="203">
        <v>0</v>
      </c>
      <c r="FZ31" s="203">
        <v>0</v>
      </c>
      <c r="GA31" s="203">
        <v>0</v>
      </c>
      <c r="GB31" s="203">
        <v>0</v>
      </c>
      <c r="GC31" s="203">
        <v>0</v>
      </c>
      <c r="GD31" s="203">
        <v>0</v>
      </c>
      <c r="GE31" s="203">
        <v>0</v>
      </c>
      <c r="GF31" s="203">
        <v>0</v>
      </c>
      <c r="GG31" s="203">
        <v>0</v>
      </c>
      <c r="GH31" s="203">
        <v>0</v>
      </c>
      <c r="GI31" s="203">
        <v>0</v>
      </c>
      <c r="GJ31" s="203">
        <v>0</v>
      </c>
      <c r="GK31" s="203">
        <v>0</v>
      </c>
      <c r="GL31" s="203">
        <v>0</v>
      </c>
      <c r="GM31" s="203">
        <v>0</v>
      </c>
      <c r="GN31" s="203">
        <v>0</v>
      </c>
      <c r="GO31" s="203">
        <v>0</v>
      </c>
      <c r="GP31" s="203">
        <v>0</v>
      </c>
      <c r="GQ31" s="203">
        <v>0</v>
      </c>
      <c r="GR31" s="203">
        <v>0</v>
      </c>
      <c r="GS31" s="203">
        <v>0</v>
      </c>
      <c r="GT31" s="203">
        <v>0</v>
      </c>
      <c r="GU31" s="203">
        <v>0</v>
      </c>
      <c r="GV31" s="203">
        <v>0</v>
      </c>
      <c r="GW31" s="203"/>
      <c r="GX31" s="203"/>
      <c r="GY31" s="203"/>
      <c r="GZ31" s="203"/>
    </row>
    <row r="32" spans="1:208" ht="14.45">
      <c r="A32" s="175" t="s">
        <v>307</v>
      </c>
      <c r="B32" s="45">
        <v>1.25</v>
      </c>
      <c r="C32" s="96">
        <v>0</v>
      </c>
      <c r="D32" s="96">
        <v>0</v>
      </c>
      <c r="E32" s="96">
        <f>G32</f>
        <v>0</v>
      </c>
      <c r="F32" s="96">
        <v>0</v>
      </c>
      <c r="G32" s="173">
        <f t="shared" si="14"/>
        <v>0</v>
      </c>
      <c r="H32" s="203">
        <v>0</v>
      </c>
      <c r="I32" s="203">
        <v>0</v>
      </c>
      <c r="J32" s="203">
        <v>0</v>
      </c>
      <c r="K32" s="203">
        <v>0</v>
      </c>
      <c r="L32" s="203">
        <v>0</v>
      </c>
      <c r="M32" s="203">
        <v>0</v>
      </c>
      <c r="N32" s="203">
        <v>0</v>
      </c>
      <c r="O32" s="203">
        <v>0</v>
      </c>
      <c r="P32" s="203">
        <v>0</v>
      </c>
      <c r="Q32" s="203">
        <v>0</v>
      </c>
      <c r="R32" s="203">
        <v>0</v>
      </c>
      <c r="S32" s="203">
        <v>0</v>
      </c>
      <c r="T32" s="203">
        <v>0</v>
      </c>
      <c r="U32" s="203">
        <v>0</v>
      </c>
      <c r="V32" s="203">
        <v>0</v>
      </c>
      <c r="W32" s="203">
        <v>0</v>
      </c>
      <c r="X32" s="203">
        <v>0</v>
      </c>
      <c r="Y32" s="203">
        <v>0</v>
      </c>
      <c r="Z32" s="203">
        <v>0</v>
      </c>
      <c r="AA32" s="203">
        <v>0</v>
      </c>
      <c r="AB32" s="203">
        <v>0</v>
      </c>
      <c r="AC32" s="203">
        <v>0</v>
      </c>
      <c r="AD32" s="203">
        <v>0</v>
      </c>
      <c r="AE32" s="203">
        <v>0</v>
      </c>
      <c r="AF32" s="203">
        <v>0</v>
      </c>
      <c r="AG32" s="203">
        <v>0</v>
      </c>
      <c r="AH32" s="203">
        <v>0</v>
      </c>
      <c r="AI32" s="203">
        <v>0</v>
      </c>
      <c r="AJ32" s="203">
        <v>0</v>
      </c>
      <c r="AK32" s="203">
        <v>0</v>
      </c>
      <c r="AL32" s="203">
        <v>0</v>
      </c>
      <c r="AM32" s="203">
        <v>0</v>
      </c>
      <c r="AN32" s="203">
        <v>0</v>
      </c>
      <c r="AO32" s="203">
        <v>0</v>
      </c>
      <c r="AP32" s="203">
        <v>0</v>
      </c>
      <c r="AQ32" s="203">
        <v>0</v>
      </c>
      <c r="AR32" s="203">
        <v>0</v>
      </c>
      <c r="AS32" s="203">
        <v>0</v>
      </c>
      <c r="AT32" s="203">
        <v>0</v>
      </c>
      <c r="AU32" s="203">
        <v>0</v>
      </c>
      <c r="AV32" s="203">
        <v>0</v>
      </c>
      <c r="AW32" s="203">
        <v>0</v>
      </c>
      <c r="AX32" s="203">
        <v>0</v>
      </c>
      <c r="AY32" s="203">
        <v>0</v>
      </c>
      <c r="AZ32" s="203">
        <v>0</v>
      </c>
      <c r="BA32" s="203">
        <v>0</v>
      </c>
      <c r="BB32" s="203">
        <v>0</v>
      </c>
      <c r="BC32" s="203">
        <v>0</v>
      </c>
      <c r="BD32" s="203">
        <v>0</v>
      </c>
      <c r="BE32" s="203">
        <v>0</v>
      </c>
      <c r="BF32" s="203">
        <v>0</v>
      </c>
      <c r="BG32" s="203">
        <v>0</v>
      </c>
      <c r="BH32" s="203">
        <v>0</v>
      </c>
      <c r="BI32" s="203">
        <v>0</v>
      </c>
      <c r="BJ32" s="203">
        <v>0</v>
      </c>
      <c r="BK32" s="203">
        <v>0</v>
      </c>
      <c r="BL32" s="203">
        <v>0</v>
      </c>
      <c r="BM32" s="203">
        <v>0</v>
      </c>
      <c r="BN32" s="203">
        <v>0</v>
      </c>
      <c r="BO32" s="203">
        <v>0</v>
      </c>
      <c r="BP32" s="203">
        <v>0</v>
      </c>
      <c r="BQ32" s="203">
        <v>0</v>
      </c>
      <c r="BR32" s="203">
        <v>0</v>
      </c>
      <c r="BS32" s="203">
        <v>0</v>
      </c>
      <c r="BT32" s="203">
        <v>0</v>
      </c>
      <c r="BU32" s="203">
        <v>0</v>
      </c>
      <c r="BV32" s="203">
        <v>0</v>
      </c>
      <c r="BW32" s="203">
        <v>0</v>
      </c>
      <c r="BX32" s="203">
        <v>0</v>
      </c>
      <c r="BY32" s="203">
        <v>0</v>
      </c>
      <c r="BZ32" s="203">
        <v>0</v>
      </c>
      <c r="CA32" s="203">
        <v>0</v>
      </c>
      <c r="CB32" s="203">
        <v>0</v>
      </c>
      <c r="CC32" s="203">
        <v>0</v>
      </c>
      <c r="CD32" s="203">
        <v>0</v>
      </c>
      <c r="CE32" s="203">
        <v>0</v>
      </c>
      <c r="CF32" s="203">
        <v>0</v>
      </c>
      <c r="CG32" s="203">
        <v>0</v>
      </c>
      <c r="CH32" s="203">
        <v>0</v>
      </c>
      <c r="CI32" s="203">
        <v>0</v>
      </c>
      <c r="CJ32" s="203">
        <v>0</v>
      </c>
      <c r="CK32" s="203">
        <v>0</v>
      </c>
      <c r="CL32" s="203">
        <v>0</v>
      </c>
      <c r="CM32" s="203">
        <v>0</v>
      </c>
      <c r="CN32" s="203">
        <v>0</v>
      </c>
      <c r="CO32" s="203">
        <v>0</v>
      </c>
      <c r="CP32" s="203">
        <v>0</v>
      </c>
      <c r="CQ32" s="203">
        <v>0</v>
      </c>
      <c r="CR32" s="203">
        <v>0</v>
      </c>
      <c r="CS32" s="203">
        <v>0</v>
      </c>
      <c r="CT32" s="203">
        <v>0</v>
      </c>
      <c r="CU32" s="203">
        <v>0</v>
      </c>
      <c r="CV32" s="203">
        <v>0</v>
      </c>
      <c r="CW32" s="203">
        <v>0</v>
      </c>
      <c r="CX32" s="203">
        <v>0</v>
      </c>
      <c r="CY32" s="203">
        <v>0</v>
      </c>
      <c r="CZ32" s="203">
        <v>0</v>
      </c>
      <c r="DA32" s="203">
        <v>0</v>
      </c>
      <c r="DB32" s="203">
        <v>0</v>
      </c>
      <c r="DC32" s="203">
        <v>0</v>
      </c>
      <c r="DD32" s="203">
        <v>0</v>
      </c>
      <c r="DE32" s="203">
        <v>0</v>
      </c>
      <c r="DF32" s="203">
        <v>0</v>
      </c>
      <c r="DG32" s="203">
        <v>0</v>
      </c>
      <c r="DH32" s="203">
        <v>0</v>
      </c>
      <c r="DI32" s="203">
        <v>0</v>
      </c>
      <c r="DJ32" s="203">
        <v>0</v>
      </c>
      <c r="DK32" s="203">
        <v>0</v>
      </c>
      <c r="DL32" s="203">
        <v>0</v>
      </c>
      <c r="DM32" s="203">
        <v>0</v>
      </c>
      <c r="DN32" s="203">
        <v>0</v>
      </c>
      <c r="DO32" s="203">
        <v>0</v>
      </c>
      <c r="DP32" s="203">
        <v>0</v>
      </c>
      <c r="DQ32" s="203">
        <v>0</v>
      </c>
      <c r="DR32" s="203">
        <v>0</v>
      </c>
      <c r="DS32" s="203">
        <v>0</v>
      </c>
      <c r="DT32" s="203">
        <v>0</v>
      </c>
      <c r="DU32" s="203">
        <v>0</v>
      </c>
      <c r="DV32" s="203">
        <v>0</v>
      </c>
      <c r="DW32" s="203">
        <v>0</v>
      </c>
      <c r="DX32" s="203">
        <v>0</v>
      </c>
      <c r="DY32" s="203">
        <v>0</v>
      </c>
      <c r="DZ32" s="203">
        <v>0</v>
      </c>
      <c r="EA32" s="203">
        <v>0</v>
      </c>
      <c r="EB32" s="203">
        <v>0</v>
      </c>
      <c r="EC32" s="203">
        <v>0</v>
      </c>
      <c r="ED32" s="203">
        <v>0</v>
      </c>
      <c r="EE32" s="203">
        <v>0</v>
      </c>
      <c r="EF32" s="203">
        <v>0</v>
      </c>
      <c r="EG32" s="203">
        <v>0</v>
      </c>
      <c r="EH32" s="203">
        <v>0</v>
      </c>
      <c r="EI32" s="203">
        <v>0</v>
      </c>
      <c r="EJ32" s="203">
        <v>0</v>
      </c>
      <c r="EK32" s="203">
        <v>0</v>
      </c>
      <c r="EL32" s="203">
        <v>0</v>
      </c>
      <c r="EM32" s="203">
        <v>0</v>
      </c>
      <c r="EN32" s="203">
        <v>0</v>
      </c>
      <c r="EO32" s="203">
        <v>0</v>
      </c>
      <c r="EP32" s="203">
        <v>0</v>
      </c>
      <c r="EQ32" s="203">
        <v>0</v>
      </c>
      <c r="ER32" s="203">
        <v>0</v>
      </c>
      <c r="ES32" s="203">
        <v>0</v>
      </c>
      <c r="ET32" s="203">
        <v>0</v>
      </c>
      <c r="EU32" s="203">
        <v>0</v>
      </c>
      <c r="EV32" s="203">
        <v>0</v>
      </c>
      <c r="EW32" s="203">
        <v>0</v>
      </c>
      <c r="EX32" s="203">
        <v>0</v>
      </c>
      <c r="EY32" s="203">
        <v>0</v>
      </c>
      <c r="EZ32" s="203">
        <v>0</v>
      </c>
      <c r="FA32" s="203">
        <v>0</v>
      </c>
      <c r="FB32" s="203">
        <v>0</v>
      </c>
      <c r="FC32" s="203">
        <v>0</v>
      </c>
      <c r="FD32" s="203">
        <v>0</v>
      </c>
      <c r="FE32" s="203">
        <v>0</v>
      </c>
      <c r="FF32" s="203">
        <v>0</v>
      </c>
      <c r="FG32" s="203">
        <v>0</v>
      </c>
      <c r="FH32" s="203">
        <v>0</v>
      </c>
      <c r="FI32" s="203">
        <v>0</v>
      </c>
      <c r="FJ32" s="203">
        <v>0</v>
      </c>
      <c r="FK32" s="203">
        <v>0</v>
      </c>
      <c r="FL32" s="203">
        <v>0</v>
      </c>
      <c r="FM32" s="203">
        <v>0</v>
      </c>
      <c r="FN32" s="203">
        <v>0</v>
      </c>
      <c r="FO32" s="203">
        <v>0</v>
      </c>
      <c r="FP32" s="203">
        <v>0</v>
      </c>
      <c r="FQ32" s="203">
        <v>0</v>
      </c>
      <c r="FR32" s="203">
        <v>0</v>
      </c>
      <c r="FS32" s="203">
        <v>0</v>
      </c>
      <c r="FT32" s="203">
        <v>0</v>
      </c>
      <c r="FU32" s="203">
        <v>0</v>
      </c>
      <c r="FV32" s="203">
        <v>0</v>
      </c>
      <c r="FW32" s="203">
        <v>0</v>
      </c>
      <c r="FX32" s="203">
        <v>0</v>
      </c>
      <c r="FY32" s="203">
        <v>0</v>
      </c>
      <c r="FZ32" s="203">
        <v>0</v>
      </c>
      <c r="GA32" s="203">
        <v>0</v>
      </c>
      <c r="GB32" s="203">
        <v>0</v>
      </c>
      <c r="GC32" s="203">
        <v>0</v>
      </c>
      <c r="GD32" s="203">
        <v>0</v>
      </c>
      <c r="GE32" s="203">
        <v>0</v>
      </c>
      <c r="GF32" s="203">
        <v>0</v>
      </c>
      <c r="GG32" s="203">
        <v>0</v>
      </c>
      <c r="GH32" s="203">
        <v>0</v>
      </c>
      <c r="GI32" s="203">
        <v>0</v>
      </c>
      <c r="GJ32" s="203">
        <v>0</v>
      </c>
      <c r="GK32" s="203">
        <v>0</v>
      </c>
      <c r="GL32" s="203">
        <v>0</v>
      </c>
      <c r="GM32" s="203">
        <v>0</v>
      </c>
      <c r="GN32" s="203">
        <v>0</v>
      </c>
      <c r="GO32" s="203">
        <v>0</v>
      </c>
      <c r="GP32" s="203">
        <v>0</v>
      </c>
      <c r="GQ32" s="203">
        <v>0</v>
      </c>
      <c r="GR32" s="203">
        <v>0</v>
      </c>
      <c r="GS32" s="203">
        <v>0</v>
      </c>
      <c r="GT32" s="203">
        <v>0</v>
      </c>
      <c r="GU32" s="203">
        <v>0</v>
      </c>
      <c r="GV32" s="203">
        <v>0</v>
      </c>
      <c r="GW32" s="203"/>
      <c r="GX32" s="203"/>
      <c r="GY32" s="203"/>
      <c r="GZ32" s="203"/>
    </row>
    <row r="33" spans="1:208" ht="14.45">
      <c r="A33" s="175" t="s">
        <v>308</v>
      </c>
      <c r="B33" s="45">
        <v>1.25</v>
      </c>
      <c r="C33" s="96">
        <v>0</v>
      </c>
      <c r="D33" s="96">
        <v>0</v>
      </c>
      <c r="E33" s="96">
        <v>0</v>
      </c>
      <c r="F33" s="96">
        <v>0</v>
      </c>
      <c r="G33" s="173">
        <f t="shared" si="14"/>
        <v>0</v>
      </c>
      <c r="H33" s="203">
        <v>0</v>
      </c>
      <c r="I33" s="203">
        <v>0</v>
      </c>
      <c r="J33" s="203">
        <v>0</v>
      </c>
      <c r="K33" s="203">
        <v>0</v>
      </c>
      <c r="L33" s="203">
        <v>0</v>
      </c>
      <c r="M33" s="203">
        <v>0</v>
      </c>
      <c r="N33" s="203">
        <v>0</v>
      </c>
      <c r="O33" s="203">
        <v>0</v>
      </c>
      <c r="P33" s="203">
        <v>0</v>
      </c>
      <c r="Q33" s="203">
        <v>0</v>
      </c>
      <c r="R33" s="203">
        <v>0</v>
      </c>
      <c r="S33" s="203">
        <v>0</v>
      </c>
      <c r="T33" s="203">
        <v>0</v>
      </c>
      <c r="U33" s="203">
        <v>0</v>
      </c>
      <c r="V33" s="203">
        <v>0</v>
      </c>
      <c r="W33" s="203">
        <v>0</v>
      </c>
      <c r="X33" s="203">
        <v>0</v>
      </c>
      <c r="Y33" s="203">
        <v>0</v>
      </c>
      <c r="Z33" s="203">
        <v>0</v>
      </c>
      <c r="AA33" s="203">
        <v>0</v>
      </c>
      <c r="AB33" s="203">
        <v>0</v>
      </c>
      <c r="AC33" s="203">
        <v>0</v>
      </c>
      <c r="AD33" s="203">
        <v>0</v>
      </c>
      <c r="AE33" s="203">
        <v>0</v>
      </c>
      <c r="AF33" s="203">
        <v>0</v>
      </c>
      <c r="AG33" s="203">
        <v>0</v>
      </c>
      <c r="AH33" s="203">
        <v>0</v>
      </c>
      <c r="AI33" s="203">
        <v>0</v>
      </c>
      <c r="AJ33" s="203">
        <v>0</v>
      </c>
      <c r="AK33" s="203">
        <v>0</v>
      </c>
      <c r="AL33" s="203">
        <v>0</v>
      </c>
      <c r="AM33" s="203">
        <v>0</v>
      </c>
      <c r="AN33" s="203">
        <v>0</v>
      </c>
      <c r="AO33" s="203">
        <v>0</v>
      </c>
      <c r="AP33" s="203">
        <v>0</v>
      </c>
      <c r="AQ33" s="203">
        <v>0</v>
      </c>
      <c r="AR33" s="203">
        <v>0</v>
      </c>
      <c r="AS33" s="203">
        <v>0</v>
      </c>
      <c r="AT33" s="203">
        <v>0</v>
      </c>
      <c r="AU33" s="203">
        <v>0</v>
      </c>
      <c r="AV33" s="203">
        <v>0</v>
      </c>
      <c r="AW33" s="203">
        <v>0</v>
      </c>
      <c r="AX33" s="203">
        <v>0</v>
      </c>
      <c r="AY33" s="203">
        <v>0</v>
      </c>
      <c r="AZ33" s="203">
        <v>0</v>
      </c>
      <c r="BA33" s="203">
        <v>0</v>
      </c>
      <c r="BB33" s="203">
        <v>0</v>
      </c>
      <c r="BC33" s="203">
        <v>0</v>
      </c>
      <c r="BD33" s="203">
        <v>0</v>
      </c>
      <c r="BE33" s="203">
        <v>0</v>
      </c>
      <c r="BF33" s="203">
        <v>0</v>
      </c>
      <c r="BG33" s="203">
        <v>0</v>
      </c>
      <c r="BH33" s="203">
        <v>0</v>
      </c>
      <c r="BI33" s="203">
        <v>0</v>
      </c>
      <c r="BJ33" s="203">
        <v>0</v>
      </c>
      <c r="BK33" s="203">
        <v>0</v>
      </c>
      <c r="BL33" s="203">
        <v>0</v>
      </c>
      <c r="BM33" s="203">
        <v>0</v>
      </c>
      <c r="BN33" s="203">
        <v>0</v>
      </c>
      <c r="BO33" s="203">
        <v>0</v>
      </c>
      <c r="BP33" s="203">
        <v>0</v>
      </c>
      <c r="BQ33" s="203">
        <v>0</v>
      </c>
      <c r="BR33" s="203">
        <v>0</v>
      </c>
      <c r="BS33" s="203">
        <v>0</v>
      </c>
      <c r="BT33" s="203">
        <v>0</v>
      </c>
      <c r="BU33" s="203">
        <v>0</v>
      </c>
      <c r="BV33" s="203">
        <v>0</v>
      </c>
      <c r="BW33" s="203">
        <v>0</v>
      </c>
      <c r="BX33" s="203">
        <v>0</v>
      </c>
      <c r="BY33" s="203">
        <v>0</v>
      </c>
      <c r="BZ33" s="203">
        <v>0</v>
      </c>
      <c r="CA33" s="203">
        <v>0</v>
      </c>
      <c r="CB33" s="203">
        <v>0</v>
      </c>
      <c r="CC33" s="203">
        <v>0</v>
      </c>
      <c r="CD33" s="203">
        <v>0</v>
      </c>
      <c r="CE33" s="203">
        <v>0</v>
      </c>
      <c r="CF33" s="203">
        <v>0</v>
      </c>
      <c r="CG33" s="203">
        <v>0</v>
      </c>
      <c r="CH33" s="203">
        <v>0</v>
      </c>
      <c r="CI33" s="203">
        <v>0</v>
      </c>
      <c r="CJ33" s="203">
        <v>0</v>
      </c>
      <c r="CK33" s="203">
        <v>0</v>
      </c>
      <c r="CL33" s="203">
        <v>0</v>
      </c>
      <c r="CM33" s="203">
        <v>0</v>
      </c>
      <c r="CN33" s="203">
        <v>0</v>
      </c>
      <c r="CO33" s="203">
        <v>0</v>
      </c>
      <c r="CP33" s="203">
        <v>0</v>
      </c>
      <c r="CQ33" s="203">
        <v>0</v>
      </c>
      <c r="CR33" s="203">
        <v>0</v>
      </c>
      <c r="CS33" s="203">
        <v>0</v>
      </c>
      <c r="CT33" s="203">
        <v>0</v>
      </c>
      <c r="CU33" s="203">
        <v>0</v>
      </c>
      <c r="CV33" s="203">
        <v>0</v>
      </c>
      <c r="CW33" s="203">
        <v>0</v>
      </c>
      <c r="CX33" s="203">
        <v>0</v>
      </c>
      <c r="CY33" s="203">
        <v>0</v>
      </c>
      <c r="CZ33" s="203">
        <v>0</v>
      </c>
      <c r="DA33" s="203">
        <v>0</v>
      </c>
      <c r="DB33" s="203">
        <v>0</v>
      </c>
      <c r="DC33" s="203">
        <v>0</v>
      </c>
      <c r="DD33" s="203">
        <v>0</v>
      </c>
      <c r="DE33" s="203">
        <v>0</v>
      </c>
      <c r="DF33" s="203">
        <v>0</v>
      </c>
      <c r="DG33" s="203">
        <v>0</v>
      </c>
      <c r="DH33" s="203">
        <v>0</v>
      </c>
      <c r="DI33" s="203">
        <v>0</v>
      </c>
      <c r="DJ33" s="203">
        <v>0</v>
      </c>
      <c r="DK33" s="203">
        <v>0</v>
      </c>
      <c r="DL33" s="203">
        <v>0</v>
      </c>
      <c r="DM33" s="203">
        <v>0</v>
      </c>
      <c r="DN33" s="203">
        <v>0</v>
      </c>
      <c r="DO33" s="203">
        <v>0</v>
      </c>
      <c r="DP33" s="203">
        <v>0</v>
      </c>
      <c r="DQ33" s="203">
        <v>0</v>
      </c>
      <c r="DR33" s="203">
        <v>0</v>
      </c>
      <c r="DS33" s="203">
        <v>0</v>
      </c>
      <c r="DT33" s="203">
        <v>0</v>
      </c>
      <c r="DU33" s="203">
        <v>0</v>
      </c>
      <c r="DV33" s="203">
        <v>0</v>
      </c>
      <c r="DW33" s="203">
        <v>0</v>
      </c>
      <c r="DX33" s="203">
        <v>0</v>
      </c>
      <c r="DY33" s="203">
        <v>0</v>
      </c>
      <c r="DZ33" s="203">
        <v>0</v>
      </c>
      <c r="EA33" s="203">
        <v>0</v>
      </c>
      <c r="EB33" s="203">
        <v>0</v>
      </c>
      <c r="EC33" s="203">
        <v>0</v>
      </c>
      <c r="ED33" s="203">
        <v>0</v>
      </c>
      <c r="EE33" s="203">
        <v>0</v>
      </c>
      <c r="EF33" s="203">
        <v>0</v>
      </c>
      <c r="EG33" s="203">
        <v>0</v>
      </c>
      <c r="EH33" s="203">
        <v>0</v>
      </c>
      <c r="EI33" s="203">
        <v>0</v>
      </c>
      <c r="EJ33" s="203">
        <v>0</v>
      </c>
      <c r="EK33" s="203">
        <v>0</v>
      </c>
      <c r="EL33" s="203">
        <v>0</v>
      </c>
      <c r="EM33" s="203">
        <v>0</v>
      </c>
      <c r="EN33" s="203">
        <v>0</v>
      </c>
      <c r="EO33" s="203">
        <v>0</v>
      </c>
      <c r="EP33" s="203">
        <v>0</v>
      </c>
      <c r="EQ33" s="203">
        <v>0</v>
      </c>
      <c r="ER33" s="203">
        <v>0</v>
      </c>
      <c r="ES33" s="203">
        <v>0</v>
      </c>
      <c r="ET33" s="203">
        <v>0</v>
      </c>
      <c r="EU33" s="203">
        <v>0</v>
      </c>
      <c r="EV33" s="203">
        <v>0</v>
      </c>
      <c r="EW33" s="203">
        <v>0</v>
      </c>
      <c r="EX33" s="203">
        <v>0</v>
      </c>
      <c r="EY33" s="203">
        <v>0</v>
      </c>
      <c r="EZ33" s="203">
        <v>0</v>
      </c>
      <c r="FA33" s="203">
        <v>0</v>
      </c>
      <c r="FB33" s="203">
        <v>0</v>
      </c>
      <c r="FC33" s="203">
        <v>0</v>
      </c>
      <c r="FD33" s="203">
        <v>0</v>
      </c>
      <c r="FE33" s="203">
        <v>0</v>
      </c>
      <c r="FF33" s="203">
        <v>0</v>
      </c>
      <c r="FG33" s="203">
        <v>0</v>
      </c>
      <c r="FH33" s="203">
        <v>0</v>
      </c>
      <c r="FI33" s="203">
        <v>0</v>
      </c>
      <c r="FJ33" s="203">
        <v>0</v>
      </c>
      <c r="FK33" s="203">
        <v>0</v>
      </c>
      <c r="FL33" s="203">
        <v>0</v>
      </c>
      <c r="FM33" s="203">
        <v>0</v>
      </c>
      <c r="FN33" s="203">
        <v>0</v>
      </c>
      <c r="FO33" s="203">
        <v>0</v>
      </c>
      <c r="FP33" s="203">
        <v>0</v>
      </c>
      <c r="FQ33" s="203">
        <v>0</v>
      </c>
      <c r="FR33" s="203">
        <v>0</v>
      </c>
      <c r="FS33" s="203">
        <v>0</v>
      </c>
      <c r="FT33" s="203">
        <v>0</v>
      </c>
      <c r="FU33" s="203">
        <v>0</v>
      </c>
      <c r="FV33" s="203">
        <v>0</v>
      </c>
      <c r="FW33" s="203">
        <v>0</v>
      </c>
      <c r="FX33" s="203">
        <v>0</v>
      </c>
      <c r="FY33" s="203">
        <v>0</v>
      </c>
      <c r="FZ33" s="203">
        <v>0</v>
      </c>
      <c r="GA33" s="203">
        <v>0</v>
      </c>
      <c r="GB33" s="203">
        <v>0</v>
      </c>
      <c r="GC33" s="203">
        <v>0</v>
      </c>
      <c r="GD33" s="203">
        <v>0</v>
      </c>
      <c r="GE33" s="203">
        <v>0</v>
      </c>
      <c r="GF33" s="203">
        <v>0</v>
      </c>
      <c r="GG33" s="203">
        <v>0</v>
      </c>
      <c r="GH33" s="203">
        <v>0</v>
      </c>
      <c r="GI33" s="203">
        <v>0</v>
      </c>
      <c r="GJ33" s="203">
        <v>0</v>
      </c>
      <c r="GK33" s="203">
        <v>0</v>
      </c>
      <c r="GL33" s="203">
        <v>0</v>
      </c>
      <c r="GM33" s="203">
        <v>0</v>
      </c>
      <c r="GN33" s="203">
        <v>0</v>
      </c>
      <c r="GO33" s="203">
        <v>0</v>
      </c>
      <c r="GP33" s="203">
        <v>0</v>
      </c>
      <c r="GQ33" s="203">
        <v>0</v>
      </c>
      <c r="GR33" s="203">
        <v>0</v>
      </c>
      <c r="GS33" s="203">
        <v>0</v>
      </c>
      <c r="GT33" s="203">
        <v>0</v>
      </c>
      <c r="GU33" s="203">
        <v>0</v>
      </c>
      <c r="GV33" s="203">
        <v>0</v>
      </c>
      <c r="GW33" s="203"/>
      <c r="GX33" s="203"/>
      <c r="GY33" s="203"/>
      <c r="GZ33" s="203"/>
    </row>
    <row r="34" spans="1:208" ht="14.45">
      <c r="A34" s="176" t="s">
        <v>309</v>
      </c>
      <c r="B34" s="45">
        <v>1.25</v>
      </c>
      <c r="C34" s="96">
        <v>0</v>
      </c>
      <c r="D34" s="96">
        <v>0</v>
      </c>
      <c r="E34" s="96">
        <v>0</v>
      </c>
      <c r="F34" s="96">
        <v>0</v>
      </c>
      <c r="G34" s="173">
        <f t="shared" si="14"/>
        <v>0</v>
      </c>
      <c r="H34" s="203">
        <v>0</v>
      </c>
      <c r="I34" s="203">
        <v>0</v>
      </c>
      <c r="J34" s="203">
        <v>0</v>
      </c>
      <c r="K34" s="203">
        <v>0</v>
      </c>
      <c r="L34" s="203">
        <v>0</v>
      </c>
      <c r="M34" s="203">
        <v>0</v>
      </c>
      <c r="N34" s="203">
        <v>0</v>
      </c>
      <c r="O34" s="203">
        <v>0</v>
      </c>
      <c r="P34" s="203">
        <v>0</v>
      </c>
      <c r="Q34" s="203">
        <v>0</v>
      </c>
      <c r="R34" s="203">
        <v>0</v>
      </c>
      <c r="S34" s="203">
        <v>0</v>
      </c>
      <c r="T34" s="203">
        <v>0</v>
      </c>
      <c r="U34" s="203">
        <v>0</v>
      </c>
      <c r="V34" s="203">
        <v>0</v>
      </c>
      <c r="W34" s="203">
        <v>0</v>
      </c>
      <c r="X34" s="203">
        <v>0</v>
      </c>
      <c r="Y34" s="203">
        <v>0</v>
      </c>
      <c r="Z34" s="203">
        <v>0</v>
      </c>
      <c r="AA34" s="203">
        <v>0</v>
      </c>
      <c r="AB34" s="203">
        <v>0</v>
      </c>
      <c r="AC34" s="203">
        <v>0</v>
      </c>
      <c r="AD34" s="203">
        <v>0</v>
      </c>
      <c r="AE34" s="203">
        <v>0</v>
      </c>
      <c r="AF34" s="203">
        <v>0</v>
      </c>
      <c r="AG34" s="203">
        <v>0</v>
      </c>
      <c r="AH34" s="203">
        <v>0</v>
      </c>
      <c r="AI34" s="203">
        <v>0</v>
      </c>
      <c r="AJ34" s="203">
        <v>0</v>
      </c>
      <c r="AK34" s="203">
        <v>0</v>
      </c>
      <c r="AL34" s="203">
        <v>0</v>
      </c>
      <c r="AM34" s="203">
        <v>0</v>
      </c>
      <c r="AN34" s="203">
        <v>0</v>
      </c>
      <c r="AO34" s="203">
        <v>0</v>
      </c>
      <c r="AP34" s="203">
        <v>0</v>
      </c>
      <c r="AQ34" s="203">
        <v>0</v>
      </c>
      <c r="AR34" s="203">
        <v>0</v>
      </c>
      <c r="AS34" s="203">
        <v>0</v>
      </c>
      <c r="AT34" s="203">
        <v>0</v>
      </c>
      <c r="AU34" s="203">
        <v>0</v>
      </c>
      <c r="AV34" s="203">
        <v>0</v>
      </c>
      <c r="AW34" s="203">
        <v>0</v>
      </c>
      <c r="AX34" s="203">
        <v>0</v>
      </c>
      <c r="AY34" s="203">
        <v>0</v>
      </c>
      <c r="AZ34" s="203">
        <v>0</v>
      </c>
      <c r="BA34" s="203">
        <v>0</v>
      </c>
      <c r="BB34" s="203">
        <v>0</v>
      </c>
      <c r="BC34" s="203">
        <v>0</v>
      </c>
      <c r="BD34" s="203">
        <v>0</v>
      </c>
      <c r="BE34" s="203">
        <v>0</v>
      </c>
      <c r="BF34" s="203">
        <v>0</v>
      </c>
      <c r="BG34" s="203">
        <v>0</v>
      </c>
      <c r="BH34" s="203">
        <v>0</v>
      </c>
      <c r="BI34" s="203">
        <v>0</v>
      </c>
      <c r="BJ34" s="203">
        <v>0</v>
      </c>
      <c r="BK34" s="203">
        <v>0</v>
      </c>
      <c r="BL34" s="203">
        <v>0</v>
      </c>
      <c r="BM34" s="203">
        <v>0</v>
      </c>
      <c r="BN34" s="203">
        <v>0</v>
      </c>
      <c r="BO34" s="203">
        <v>0</v>
      </c>
      <c r="BP34" s="203">
        <v>0</v>
      </c>
      <c r="BQ34" s="203">
        <v>0</v>
      </c>
      <c r="BR34" s="203">
        <v>0</v>
      </c>
      <c r="BS34" s="203">
        <v>0</v>
      </c>
      <c r="BT34" s="203">
        <v>0</v>
      </c>
      <c r="BU34" s="203">
        <v>0</v>
      </c>
      <c r="BV34" s="203">
        <v>0</v>
      </c>
      <c r="BW34" s="203">
        <v>0</v>
      </c>
      <c r="BX34" s="203">
        <v>0</v>
      </c>
      <c r="BY34" s="203">
        <v>0</v>
      </c>
      <c r="BZ34" s="203">
        <v>0</v>
      </c>
      <c r="CA34" s="203">
        <v>0</v>
      </c>
      <c r="CB34" s="203">
        <v>0</v>
      </c>
      <c r="CC34" s="203">
        <v>0</v>
      </c>
      <c r="CD34" s="203">
        <v>0</v>
      </c>
      <c r="CE34" s="203">
        <v>0</v>
      </c>
      <c r="CF34" s="203">
        <v>0</v>
      </c>
      <c r="CG34" s="203">
        <v>0</v>
      </c>
      <c r="CH34" s="203">
        <v>0</v>
      </c>
      <c r="CI34" s="203">
        <v>0</v>
      </c>
      <c r="CJ34" s="203">
        <v>0</v>
      </c>
      <c r="CK34" s="203">
        <v>0</v>
      </c>
      <c r="CL34" s="203">
        <v>0</v>
      </c>
      <c r="CM34" s="203">
        <v>0</v>
      </c>
      <c r="CN34" s="203">
        <v>0</v>
      </c>
      <c r="CO34" s="203">
        <v>0</v>
      </c>
      <c r="CP34" s="203">
        <v>0</v>
      </c>
      <c r="CQ34" s="203">
        <v>0</v>
      </c>
      <c r="CR34" s="203">
        <v>0</v>
      </c>
      <c r="CS34" s="203">
        <v>0</v>
      </c>
      <c r="CT34" s="203">
        <v>0</v>
      </c>
      <c r="CU34" s="203">
        <v>0</v>
      </c>
      <c r="CV34" s="203">
        <v>0</v>
      </c>
      <c r="CW34" s="203">
        <v>0</v>
      </c>
      <c r="CX34" s="203">
        <v>0</v>
      </c>
      <c r="CY34" s="203">
        <v>0</v>
      </c>
      <c r="CZ34" s="203">
        <v>0</v>
      </c>
      <c r="DA34" s="203">
        <v>0</v>
      </c>
      <c r="DB34" s="203">
        <v>0</v>
      </c>
      <c r="DC34" s="203">
        <v>0</v>
      </c>
      <c r="DD34" s="203">
        <v>0</v>
      </c>
      <c r="DE34" s="203">
        <v>0</v>
      </c>
      <c r="DF34" s="203">
        <v>0</v>
      </c>
      <c r="DG34" s="203">
        <v>0</v>
      </c>
      <c r="DH34" s="203">
        <v>0</v>
      </c>
      <c r="DI34" s="203">
        <v>0</v>
      </c>
      <c r="DJ34" s="203">
        <v>0</v>
      </c>
      <c r="DK34" s="203">
        <v>0</v>
      </c>
      <c r="DL34" s="203">
        <v>0</v>
      </c>
      <c r="DM34" s="203">
        <v>0</v>
      </c>
      <c r="DN34" s="203">
        <v>0</v>
      </c>
      <c r="DO34" s="203">
        <v>0</v>
      </c>
      <c r="DP34" s="203">
        <v>0</v>
      </c>
      <c r="DQ34" s="203">
        <v>0</v>
      </c>
      <c r="DR34" s="203">
        <v>0</v>
      </c>
      <c r="DS34" s="203">
        <v>0</v>
      </c>
      <c r="DT34" s="203">
        <v>0</v>
      </c>
      <c r="DU34" s="203">
        <v>0</v>
      </c>
      <c r="DV34" s="203">
        <v>0</v>
      </c>
      <c r="DW34" s="203">
        <v>0</v>
      </c>
      <c r="DX34" s="203">
        <v>0</v>
      </c>
      <c r="DY34" s="203">
        <v>0</v>
      </c>
      <c r="DZ34" s="203">
        <v>0</v>
      </c>
      <c r="EA34" s="203">
        <v>0</v>
      </c>
      <c r="EB34" s="203">
        <v>0</v>
      </c>
      <c r="EC34" s="203">
        <v>0</v>
      </c>
      <c r="ED34" s="203">
        <v>0</v>
      </c>
      <c r="EE34" s="203">
        <v>0</v>
      </c>
      <c r="EF34" s="203">
        <v>0</v>
      </c>
      <c r="EG34" s="203">
        <v>0</v>
      </c>
      <c r="EH34" s="203">
        <v>0</v>
      </c>
      <c r="EI34" s="203">
        <v>0</v>
      </c>
      <c r="EJ34" s="203">
        <v>0</v>
      </c>
      <c r="EK34" s="203">
        <v>0</v>
      </c>
      <c r="EL34" s="203">
        <v>0</v>
      </c>
      <c r="EM34" s="203">
        <v>0</v>
      </c>
      <c r="EN34" s="203">
        <v>0</v>
      </c>
      <c r="EO34" s="203">
        <v>0</v>
      </c>
      <c r="EP34" s="203">
        <v>0</v>
      </c>
      <c r="EQ34" s="203">
        <v>0</v>
      </c>
      <c r="ER34" s="203">
        <v>0</v>
      </c>
      <c r="ES34" s="203">
        <v>0</v>
      </c>
      <c r="ET34" s="203">
        <v>0</v>
      </c>
      <c r="EU34" s="203">
        <v>0</v>
      </c>
      <c r="EV34" s="203">
        <v>0</v>
      </c>
      <c r="EW34" s="203">
        <v>0</v>
      </c>
      <c r="EX34" s="203">
        <v>0</v>
      </c>
      <c r="EY34" s="203">
        <v>0</v>
      </c>
      <c r="EZ34" s="203">
        <v>0</v>
      </c>
      <c r="FA34" s="203">
        <v>0</v>
      </c>
      <c r="FB34" s="203">
        <v>0</v>
      </c>
      <c r="FC34" s="203">
        <v>0</v>
      </c>
      <c r="FD34" s="203">
        <v>0</v>
      </c>
      <c r="FE34" s="203">
        <v>0</v>
      </c>
      <c r="FF34" s="203">
        <v>0</v>
      </c>
      <c r="FG34" s="203">
        <v>0</v>
      </c>
      <c r="FH34" s="203">
        <v>0</v>
      </c>
      <c r="FI34" s="203">
        <v>0</v>
      </c>
      <c r="FJ34" s="203">
        <v>0</v>
      </c>
      <c r="FK34" s="203">
        <v>0</v>
      </c>
      <c r="FL34" s="203">
        <v>0</v>
      </c>
      <c r="FM34" s="203">
        <v>0</v>
      </c>
      <c r="FN34" s="203">
        <v>0</v>
      </c>
      <c r="FO34" s="203">
        <v>0</v>
      </c>
      <c r="FP34" s="203">
        <v>0</v>
      </c>
      <c r="FQ34" s="203">
        <v>0</v>
      </c>
      <c r="FR34" s="203">
        <v>0</v>
      </c>
      <c r="FS34" s="203">
        <v>0</v>
      </c>
      <c r="FT34" s="203">
        <v>0</v>
      </c>
      <c r="FU34" s="203">
        <v>0</v>
      </c>
      <c r="FV34" s="203">
        <v>0</v>
      </c>
      <c r="FW34" s="203">
        <v>0</v>
      </c>
      <c r="FX34" s="203">
        <v>0</v>
      </c>
      <c r="FY34" s="203">
        <v>0</v>
      </c>
      <c r="FZ34" s="203">
        <v>0</v>
      </c>
      <c r="GA34" s="203">
        <v>0</v>
      </c>
      <c r="GB34" s="203">
        <v>0</v>
      </c>
      <c r="GC34" s="203">
        <v>0</v>
      </c>
      <c r="GD34" s="203">
        <v>0</v>
      </c>
      <c r="GE34" s="203">
        <v>0</v>
      </c>
      <c r="GF34" s="203">
        <v>0</v>
      </c>
      <c r="GG34" s="203">
        <v>0</v>
      </c>
      <c r="GH34" s="203">
        <v>0</v>
      </c>
      <c r="GI34" s="203">
        <v>0</v>
      </c>
      <c r="GJ34" s="203">
        <v>0</v>
      </c>
      <c r="GK34" s="203">
        <v>0</v>
      </c>
      <c r="GL34" s="203">
        <v>0</v>
      </c>
      <c r="GM34" s="203">
        <v>0</v>
      </c>
      <c r="GN34" s="203">
        <v>0</v>
      </c>
      <c r="GO34" s="203">
        <v>0</v>
      </c>
      <c r="GP34" s="203">
        <v>0</v>
      </c>
      <c r="GQ34" s="203">
        <v>0</v>
      </c>
      <c r="GR34" s="203">
        <v>0</v>
      </c>
      <c r="GS34" s="203">
        <v>0</v>
      </c>
      <c r="GT34" s="203">
        <v>0</v>
      </c>
      <c r="GU34" s="203">
        <v>0</v>
      </c>
      <c r="GV34" s="203">
        <v>0</v>
      </c>
      <c r="GW34" s="203"/>
      <c r="GX34" s="203"/>
      <c r="GY34" s="203"/>
      <c r="GZ34" s="203"/>
    </row>
    <row r="35" spans="1:208" ht="14.45">
      <c r="A35" s="202" t="s">
        <v>310</v>
      </c>
      <c r="B35" s="88">
        <v>1.25</v>
      </c>
      <c r="C35" s="96">
        <v>0</v>
      </c>
      <c r="D35" s="96">
        <v>0</v>
      </c>
      <c r="E35" s="96">
        <v>0</v>
      </c>
      <c r="F35" s="96">
        <f>G35</f>
        <v>0</v>
      </c>
      <c r="G35" s="173">
        <f t="shared" si="14"/>
        <v>0</v>
      </c>
      <c r="H35" s="203">
        <v>0</v>
      </c>
      <c r="I35" s="203">
        <v>0</v>
      </c>
      <c r="J35" s="203">
        <v>0</v>
      </c>
      <c r="K35" s="203">
        <v>0</v>
      </c>
      <c r="L35" s="203">
        <v>0</v>
      </c>
      <c r="M35" s="203">
        <v>0</v>
      </c>
      <c r="N35" s="203">
        <v>0</v>
      </c>
      <c r="O35" s="203">
        <v>0</v>
      </c>
      <c r="P35" s="203">
        <v>0</v>
      </c>
      <c r="Q35" s="203">
        <v>0</v>
      </c>
      <c r="R35" s="203">
        <v>0</v>
      </c>
      <c r="S35" s="203">
        <v>0</v>
      </c>
      <c r="T35" s="203">
        <v>0</v>
      </c>
      <c r="U35" s="203">
        <v>0</v>
      </c>
      <c r="V35" s="203">
        <v>0</v>
      </c>
      <c r="W35" s="203">
        <v>0</v>
      </c>
      <c r="X35" s="203">
        <v>0</v>
      </c>
      <c r="Y35" s="203">
        <v>0</v>
      </c>
      <c r="Z35" s="203">
        <v>0</v>
      </c>
      <c r="AA35" s="203">
        <v>0</v>
      </c>
      <c r="AB35" s="203">
        <v>0</v>
      </c>
      <c r="AC35" s="203">
        <v>0</v>
      </c>
      <c r="AD35" s="203">
        <v>0</v>
      </c>
      <c r="AE35" s="203">
        <v>0</v>
      </c>
      <c r="AF35" s="203">
        <v>0</v>
      </c>
      <c r="AG35" s="203">
        <v>0</v>
      </c>
      <c r="AH35" s="203">
        <v>0</v>
      </c>
      <c r="AI35" s="203">
        <v>0</v>
      </c>
      <c r="AJ35" s="203">
        <v>0</v>
      </c>
      <c r="AK35" s="203">
        <v>0</v>
      </c>
      <c r="AL35" s="203">
        <v>0</v>
      </c>
      <c r="AM35" s="203">
        <v>0</v>
      </c>
      <c r="AN35" s="203">
        <v>0</v>
      </c>
      <c r="AO35" s="203">
        <v>0</v>
      </c>
      <c r="AP35" s="203">
        <v>0</v>
      </c>
      <c r="AQ35" s="203">
        <v>0</v>
      </c>
      <c r="AR35" s="203">
        <v>0</v>
      </c>
      <c r="AS35" s="203">
        <v>0</v>
      </c>
      <c r="AT35" s="203">
        <v>0</v>
      </c>
      <c r="AU35" s="203">
        <v>0</v>
      </c>
      <c r="AV35" s="203">
        <v>0</v>
      </c>
      <c r="AW35" s="203">
        <v>0</v>
      </c>
      <c r="AX35" s="203">
        <v>0</v>
      </c>
      <c r="AY35" s="203">
        <v>0</v>
      </c>
      <c r="AZ35" s="203">
        <v>0</v>
      </c>
      <c r="BA35" s="203">
        <v>0</v>
      </c>
      <c r="BB35" s="203">
        <v>0</v>
      </c>
      <c r="BC35" s="203">
        <v>0</v>
      </c>
      <c r="BD35" s="203">
        <v>0</v>
      </c>
      <c r="BE35" s="203">
        <v>0</v>
      </c>
      <c r="BF35" s="203">
        <v>0</v>
      </c>
      <c r="BG35" s="203">
        <v>0</v>
      </c>
      <c r="BH35" s="203">
        <v>0</v>
      </c>
      <c r="BI35" s="203">
        <v>0</v>
      </c>
      <c r="BJ35" s="203">
        <v>0</v>
      </c>
      <c r="BK35" s="203">
        <v>0</v>
      </c>
      <c r="BL35" s="203">
        <v>0</v>
      </c>
      <c r="BM35" s="203">
        <v>0</v>
      </c>
      <c r="BN35" s="203">
        <v>0</v>
      </c>
      <c r="BO35" s="203">
        <v>0</v>
      </c>
      <c r="BP35" s="203">
        <v>0</v>
      </c>
      <c r="BQ35" s="203">
        <v>0</v>
      </c>
      <c r="BR35" s="203">
        <v>0</v>
      </c>
      <c r="BS35" s="203">
        <v>0</v>
      </c>
      <c r="BT35" s="203">
        <v>0</v>
      </c>
      <c r="BU35" s="203">
        <v>0</v>
      </c>
      <c r="BV35" s="203">
        <v>0</v>
      </c>
      <c r="BW35" s="203">
        <v>0</v>
      </c>
      <c r="BX35" s="203">
        <v>0</v>
      </c>
      <c r="BY35" s="203">
        <v>0</v>
      </c>
      <c r="BZ35" s="203">
        <v>0</v>
      </c>
      <c r="CA35" s="203">
        <v>0</v>
      </c>
      <c r="CB35" s="203">
        <v>0</v>
      </c>
      <c r="CC35" s="203">
        <v>0</v>
      </c>
      <c r="CD35" s="203">
        <v>0</v>
      </c>
      <c r="CE35" s="203">
        <v>0</v>
      </c>
      <c r="CF35" s="203">
        <v>0</v>
      </c>
      <c r="CG35" s="203">
        <v>0</v>
      </c>
      <c r="CH35" s="203">
        <v>0</v>
      </c>
      <c r="CI35" s="203">
        <v>0</v>
      </c>
      <c r="CJ35" s="203">
        <v>0</v>
      </c>
      <c r="CK35" s="203">
        <v>0</v>
      </c>
      <c r="CL35" s="203">
        <v>0</v>
      </c>
      <c r="CM35" s="203">
        <v>0</v>
      </c>
      <c r="CN35" s="203">
        <v>0</v>
      </c>
      <c r="CO35" s="203">
        <v>0</v>
      </c>
      <c r="CP35" s="203">
        <v>0</v>
      </c>
      <c r="CQ35" s="203">
        <v>0</v>
      </c>
      <c r="CR35" s="203">
        <v>0</v>
      </c>
      <c r="CS35" s="203">
        <v>0</v>
      </c>
      <c r="CT35" s="203">
        <v>0</v>
      </c>
      <c r="CU35" s="203">
        <v>0</v>
      </c>
      <c r="CV35" s="203">
        <v>0</v>
      </c>
      <c r="CW35" s="203">
        <v>0</v>
      </c>
      <c r="CX35" s="203">
        <v>0</v>
      </c>
      <c r="CY35" s="203">
        <v>0</v>
      </c>
      <c r="CZ35" s="203">
        <v>0</v>
      </c>
      <c r="DA35" s="203">
        <v>0</v>
      </c>
      <c r="DB35" s="203">
        <v>0</v>
      </c>
      <c r="DC35" s="203">
        <v>0</v>
      </c>
      <c r="DD35" s="203">
        <v>0</v>
      </c>
      <c r="DE35" s="203">
        <v>0</v>
      </c>
      <c r="DF35" s="203">
        <v>0</v>
      </c>
      <c r="DG35" s="203">
        <v>0</v>
      </c>
      <c r="DH35" s="203">
        <v>0</v>
      </c>
      <c r="DI35" s="203">
        <v>0</v>
      </c>
      <c r="DJ35" s="203">
        <v>0</v>
      </c>
      <c r="DK35" s="203">
        <v>0</v>
      </c>
      <c r="DL35" s="203">
        <v>0</v>
      </c>
      <c r="DM35" s="203">
        <v>0</v>
      </c>
      <c r="DN35" s="203">
        <v>0</v>
      </c>
      <c r="DO35" s="203">
        <v>0</v>
      </c>
      <c r="DP35" s="203">
        <v>0</v>
      </c>
      <c r="DQ35" s="203">
        <v>0</v>
      </c>
      <c r="DR35" s="203">
        <v>0</v>
      </c>
      <c r="DS35" s="203">
        <v>0</v>
      </c>
      <c r="DT35" s="203">
        <v>0</v>
      </c>
      <c r="DU35" s="203">
        <v>0</v>
      </c>
      <c r="DV35" s="203">
        <v>0</v>
      </c>
      <c r="DW35" s="203">
        <v>0</v>
      </c>
      <c r="DX35" s="203">
        <v>0</v>
      </c>
      <c r="DY35" s="203">
        <v>0</v>
      </c>
      <c r="DZ35" s="203">
        <v>0</v>
      </c>
      <c r="EA35" s="203">
        <v>0</v>
      </c>
      <c r="EB35" s="203">
        <v>0</v>
      </c>
      <c r="EC35" s="203">
        <v>0</v>
      </c>
      <c r="ED35" s="203">
        <v>0</v>
      </c>
      <c r="EE35" s="203">
        <v>0</v>
      </c>
      <c r="EF35" s="203">
        <v>0</v>
      </c>
      <c r="EG35" s="203">
        <v>0</v>
      </c>
      <c r="EH35" s="203">
        <v>0</v>
      </c>
      <c r="EI35" s="203">
        <v>0</v>
      </c>
      <c r="EJ35" s="203">
        <v>0</v>
      </c>
      <c r="EK35" s="203">
        <v>0</v>
      </c>
      <c r="EL35" s="203">
        <v>0</v>
      </c>
      <c r="EM35" s="203">
        <v>0</v>
      </c>
      <c r="EN35" s="203">
        <v>0</v>
      </c>
      <c r="EO35" s="203">
        <v>0</v>
      </c>
      <c r="EP35" s="203">
        <v>0</v>
      </c>
      <c r="EQ35" s="203">
        <v>0</v>
      </c>
      <c r="ER35" s="203">
        <v>0</v>
      </c>
      <c r="ES35" s="203">
        <v>0</v>
      </c>
      <c r="ET35" s="203">
        <v>0</v>
      </c>
      <c r="EU35" s="203">
        <v>0</v>
      </c>
      <c r="EV35" s="203">
        <v>0</v>
      </c>
      <c r="EW35" s="203">
        <v>0</v>
      </c>
      <c r="EX35" s="203">
        <v>0</v>
      </c>
      <c r="EY35" s="203">
        <v>0</v>
      </c>
      <c r="EZ35" s="203">
        <v>0</v>
      </c>
      <c r="FA35" s="203">
        <v>0</v>
      </c>
      <c r="FB35" s="203">
        <v>0</v>
      </c>
      <c r="FC35" s="203">
        <v>0</v>
      </c>
      <c r="FD35" s="203">
        <v>0</v>
      </c>
      <c r="FE35" s="203">
        <v>0</v>
      </c>
      <c r="FF35" s="203">
        <v>0</v>
      </c>
      <c r="FG35" s="203">
        <v>0</v>
      </c>
      <c r="FH35" s="203">
        <v>0</v>
      </c>
      <c r="FI35" s="203">
        <v>0</v>
      </c>
      <c r="FJ35" s="203">
        <v>0</v>
      </c>
      <c r="FK35" s="203">
        <v>0</v>
      </c>
      <c r="FL35" s="203">
        <v>0</v>
      </c>
      <c r="FM35" s="203">
        <v>0</v>
      </c>
      <c r="FN35" s="203">
        <v>0</v>
      </c>
      <c r="FO35" s="203">
        <v>0</v>
      </c>
      <c r="FP35" s="203">
        <v>0</v>
      </c>
      <c r="FQ35" s="203">
        <v>0</v>
      </c>
      <c r="FR35" s="203">
        <v>0</v>
      </c>
      <c r="FS35" s="203">
        <v>0</v>
      </c>
      <c r="FT35" s="203">
        <v>0</v>
      </c>
      <c r="FU35" s="203">
        <v>0</v>
      </c>
      <c r="FV35" s="203">
        <v>0</v>
      </c>
      <c r="FW35" s="203">
        <v>0</v>
      </c>
      <c r="FX35" s="203">
        <v>0</v>
      </c>
      <c r="FY35" s="203">
        <v>0</v>
      </c>
      <c r="FZ35" s="203">
        <v>0</v>
      </c>
      <c r="GA35" s="203">
        <v>0</v>
      </c>
      <c r="GB35" s="203">
        <v>0</v>
      </c>
      <c r="GC35" s="203">
        <v>0</v>
      </c>
      <c r="GD35" s="203">
        <v>0</v>
      </c>
      <c r="GE35" s="203">
        <v>0</v>
      </c>
      <c r="GF35" s="203">
        <v>0</v>
      </c>
      <c r="GG35" s="203">
        <v>0</v>
      </c>
      <c r="GH35" s="203">
        <v>0</v>
      </c>
      <c r="GI35" s="203">
        <v>0</v>
      </c>
      <c r="GJ35" s="203">
        <v>0</v>
      </c>
      <c r="GK35" s="203">
        <v>0</v>
      </c>
      <c r="GL35" s="203">
        <v>0</v>
      </c>
      <c r="GM35" s="203">
        <v>0</v>
      </c>
      <c r="GN35" s="203">
        <v>0</v>
      </c>
      <c r="GO35" s="203">
        <v>0</v>
      </c>
      <c r="GP35" s="203">
        <v>0</v>
      </c>
      <c r="GQ35" s="203">
        <v>0</v>
      </c>
      <c r="GR35" s="203">
        <v>0</v>
      </c>
      <c r="GS35" s="203">
        <v>0</v>
      </c>
      <c r="GT35" s="203">
        <v>0</v>
      </c>
      <c r="GU35" s="203">
        <v>0</v>
      </c>
      <c r="GV35" s="203">
        <v>0</v>
      </c>
      <c r="GW35" s="203"/>
      <c r="GX35" s="203"/>
      <c r="GY35" s="203"/>
      <c r="GZ35" s="203"/>
    </row>
    <row r="36" spans="1:208" ht="14.45">
      <c r="A36" s="175" t="s">
        <v>311</v>
      </c>
      <c r="B36" s="88">
        <v>1.5</v>
      </c>
      <c r="C36" s="96">
        <v>0</v>
      </c>
      <c r="D36" s="96">
        <v>0</v>
      </c>
      <c r="E36" s="96">
        <f>G36</f>
        <v>292</v>
      </c>
      <c r="F36" s="96">
        <v>0</v>
      </c>
      <c r="G36" s="173">
        <f t="shared" si="14"/>
        <v>292</v>
      </c>
      <c r="H36" s="203">
        <v>0</v>
      </c>
      <c r="I36" s="203">
        <v>0</v>
      </c>
      <c r="J36" s="203">
        <v>0</v>
      </c>
      <c r="K36" s="203">
        <v>0</v>
      </c>
      <c r="L36" s="203">
        <v>0</v>
      </c>
      <c r="M36" s="203">
        <v>150</v>
      </c>
      <c r="N36" s="203">
        <v>0</v>
      </c>
      <c r="O36" s="203">
        <v>0</v>
      </c>
      <c r="P36" s="203">
        <v>0</v>
      </c>
      <c r="Q36" s="203">
        <v>0</v>
      </c>
      <c r="R36" s="203">
        <v>0</v>
      </c>
      <c r="S36" s="203">
        <v>0</v>
      </c>
      <c r="T36" s="203">
        <v>0</v>
      </c>
      <c r="U36" s="203">
        <v>0</v>
      </c>
      <c r="V36" s="203">
        <v>0</v>
      </c>
      <c r="W36" s="203">
        <v>0</v>
      </c>
      <c r="X36" s="203">
        <v>0</v>
      </c>
      <c r="Y36" s="203">
        <v>0</v>
      </c>
      <c r="Z36" s="203">
        <v>0</v>
      </c>
      <c r="AA36" s="203">
        <v>0</v>
      </c>
      <c r="AB36" s="203">
        <v>0</v>
      </c>
      <c r="AC36" s="203">
        <v>0</v>
      </c>
      <c r="AD36" s="203">
        <v>0</v>
      </c>
      <c r="AE36" s="203">
        <v>0</v>
      </c>
      <c r="AF36" s="203">
        <v>0</v>
      </c>
      <c r="AG36" s="203">
        <v>0</v>
      </c>
      <c r="AH36" s="203">
        <v>0</v>
      </c>
      <c r="AI36" s="203">
        <v>0</v>
      </c>
      <c r="AJ36" s="203">
        <v>0</v>
      </c>
      <c r="AK36" s="203">
        <v>0</v>
      </c>
      <c r="AL36" s="203">
        <v>0</v>
      </c>
      <c r="AM36" s="203">
        <v>0</v>
      </c>
      <c r="AN36" s="203">
        <v>0</v>
      </c>
      <c r="AO36" s="203">
        <v>0</v>
      </c>
      <c r="AP36" s="203">
        <v>0</v>
      </c>
      <c r="AQ36" s="203">
        <v>0</v>
      </c>
      <c r="AR36" s="203">
        <v>0</v>
      </c>
      <c r="AS36" s="203">
        <v>0</v>
      </c>
      <c r="AT36" s="203">
        <v>0</v>
      </c>
      <c r="AU36" s="203">
        <v>0</v>
      </c>
      <c r="AV36" s="203">
        <v>0</v>
      </c>
      <c r="AW36" s="203">
        <v>0</v>
      </c>
      <c r="AX36" s="203">
        <v>0</v>
      </c>
      <c r="AY36" s="203">
        <v>0</v>
      </c>
      <c r="AZ36" s="203">
        <v>0</v>
      </c>
      <c r="BA36" s="203">
        <v>0</v>
      </c>
      <c r="BB36" s="203">
        <v>0</v>
      </c>
      <c r="BC36" s="203">
        <v>0</v>
      </c>
      <c r="BD36" s="203">
        <v>0</v>
      </c>
      <c r="BE36" s="203">
        <v>0</v>
      </c>
      <c r="BF36" s="203">
        <v>0</v>
      </c>
      <c r="BG36" s="203">
        <v>0</v>
      </c>
      <c r="BH36" s="203">
        <v>0</v>
      </c>
      <c r="BI36" s="203">
        <v>0</v>
      </c>
      <c r="BJ36" s="203">
        <v>0</v>
      </c>
      <c r="BK36" s="203">
        <v>0</v>
      </c>
      <c r="BL36" s="203">
        <v>0</v>
      </c>
      <c r="BM36" s="203">
        <v>0</v>
      </c>
      <c r="BN36" s="203">
        <v>0</v>
      </c>
      <c r="BO36" s="203">
        <v>0</v>
      </c>
      <c r="BP36" s="203">
        <v>0</v>
      </c>
      <c r="BQ36" s="203">
        <v>0</v>
      </c>
      <c r="BR36" s="203">
        <v>0</v>
      </c>
      <c r="BS36" s="203">
        <v>0</v>
      </c>
      <c r="BT36" s="203">
        <v>0</v>
      </c>
      <c r="BU36" s="203">
        <v>0</v>
      </c>
      <c r="BV36" s="203">
        <v>0</v>
      </c>
      <c r="BW36" s="203">
        <v>0</v>
      </c>
      <c r="BX36" s="203">
        <v>0</v>
      </c>
      <c r="BY36" s="203">
        <v>0</v>
      </c>
      <c r="BZ36" s="203">
        <v>0</v>
      </c>
      <c r="CA36" s="203">
        <v>0</v>
      </c>
      <c r="CB36" s="203">
        <v>0</v>
      </c>
      <c r="CC36" s="203">
        <v>0</v>
      </c>
      <c r="CD36" s="203">
        <v>0</v>
      </c>
      <c r="CE36" s="203">
        <v>0</v>
      </c>
      <c r="CF36" s="203">
        <v>0</v>
      </c>
      <c r="CG36" s="203">
        <v>0</v>
      </c>
      <c r="CH36" s="203">
        <v>0</v>
      </c>
      <c r="CI36" s="203">
        <v>0</v>
      </c>
      <c r="CJ36" s="203">
        <v>0</v>
      </c>
      <c r="CK36" s="203">
        <v>0</v>
      </c>
      <c r="CL36" s="203">
        <v>0</v>
      </c>
      <c r="CM36" s="203">
        <v>0</v>
      </c>
      <c r="CN36" s="203">
        <v>0</v>
      </c>
      <c r="CO36" s="203">
        <v>0</v>
      </c>
      <c r="CP36" s="203">
        <v>0</v>
      </c>
      <c r="CQ36" s="203">
        <v>0</v>
      </c>
      <c r="CR36" s="203">
        <v>0</v>
      </c>
      <c r="CS36" s="203">
        <v>0</v>
      </c>
      <c r="CT36" s="203">
        <v>0</v>
      </c>
      <c r="CU36" s="203">
        <v>0</v>
      </c>
      <c r="CV36" s="203">
        <v>0</v>
      </c>
      <c r="CW36" s="203">
        <v>0</v>
      </c>
      <c r="CX36" s="203">
        <v>0</v>
      </c>
      <c r="CY36" s="203">
        <v>0</v>
      </c>
      <c r="CZ36" s="203">
        <v>0</v>
      </c>
      <c r="DA36" s="203">
        <v>0</v>
      </c>
      <c r="DB36" s="203">
        <v>0</v>
      </c>
      <c r="DC36" s="203">
        <v>0</v>
      </c>
      <c r="DD36" s="203">
        <v>0</v>
      </c>
      <c r="DE36" s="203">
        <v>0</v>
      </c>
      <c r="DF36" s="203">
        <v>0</v>
      </c>
      <c r="DG36" s="203">
        <v>0</v>
      </c>
      <c r="DH36" s="203">
        <v>0</v>
      </c>
      <c r="DI36" s="203">
        <v>0</v>
      </c>
      <c r="DJ36" s="203">
        <v>0</v>
      </c>
      <c r="DK36" s="203">
        <v>0</v>
      </c>
      <c r="DL36" s="203">
        <v>0</v>
      </c>
      <c r="DM36" s="203">
        <v>0</v>
      </c>
      <c r="DN36" s="203">
        <v>0</v>
      </c>
      <c r="DO36" s="203">
        <v>0</v>
      </c>
      <c r="DP36" s="203">
        <v>0</v>
      </c>
      <c r="DQ36" s="203">
        <v>0</v>
      </c>
      <c r="DR36" s="203">
        <v>0</v>
      </c>
      <c r="DS36" s="203">
        <v>0</v>
      </c>
      <c r="DT36" s="203">
        <v>0</v>
      </c>
      <c r="DU36" s="203">
        <v>0</v>
      </c>
      <c r="DV36" s="203">
        <v>0</v>
      </c>
      <c r="DW36" s="203">
        <v>0</v>
      </c>
      <c r="DX36" s="203">
        <v>0</v>
      </c>
      <c r="DY36" s="203">
        <v>0</v>
      </c>
      <c r="DZ36" s="203">
        <v>0</v>
      </c>
      <c r="EA36" s="203">
        <v>0</v>
      </c>
      <c r="EB36" s="203">
        <v>0</v>
      </c>
      <c r="EC36" s="203">
        <v>0</v>
      </c>
      <c r="ED36" s="203">
        <v>49</v>
      </c>
      <c r="EE36" s="203">
        <v>0</v>
      </c>
      <c r="EF36" s="203">
        <v>0</v>
      </c>
      <c r="EG36" s="203">
        <v>0</v>
      </c>
      <c r="EH36" s="203">
        <v>0</v>
      </c>
      <c r="EI36" s="203">
        <v>0</v>
      </c>
      <c r="EJ36" s="203">
        <v>0</v>
      </c>
      <c r="EK36" s="203">
        <v>0</v>
      </c>
      <c r="EL36" s="203">
        <v>0</v>
      </c>
      <c r="EM36" s="203">
        <v>0</v>
      </c>
      <c r="EN36" s="203">
        <v>0</v>
      </c>
      <c r="EO36" s="203">
        <v>0</v>
      </c>
      <c r="EP36" s="203">
        <v>0</v>
      </c>
      <c r="EQ36" s="203">
        <v>0</v>
      </c>
      <c r="ER36" s="203">
        <v>0</v>
      </c>
      <c r="ES36" s="203">
        <v>0</v>
      </c>
      <c r="ET36" s="203">
        <v>0</v>
      </c>
      <c r="EU36" s="203">
        <v>0</v>
      </c>
      <c r="EV36" s="203">
        <v>0</v>
      </c>
      <c r="EW36" s="203">
        <v>0</v>
      </c>
      <c r="EX36" s="203">
        <v>0</v>
      </c>
      <c r="EY36" s="203">
        <v>0</v>
      </c>
      <c r="EZ36" s="203">
        <v>0</v>
      </c>
      <c r="FA36" s="203">
        <v>0</v>
      </c>
      <c r="FB36" s="203">
        <v>0</v>
      </c>
      <c r="FC36" s="203">
        <v>0</v>
      </c>
      <c r="FD36" s="203">
        <v>0</v>
      </c>
      <c r="FE36" s="203">
        <v>0</v>
      </c>
      <c r="FF36" s="203">
        <v>0</v>
      </c>
      <c r="FG36" s="203">
        <v>0</v>
      </c>
      <c r="FH36" s="203">
        <v>0</v>
      </c>
      <c r="FI36" s="203">
        <v>0</v>
      </c>
      <c r="FJ36" s="203">
        <v>0</v>
      </c>
      <c r="FK36" s="203">
        <v>0</v>
      </c>
      <c r="FL36" s="203">
        <v>0</v>
      </c>
      <c r="FM36" s="203">
        <v>0</v>
      </c>
      <c r="FN36" s="203">
        <v>0</v>
      </c>
      <c r="FO36" s="203">
        <v>0</v>
      </c>
      <c r="FP36" s="203">
        <v>0</v>
      </c>
      <c r="FQ36" s="203">
        <v>0</v>
      </c>
      <c r="FR36" s="203">
        <v>0</v>
      </c>
      <c r="FS36" s="203">
        <v>0</v>
      </c>
      <c r="FT36" s="203">
        <v>0</v>
      </c>
      <c r="FU36" s="203">
        <v>0</v>
      </c>
      <c r="FV36" s="203">
        <v>0</v>
      </c>
      <c r="FW36" s="203">
        <v>0</v>
      </c>
      <c r="FX36" s="203">
        <v>0</v>
      </c>
      <c r="FY36" s="203">
        <v>0</v>
      </c>
      <c r="FZ36" s="203">
        <v>0</v>
      </c>
      <c r="GA36" s="203">
        <v>0</v>
      </c>
      <c r="GB36" s="203">
        <v>0</v>
      </c>
      <c r="GC36" s="203">
        <v>0</v>
      </c>
      <c r="GD36" s="203">
        <v>0</v>
      </c>
      <c r="GE36" s="203">
        <v>0</v>
      </c>
      <c r="GF36" s="203">
        <v>0</v>
      </c>
      <c r="GG36" s="203">
        <v>0</v>
      </c>
      <c r="GH36" s="203">
        <v>0</v>
      </c>
      <c r="GI36" s="203">
        <v>0</v>
      </c>
      <c r="GJ36" s="203">
        <v>0</v>
      </c>
      <c r="GK36" s="203">
        <v>0</v>
      </c>
      <c r="GL36" s="203">
        <v>0</v>
      </c>
      <c r="GM36" s="203">
        <v>0</v>
      </c>
      <c r="GN36" s="203">
        <v>0</v>
      </c>
      <c r="GO36" s="203">
        <v>0</v>
      </c>
      <c r="GP36" s="203">
        <v>0</v>
      </c>
      <c r="GQ36" s="203">
        <v>0</v>
      </c>
      <c r="GR36" s="203">
        <v>93</v>
      </c>
      <c r="GS36" s="203">
        <v>0</v>
      </c>
      <c r="GT36" s="203">
        <v>0</v>
      </c>
      <c r="GU36" s="203">
        <v>0</v>
      </c>
      <c r="GV36" s="203">
        <v>0</v>
      </c>
      <c r="GW36" s="203"/>
      <c r="GX36" s="203"/>
      <c r="GY36" s="203"/>
      <c r="GZ36" s="203"/>
    </row>
    <row r="37" spans="1:208" ht="14.45">
      <c r="A37" s="175" t="s">
        <v>312</v>
      </c>
      <c r="B37" s="45">
        <v>1.25</v>
      </c>
      <c r="C37" s="96">
        <v>0</v>
      </c>
      <c r="D37" s="96">
        <v>0</v>
      </c>
      <c r="E37" s="96">
        <v>0</v>
      </c>
      <c r="F37" s="96">
        <v>0</v>
      </c>
      <c r="G37" s="173">
        <f t="shared" si="14"/>
        <v>0</v>
      </c>
      <c r="H37" s="203">
        <v>0</v>
      </c>
      <c r="I37" s="203">
        <v>0</v>
      </c>
      <c r="J37" s="203">
        <v>0</v>
      </c>
      <c r="K37" s="203">
        <v>0</v>
      </c>
      <c r="L37" s="203">
        <v>0</v>
      </c>
      <c r="M37" s="203">
        <v>0</v>
      </c>
      <c r="N37" s="203">
        <v>0</v>
      </c>
      <c r="O37" s="203">
        <v>0</v>
      </c>
      <c r="P37" s="203">
        <v>0</v>
      </c>
      <c r="Q37" s="203">
        <v>0</v>
      </c>
      <c r="R37" s="203">
        <v>0</v>
      </c>
      <c r="S37" s="203">
        <v>0</v>
      </c>
      <c r="T37" s="203">
        <v>0</v>
      </c>
      <c r="U37" s="203">
        <v>0</v>
      </c>
      <c r="V37" s="203">
        <v>0</v>
      </c>
      <c r="W37" s="203">
        <v>0</v>
      </c>
      <c r="X37" s="203">
        <v>0</v>
      </c>
      <c r="Y37" s="203">
        <v>0</v>
      </c>
      <c r="Z37" s="203">
        <v>0</v>
      </c>
      <c r="AA37" s="203">
        <v>0</v>
      </c>
      <c r="AB37" s="203">
        <v>0</v>
      </c>
      <c r="AC37" s="203">
        <v>0</v>
      </c>
      <c r="AD37" s="203">
        <v>0</v>
      </c>
      <c r="AE37" s="203">
        <v>0</v>
      </c>
      <c r="AF37" s="203">
        <v>0</v>
      </c>
      <c r="AG37" s="203">
        <v>0</v>
      </c>
      <c r="AH37" s="203">
        <v>0</v>
      </c>
      <c r="AI37" s="203">
        <v>0</v>
      </c>
      <c r="AJ37" s="203">
        <v>0</v>
      </c>
      <c r="AK37" s="203">
        <v>0</v>
      </c>
      <c r="AL37" s="203">
        <v>0</v>
      </c>
      <c r="AM37" s="203">
        <v>0</v>
      </c>
      <c r="AN37" s="203">
        <v>0</v>
      </c>
      <c r="AO37" s="203">
        <v>0</v>
      </c>
      <c r="AP37" s="203">
        <v>0</v>
      </c>
      <c r="AQ37" s="203">
        <v>0</v>
      </c>
      <c r="AR37" s="203">
        <v>0</v>
      </c>
      <c r="AS37" s="203">
        <v>0</v>
      </c>
      <c r="AT37" s="203">
        <v>0</v>
      </c>
      <c r="AU37" s="203">
        <v>0</v>
      </c>
      <c r="AV37" s="203">
        <v>0</v>
      </c>
      <c r="AW37" s="203">
        <v>0</v>
      </c>
      <c r="AX37" s="203">
        <v>0</v>
      </c>
      <c r="AY37" s="203">
        <v>0</v>
      </c>
      <c r="AZ37" s="203">
        <v>0</v>
      </c>
      <c r="BA37" s="203">
        <v>0</v>
      </c>
      <c r="BB37" s="203">
        <v>0</v>
      </c>
      <c r="BC37" s="203">
        <v>0</v>
      </c>
      <c r="BD37" s="203">
        <v>0</v>
      </c>
      <c r="BE37" s="203">
        <v>0</v>
      </c>
      <c r="BF37" s="203">
        <v>0</v>
      </c>
      <c r="BG37" s="203">
        <v>0</v>
      </c>
      <c r="BH37" s="203">
        <v>0</v>
      </c>
      <c r="BI37" s="203">
        <v>0</v>
      </c>
      <c r="BJ37" s="203">
        <v>0</v>
      </c>
      <c r="BK37" s="203">
        <v>0</v>
      </c>
      <c r="BL37" s="203">
        <v>0</v>
      </c>
      <c r="BM37" s="203">
        <v>0</v>
      </c>
      <c r="BN37" s="203">
        <v>0</v>
      </c>
      <c r="BO37" s="203">
        <v>0</v>
      </c>
      <c r="BP37" s="203">
        <v>0</v>
      </c>
      <c r="BQ37" s="203">
        <v>0</v>
      </c>
      <c r="BR37" s="203">
        <v>0</v>
      </c>
      <c r="BS37" s="203">
        <v>0</v>
      </c>
      <c r="BT37" s="203">
        <v>0</v>
      </c>
      <c r="BU37" s="203">
        <v>0</v>
      </c>
      <c r="BV37" s="203">
        <v>0</v>
      </c>
      <c r="BW37" s="203">
        <v>0</v>
      </c>
      <c r="BX37" s="203">
        <v>0</v>
      </c>
      <c r="BY37" s="203">
        <v>0</v>
      </c>
      <c r="BZ37" s="203">
        <v>0</v>
      </c>
      <c r="CA37" s="203">
        <v>0</v>
      </c>
      <c r="CB37" s="203">
        <v>0</v>
      </c>
      <c r="CC37" s="203">
        <v>0</v>
      </c>
      <c r="CD37" s="203">
        <v>0</v>
      </c>
      <c r="CE37" s="203">
        <v>0</v>
      </c>
      <c r="CF37" s="203">
        <v>0</v>
      </c>
      <c r="CG37" s="203">
        <v>0</v>
      </c>
      <c r="CH37" s="203">
        <v>0</v>
      </c>
      <c r="CI37" s="203">
        <v>0</v>
      </c>
      <c r="CJ37" s="203">
        <v>0</v>
      </c>
      <c r="CK37" s="203">
        <v>0</v>
      </c>
      <c r="CL37" s="203">
        <v>0</v>
      </c>
      <c r="CM37" s="203">
        <v>0</v>
      </c>
      <c r="CN37" s="203">
        <v>0</v>
      </c>
      <c r="CO37" s="203">
        <v>0</v>
      </c>
      <c r="CP37" s="203">
        <v>0</v>
      </c>
      <c r="CQ37" s="203">
        <v>0</v>
      </c>
      <c r="CR37" s="203">
        <v>0</v>
      </c>
      <c r="CS37" s="203">
        <v>0</v>
      </c>
      <c r="CT37" s="203">
        <v>0</v>
      </c>
      <c r="CU37" s="203">
        <v>0</v>
      </c>
      <c r="CV37" s="203">
        <v>0</v>
      </c>
      <c r="CW37" s="203">
        <v>0</v>
      </c>
      <c r="CX37" s="203">
        <v>0</v>
      </c>
      <c r="CY37" s="203">
        <v>0</v>
      </c>
      <c r="CZ37" s="203">
        <v>0</v>
      </c>
      <c r="DA37" s="203">
        <v>0</v>
      </c>
      <c r="DB37" s="203">
        <v>0</v>
      </c>
      <c r="DC37" s="203">
        <v>0</v>
      </c>
      <c r="DD37" s="203">
        <v>0</v>
      </c>
      <c r="DE37" s="203">
        <v>0</v>
      </c>
      <c r="DF37" s="203">
        <v>0</v>
      </c>
      <c r="DG37" s="203">
        <v>0</v>
      </c>
      <c r="DH37" s="203">
        <v>0</v>
      </c>
      <c r="DI37" s="203">
        <v>0</v>
      </c>
      <c r="DJ37" s="203">
        <v>0</v>
      </c>
      <c r="DK37" s="203">
        <v>0</v>
      </c>
      <c r="DL37" s="203">
        <v>0</v>
      </c>
      <c r="DM37" s="203">
        <v>0</v>
      </c>
      <c r="DN37" s="203">
        <v>0</v>
      </c>
      <c r="DO37" s="203">
        <v>0</v>
      </c>
      <c r="DP37" s="203">
        <v>0</v>
      </c>
      <c r="DQ37" s="203">
        <v>0</v>
      </c>
      <c r="DR37" s="203">
        <v>0</v>
      </c>
      <c r="DS37" s="203">
        <v>0</v>
      </c>
      <c r="DT37" s="203">
        <v>0</v>
      </c>
      <c r="DU37" s="203">
        <v>0</v>
      </c>
      <c r="DV37" s="203">
        <v>0</v>
      </c>
      <c r="DW37" s="203">
        <v>0</v>
      </c>
      <c r="DX37" s="203">
        <v>0</v>
      </c>
      <c r="DY37" s="203">
        <v>0</v>
      </c>
      <c r="DZ37" s="203">
        <v>0</v>
      </c>
      <c r="EA37" s="203">
        <v>0</v>
      </c>
      <c r="EB37" s="203">
        <v>0</v>
      </c>
      <c r="EC37" s="203">
        <v>0</v>
      </c>
      <c r="ED37" s="203">
        <v>0</v>
      </c>
      <c r="EE37" s="203">
        <v>0</v>
      </c>
      <c r="EF37" s="203">
        <v>0</v>
      </c>
      <c r="EG37" s="203">
        <v>0</v>
      </c>
      <c r="EH37" s="203">
        <v>0</v>
      </c>
      <c r="EI37" s="203">
        <v>0</v>
      </c>
      <c r="EJ37" s="203">
        <v>0</v>
      </c>
      <c r="EK37" s="203">
        <v>0</v>
      </c>
      <c r="EL37" s="203">
        <v>0</v>
      </c>
      <c r="EM37" s="203">
        <v>0</v>
      </c>
      <c r="EN37" s="203">
        <v>0</v>
      </c>
      <c r="EO37" s="203">
        <v>0</v>
      </c>
      <c r="EP37" s="203">
        <v>0</v>
      </c>
      <c r="EQ37" s="203">
        <v>0</v>
      </c>
      <c r="ER37" s="203">
        <v>0</v>
      </c>
      <c r="ES37" s="203">
        <v>0</v>
      </c>
      <c r="ET37" s="203">
        <v>0</v>
      </c>
      <c r="EU37" s="203">
        <v>0</v>
      </c>
      <c r="EV37" s="203">
        <v>0</v>
      </c>
      <c r="EW37" s="203">
        <v>0</v>
      </c>
      <c r="EX37" s="203">
        <v>0</v>
      </c>
      <c r="EY37" s="203">
        <v>0</v>
      </c>
      <c r="EZ37" s="203">
        <v>0</v>
      </c>
      <c r="FA37" s="203">
        <v>0</v>
      </c>
      <c r="FB37" s="203">
        <v>0</v>
      </c>
      <c r="FC37" s="203">
        <v>0</v>
      </c>
      <c r="FD37" s="203">
        <v>0</v>
      </c>
      <c r="FE37" s="203">
        <v>0</v>
      </c>
      <c r="FF37" s="203">
        <v>0</v>
      </c>
      <c r="FG37" s="203">
        <v>0</v>
      </c>
      <c r="FH37" s="203">
        <v>0</v>
      </c>
      <c r="FI37" s="203">
        <v>0</v>
      </c>
      <c r="FJ37" s="203">
        <v>0</v>
      </c>
      <c r="FK37" s="203">
        <v>0</v>
      </c>
      <c r="FL37" s="203">
        <v>0</v>
      </c>
      <c r="FM37" s="203">
        <v>0</v>
      </c>
      <c r="FN37" s="203">
        <v>0</v>
      </c>
      <c r="FO37" s="203">
        <v>0</v>
      </c>
      <c r="FP37" s="203">
        <v>0</v>
      </c>
      <c r="FQ37" s="203">
        <v>0</v>
      </c>
      <c r="FR37" s="203">
        <v>0</v>
      </c>
      <c r="FS37" s="203">
        <v>0</v>
      </c>
      <c r="FT37" s="203">
        <v>0</v>
      </c>
      <c r="FU37" s="203">
        <v>0</v>
      </c>
      <c r="FV37" s="203">
        <v>0</v>
      </c>
      <c r="FW37" s="203">
        <v>0</v>
      </c>
      <c r="FX37" s="203">
        <v>0</v>
      </c>
      <c r="FY37" s="203">
        <v>0</v>
      </c>
      <c r="FZ37" s="203">
        <v>0</v>
      </c>
      <c r="GA37" s="203">
        <v>0</v>
      </c>
      <c r="GB37" s="203">
        <v>0</v>
      </c>
      <c r="GC37" s="203">
        <v>0</v>
      </c>
      <c r="GD37" s="203">
        <v>0</v>
      </c>
      <c r="GE37" s="203">
        <v>0</v>
      </c>
      <c r="GF37" s="203">
        <v>0</v>
      </c>
      <c r="GG37" s="203">
        <v>0</v>
      </c>
      <c r="GH37" s="203">
        <v>0</v>
      </c>
      <c r="GI37" s="203">
        <v>0</v>
      </c>
      <c r="GJ37" s="203">
        <v>0</v>
      </c>
      <c r="GK37" s="203">
        <v>0</v>
      </c>
      <c r="GL37" s="203">
        <v>0</v>
      </c>
      <c r="GM37" s="203">
        <v>0</v>
      </c>
      <c r="GN37" s="203">
        <v>0</v>
      </c>
      <c r="GO37" s="203">
        <v>0</v>
      </c>
      <c r="GP37" s="203">
        <v>0</v>
      </c>
      <c r="GQ37" s="203">
        <v>0</v>
      </c>
      <c r="GR37" s="203">
        <v>0</v>
      </c>
      <c r="GS37" s="203">
        <v>0</v>
      </c>
      <c r="GT37" s="203">
        <v>0</v>
      </c>
      <c r="GU37" s="203">
        <v>0</v>
      </c>
      <c r="GV37" s="203">
        <v>0</v>
      </c>
      <c r="GW37" s="203"/>
      <c r="GX37" s="203"/>
      <c r="GY37" s="203"/>
      <c r="GZ37" s="203"/>
    </row>
    <row r="38" spans="1:208" ht="14.45">
      <c r="A38" s="175" t="s">
        <v>313</v>
      </c>
      <c r="B38" s="45">
        <v>1.25</v>
      </c>
      <c r="C38" s="96">
        <v>0</v>
      </c>
      <c r="D38" s="96">
        <v>0</v>
      </c>
      <c r="E38" s="96">
        <v>0</v>
      </c>
      <c r="F38" s="96">
        <f>G38</f>
        <v>0</v>
      </c>
      <c r="G38" s="173">
        <f t="shared" si="14"/>
        <v>0</v>
      </c>
      <c r="H38" s="203">
        <v>0</v>
      </c>
      <c r="I38" s="203">
        <v>0</v>
      </c>
      <c r="J38" s="203">
        <v>0</v>
      </c>
      <c r="K38" s="203">
        <v>0</v>
      </c>
      <c r="L38" s="203">
        <v>0</v>
      </c>
      <c r="M38" s="203">
        <v>0</v>
      </c>
      <c r="N38" s="203">
        <v>0</v>
      </c>
      <c r="O38" s="203">
        <v>0</v>
      </c>
      <c r="P38" s="203">
        <v>0</v>
      </c>
      <c r="Q38" s="203">
        <v>0</v>
      </c>
      <c r="R38" s="203">
        <v>0</v>
      </c>
      <c r="S38" s="203">
        <v>0</v>
      </c>
      <c r="T38" s="203">
        <v>0</v>
      </c>
      <c r="U38" s="203">
        <v>0</v>
      </c>
      <c r="V38" s="203">
        <v>0</v>
      </c>
      <c r="W38" s="203">
        <v>0</v>
      </c>
      <c r="X38" s="203">
        <v>0</v>
      </c>
      <c r="Y38" s="203">
        <v>0</v>
      </c>
      <c r="Z38" s="203">
        <v>0</v>
      </c>
      <c r="AA38" s="203">
        <v>0</v>
      </c>
      <c r="AB38" s="203">
        <v>0</v>
      </c>
      <c r="AC38" s="203">
        <v>0</v>
      </c>
      <c r="AD38" s="203">
        <v>0</v>
      </c>
      <c r="AE38" s="203">
        <v>0</v>
      </c>
      <c r="AF38" s="203">
        <v>0</v>
      </c>
      <c r="AG38" s="203">
        <v>0</v>
      </c>
      <c r="AH38" s="203">
        <v>0</v>
      </c>
      <c r="AI38" s="203">
        <v>0</v>
      </c>
      <c r="AJ38" s="203">
        <v>0</v>
      </c>
      <c r="AK38" s="203">
        <v>0</v>
      </c>
      <c r="AL38" s="203">
        <v>0</v>
      </c>
      <c r="AM38" s="203">
        <v>0</v>
      </c>
      <c r="AN38" s="203">
        <v>0</v>
      </c>
      <c r="AO38" s="203">
        <v>0</v>
      </c>
      <c r="AP38" s="203">
        <v>0</v>
      </c>
      <c r="AQ38" s="203">
        <v>0</v>
      </c>
      <c r="AR38" s="203">
        <v>0</v>
      </c>
      <c r="AS38" s="203">
        <v>0</v>
      </c>
      <c r="AT38" s="203">
        <v>0</v>
      </c>
      <c r="AU38" s="203">
        <v>0</v>
      </c>
      <c r="AV38" s="203">
        <v>0</v>
      </c>
      <c r="AW38" s="203">
        <v>0</v>
      </c>
      <c r="AX38" s="203">
        <v>0</v>
      </c>
      <c r="AY38" s="203">
        <v>0</v>
      </c>
      <c r="AZ38" s="203">
        <v>0</v>
      </c>
      <c r="BA38" s="203">
        <v>0</v>
      </c>
      <c r="BB38" s="203">
        <v>0</v>
      </c>
      <c r="BC38" s="203">
        <v>0</v>
      </c>
      <c r="BD38" s="203">
        <v>0</v>
      </c>
      <c r="BE38" s="203">
        <v>0</v>
      </c>
      <c r="BF38" s="203">
        <v>0</v>
      </c>
      <c r="BG38" s="203">
        <v>0</v>
      </c>
      <c r="BH38" s="203">
        <v>0</v>
      </c>
      <c r="BI38" s="203">
        <v>0</v>
      </c>
      <c r="BJ38" s="203">
        <v>0</v>
      </c>
      <c r="BK38" s="203">
        <v>0</v>
      </c>
      <c r="BL38" s="203">
        <v>0</v>
      </c>
      <c r="BM38" s="203">
        <v>0</v>
      </c>
      <c r="BN38" s="203">
        <v>0</v>
      </c>
      <c r="BO38" s="203">
        <v>0</v>
      </c>
      <c r="BP38" s="203">
        <v>0</v>
      </c>
      <c r="BQ38" s="203">
        <v>0</v>
      </c>
      <c r="BR38" s="203">
        <v>0</v>
      </c>
      <c r="BS38" s="203">
        <v>0</v>
      </c>
      <c r="BT38" s="203">
        <v>0</v>
      </c>
      <c r="BU38" s="203">
        <v>0</v>
      </c>
      <c r="BV38" s="203">
        <v>0</v>
      </c>
      <c r="BW38" s="203">
        <v>0</v>
      </c>
      <c r="BX38" s="203">
        <v>0</v>
      </c>
      <c r="BY38" s="203">
        <v>0</v>
      </c>
      <c r="BZ38" s="203">
        <v>0</v>
      </c>
      <c r="CA38" s="203">
        <v>0</v>
      </c>
      <c r="CB38" s="203">
        <v>0</v>
      </c>
      <c r="CC38" s="203">
        <v>0</v>
      </c>
      <c r="CD38" s="203">
        <v>0</v>
      </c>
      <c r="CE38" s="203">
        <v>0</v>
      </c>
      <c r="CF38" s="203">
        <v>0</v>
      </c>
      <c r="CG38" s="203">
        <v>0</v>
      </c>
      <c r="CH38" s="203">
        <v>0</v>
      </c>
      <c r="CI38" s="203">
        <v>0</v>
      </c>
      <c r="CJ38" s="203">
        <v>0</v>
      </c>
      <c r="CK38" s="203">
        <v>0</v>
      </c>
      <c r="CL38" s="203">
        <v>0</v>
      </c>
      <c r="CM38" s="203">
        <v>0</v>
      </c>
      <c r="CN38" s="203">
        <v>0</v>
      </c>
      <c r="CO38" s="203">
        <v>0</v>
      </c>
      <c r="CP38" s="203">
        <v>0</v>
      </c>
      <c r="CQ38" s="203">
        <v>0</v>
      </c>
      <c r="CR38" s="203">
        <v>0</v>
      </c>
      <c r="CS38" s="203">
        <v>0</v>
      </c>
      <c r="CT38" s="203">
        <v>0</v>
      </c>
      <c r="CU38" s="203">
        <v>0</v>
      </c>
      <c r="CV38" s="203">
        <v>0</v>
      </c>
      <c r="CW38" s="203">
        <v>0</v>
      </c>
      <c r="CX38" s="203">
        <v>0</v>
      </c>
      <c r="CY38" s="203">
        <v>0</v>
      </c>
      <c r="CZ38" s="203">
        <v>0</v>
      </c>
      <c r="DA38" s="203">
        <v>0</v>
      </c>
      <c r="DB38" s="203">
        <v>0</v>
      </c>
      <c r="DC38" s="203">
        <v>0</v>
      </c>
      <c r="DD38" s="203">
        <v>0</v>
      </c>
      <c r="DE38" s="203">
        <v>0</v>
      </c>
      <c r="DF38" s="203">
        <v>0</v>
      </c>
      <c r="DG38" s="203">
        <v>0</v>
      </c>
      <c r="DH38" s="203">
        <v>0</v>
      </c>
      <c r="DI38" s="203">
        <v>0</v>
      </c>
      <c r="DJ38" s="203">
        <v>0</v>
      </c>
      <c r="DK38" s="203">
        <v>0</v>
      </c>
      <c r="DL38" s="203">
        <v>0</v>
      </c>
      <c r="DM38" s="203">
        <v>0</v>
      </c>
      <c r="DN38" s="203">
        <v>0</v>
      </c>
      <c r="DO38" s="203">
        <v>0</v>
      </c>
      <c r="DP38" s="203">
        <v>0</v>
      </c>
      <c r="DQ38" s="203">
        <v>0</v>
      </c>
      <c r="DR38" s="203">
        <v>0</v>
      </c>
      <c r="DS38" s="203">
        <v>0</v>
      </c>
      <c r="DT38" s="203">
        <v>0</v>
      </c>
      <c r="DU38" s="203">
        <v>0</v>
      </c>
      <c r="DV38" s="203">
        <v>0</v>
      </c>
      <c r="DW38" s="203">
        <v>0</v>
      </c>
      <c r="DX38" s="203">
        <v>0</v>
      </c>
      <c r="DY38" s="203">
        <v>0</v>
      </c>
      <c r="DZ38" s="203">
        <v>0</v>
      </c>
      <c r="EA38" s="203">
        <v>0</v>
      </c>
      <c r="EB38" s="203">
        <v>0</v>
      </c>
      <c r="EC38" s="203">
        <v>0</v>
      </c>
      <c r="ED38" s="203">
        <v>0</v>
      </c>
      <c r="EE38" s="203">
        <v>0</v>
      </c>
      <c r="EF38" s="203">
        <v>0</v>
      </c>
      <c r="EG38" s="203">
        <v>0</v>
      </c>
      <c r="EH38" s="203">
        <v>0</v>
      </c>
      <c r="EI38" s="203">
        <v>0</v>
      </c>
      <c r="EJ38" s="203">
        <v>0</v>
      </c>
      <c r="EK38" s="203">
        <v>0</v>
      </c>
      <c r="EL38" s="203">
        <v>0</v>
      </c>
      <c r="EM38" s="203">
        <v>0</v>
      </c>
      <c r="EN38" s="203">
        <v>0</v>
      </c>
      <c r="EO38" s="203">
        <v>0</v>
      </c>
      <c r="EP38" s="203">
        <v>0</v>
      </c>
      <c r="EQ38" s="203">
        <v>0</v>
      </c>
      <c r="ER38" s="203">
        <v>0</v>
      </c>
      <c r="ES38" s="203">
        <v>0</v>
      </c>
      <c r="ET38" s="203">
        <v>0</v>
      </c>
      <c r="EU38" s="203">
        <v>0</v>
      </c>
      <c r="EV38" s="203">
        <v>0</v>
      </c>
      <c r="EW38" s="203">
        <v>0</v>
      </c>
      <c r="EX38" s="203">
        <v>0</v>
      </c>
      <c r="EY38" s="203">
        <v>0</v>
      </c>
      <c r="EZ38" s="203">
        <v>0</v>
      </c>
      <c r="FA38" s="203">
        <v>0</v>
      </c>
      <c r="FB38" s="203">
        <v>0</v>
      </c>
      <c r="FC38" s="203">
        <v>0</v>
      </c>
      <c r="FD38" s="203">
        <v>0</v>
      </c>
      <c r="FE38" s="203">
        <v>0</v>
      </c>
      <c r="FF38" s="203">
        <v>0</v>
      </c>
      <c r="FG38" s="203">
        <v>0</v>
      </c>
      <c r="FH38" s="203">
        <v>0</v>
      </c>
      <c r="FI38" s="203">
        <v>0</v>
      </c>
      <c r="FJ38" s="203">
        <v>0</v>
      </c>
      <c r="FK38" s="203">
        <v>0</v>
      </c>
      <c r="FL38" s="203">
        <v>0</v>
      </c>
      <c r="FM38" s="203">
        <v>0</v>
      </c>
      <c r="FN38" s="203">
        <v>0</v>
      </c>
      <c r="FO38" s="203">
        <v>0</v>
      </c>
      <c r="FP38" s="203">
        <v>0</v>
      </c>
      <c r="FQ38" s="203">
        <v>0</v>
      </c>
      <c r="FR38" s="203">
        <v>0</v>
      </c>
      <c r="FS38" s="203">
        <v>0</v>
      </c>
      <c r="FT38" s="203">
        <v>0</v>
      </c>
      <c r="FU38" s="203">
        <v>0</v>
      </c>
      <c r="FV38" s="203">
        <v>0</v>
      </c>
      <c r="FW38" s="203">
        <v>0</v>
      </c>
      <c r="FX38" s="203">
        <v>0</v>
      </c>
      <c r="FY38" s="203">
        <v>0</v>
      </c>
      <c r="FZ38" s="203">
        <v>0</v>
      </c>
      <c r="GA38" s="203">
        <v>0</v>
      </c>
      <c r="GB38" s="203">
        <v>0</v>
      </c>
      <c r="GC38" s="203">
        <v>0</v>
      </c>
      <c r="GD38" s="203">
        <v>0</v>
      </c>
      <c r="GE38" s="203">
        <v>0</v>
      </c>
      <c r="GF38" s="203">
        <v>0</v>
      </c>
      <c r="GG38" s="203">
        <v>0</v>
      </c>
      <c r="GH38" s="203">
        <v>0</v>
      </c>
      <c r="GI38" s="203">
        <v>0</v>
      </c>
      <c r="GJ38" s="203">
        <v>0</v>
      </c>
      <c r="GK38" s="203">
        <v>0</v>
      </c>
      <c r="GL38" s="203">
        <v>0</v>
      </c>
      <c r="GM38" s="203">
        <v>0</v>
      </c>
      <c r="GN38" s="203">
        <v>0</v>
      </c>
      <c r="GO38" s="203">
        <v>0</v>
      </c>
      <c r="GP38" s="203">
        <v>0</v>
      </c>
      <c r="GQ38" s="203">
        <v>0</v>
      </c>
      <c r="GR38" s="203">
        <v>0</v>
      </c>
      <c r="GS38" s="203">
        <v>0</v>
      </c>
      <c r="GT38" s="203">
        <v>0</v>
      </c>
      <c r="GU38" s="203">
        <v>0</v>
      </c>
      <c r="GV38" s="203">
        <v>0</v>
      </c>
      <c r="GW38" s="203"/>
      <c r="GX38" s="203"/>
      <c r="GY38" s="203"/>
      <c r="GZ38" s="203"/>
    </row>
    <row r="39" spans="1:208" ht="14.45">
      <c r="A39" s="175" t="s">
        <v>314</v>
      </c>
      <c r="B39" s="45">
        <v>1.25</v>
      </c>
      <c r="C39" s="96">
        <f>G39</f>
        <v>0</v>
      </c>
      <c r="D39" s="96">
        <v>0</v>
      </c>
      <c r="E39" s="96">
        <v>0</v>
      </c>
      <c r="F39" s="96">
        <v>0</v>
      </c>
      <c r="G39" s="173">
        <f t="shared" si="14"/>
        <v>0</v>
      </c>
      <c r="H39" s="203">
        <v>0</v>
      </c>
      <c r="I39" s="203">
        <v>0</v>
      </c>
      <c r="J39" s="203">
        <v>0</v>
      </c>
      <c r="K39" s="203">
        <v>0</v>
      </c>
      <c r="L39" s="203">
        <v>0</v>
      </c>
      <c r="M39" s="203">
        <v>0</v>
      </c>
      <c r="N39" s="203">
        <v>0</v>
      </c>
      <c r="O39" s="203">
        <v>0</v>
      </c>
      <c r="P39" s="203">
        <v>0</v>
      </c>
      <c r="Q39" s="203">
        <v>0</v>
      </c>
      <c r="R39" s="203">
        <v>0</v>
      </c>
      <c r="S39" s="203">
        <v>0</v>
      </c>
      <c r="T39" s="203">
        <v>0</v>
      </c>
      <c r="U39" s="203">
        <v>0</v>
      </c>
      <c r="V39" s="203">
        <v>0</v>
      </c>
      <c r="W39" s="203">
        <v>0</v>
      </c>
      <c r="X39" s="203">
        <v>0</v>
      </c>
      <c r="Y39" s="203">
        <v>0</v>
      </c>
      <c r="Z39" s="203">
        <v>0</v>
      </c>
      <c r="AA39" s="203">
        <v>0</v>
      </c>
      <c r="AB39" s="203">
        <v>0</v>
      </c>
      <c r="AC39" s="203">
        <v>0</v>
      </c>
      <c r="AD39" s="203">
        <v>0</v>
      </c>
      <c r="AE39" s="203">
        <v>0</v>
      </c>
      <c r="AF39" s="203">
        <v>0</v>
      </c>
      <c r="AG39" s="203">
        <v>0</v>
      </c>
      <c r="AH39" s="203">
        <v>0</v>
      </c>
      <c r="AI39" s="203">
        <v>0</v>
      </c>
      <c r="AJ39" s="203">
        <v>0</v>
      </c>
      <c r="AK39" s="203">
        <v>0</v>
      </c>
      <c r="AL39" s="203">
        <v>0</v>
      </c>
      <c r="AM39" s="203">
        <v>0</v>
      </c>
      <c r="AN39" s="203">
        <v>0</v>
      </c>
      <c r="AO39" s="203">
        <v>0</v>
      </c>
      <c r="AP39" s="203">
        <v>0</v>
      </c>
      <c r="AQ39" s="203">
        <v>0</v>
      </c>
      <c r="AR39" s="203">
        <v>0</v>
      </c>
      <c r="AS39" s="203">
        <v>0</v>
      </c>
      <c r="AT39" s="203">
        <v>0</v>
      </c>
      <c r="AU39" s="203">
        <v>0</v>
      </c>
      <c r="AV39" s="203">
        <v>0</v>
      </c>
      <c r="AW39" s="203">
        <v>0</v>
      </c>
      <c r="AX39" s="203">
        <v>0</v>
      </c>
      <c r="AY39" s="203">
        <v>0</v>
      </c>
      <c r="AZ39" s="203">
        <v>0</v>
      </c>
      <c r="BA39" s="203">
        <v>0</v>
      </c>
      <c r="BB39" s="203">
        <v>0</v>
      </c>
      <c r="BC39" s="203">
        <v>0</v>
      </c>
      <c r="BD39" s="203">
        <v>0</v>
      </c>
      <c r="BE39" s="203">
        <v>0</v>
      </c>
      <c r="BF39" s="203">
        <v>0</v>
      </c>
      <c r="BG39" s="203">
        <v>0</v>
      </c>
      <c r="BH39" s="203">
        <v>0</v>
      </c>
      <c r="BI39" s="203">
        <v>0</v>
      </c>
      <c r="BJ39" s="203">
        <v>0</v>
      </c>
      <c r="BK39" s="203">
        <v>0</v>
      </c>
      <c r="BL39" s="203">
        <v>0</v>
      </c>
      <c r="BM39" s="203">
        <v>0</v>
      </c>
      <c r="BN39" s="203">
        <v>0</v>
      </c>
      <c r="BO39" s="203">
        <v>0</v>
      </c>
      <c r="BP39" s="203">
        <v>0</v>
      </c>
      <c r="BQ39" s="203">
        <v>0</v>
      </c>
      <c r="BR39" s="203">
        <v>0</v>
      </c>
      <c r="BS39" s="203">
        <v>0</v>
      </c>
      <c r="BT39" s="203">
        <v>0</v>
      </c>
      <c r="BU39" s="203">
        <v>0</v>
      </c>
      <c r="BV39" s="203">
        <v>0</v>
      </c>
      <c r="BW39" s="203">
        <v>0</v>
      </c>
      <c r="BX39" s="203">
        <v>0</v>
      </c>
      <c r="BY39" s="203">
        <v>0</v>
      </c>
      <c r="BZ39" s="203">
        <v>0</v>
      </c>
      <c r="CA39" s="203">
        <v>0</v>
      </c>
      <c r="CB39" s="203">
        <v>0</v>
      </c>
      <c r="CC39" s="203">
        <v>0</v>
      </c>
      <c r="CD39" s="203">
        <v>0</v>
      </c>
      <c r="CE39" s="203">
        <v>0</v>
      </c>
      <c r="CF39" s="203">
        <v>0</v>
      </c>
      <c r="CG39" s="203">
        <v>0</v>
      </c>
      <c r="CH39" s="203">
        <v>0</v>
      </c>
      <c r="CI39" s="203">
        <v>0</v>
      </c>
      <c r="CJ39" s="203">
        <v>0</v>
      </c>
      <c r="CK39" s="203">
        <v>0</v>
      </c>
      <c r="CL39" s="203">
        <v>0</v>
      </c>
      <c r="CM39" s="203">
        <v>0</v>
      </c>
      <c r="CN39" s="203">
        <v>0</v>
      </c>
      <c r="CO39" s="203">
        <v>0</v>
      </c>
      <c r="CP39" s="203">
        <v>0</v>
      </c>
      <c r="CQ39" s="203">
        <v>0</v>
      </c>
      <c r="CR39" s="203">
        <v>0</v>
      </c>
      <c r="CS39" s="203">
        <v>0</v>
      </c>
      <c r="CT39" s="203">
        <v>0</v>
      </c>
      <c r="CU39" s="203">
        <v>0</v>
      </c>
      <c r="CV39" s="203">
        <v>0</v>
      </c>
      <c r="CW39" s="203">
        <v>0</v>
      </c>
      <c r="CX39" s="203">
        <v>0</v>
      </c>
      <c r="CY39" s="203">
        <v>0</v>
      </c>
      <c r="CZ39" s="203">
        <v>0</v>
      </c>
      <c r="DA39" s="203">
        <v>0</v>
      </c>
      <c r="DB39" s="203">
        <v>0</v>
      </c>
      <c r="DC39" s="203">
        <v>0</v>
      </c>
      <c r="DD39" s="203">
        <v>0</v>
      </c>
      <c r="DE39" s="203">
        <v>0</v>
      </c>
      <c r="DF39" s="203">
        <v>0</v>
      </c>
      <c r="DG39" s="203">
        <v>0</v>
      </c>
      <c r="DH39" s="203">
        <v>0</v>
      </c>
      <c r="DI39" s="203">
        <v>0</v>
      </c>
      <c r="DJ39" s="203">
        <v>0</v>
      </c>
      <c r="DK39" s="203">
        <v>0</v>
      </c>
      <c r="DL39" s="203">
        <v>0</v>
      </c>
      <c r="DM39" s="203">
        <v>0</v>
      </c>
      <c r="DN39" s="203">
        <v>0</v>
      </c>
      <c r="DO39" s="203">
        <v>0</v>
      </c>
      <c r="DP39" s="203">
        <v>0</v>
      </c>
      <c r="DQ39" s="203">
        <v>0</v>
      </c>
      <c r="DR39" s="203">
        <v>0</v>
      </c>
      <c r="DS39" s="203">
        <v>0</v>
      </c>
      <c r="DT39" s="203">
        <v>0</v>
      </c>
      <c r="DU39" s="203">
        <v>0</v>
      </c>
      <c r="DV39" s="203">
        <v>0</v>
      </c>
      <c r="DW39" s="203">
        <v>0</v>
      </c>
      <c r="DX39" s="203">
        <v>0</v>
      </c>
      <c r="DY39" s="203">
        <v>0</v>
      </c>
      <c r="DZ39" s="203">
        <v>0</v>
      </c>
      <c r="EA39" s="203">
        <v>0</v>
      </c>
      <c r="EB39" s="203">
        <v>0</v>
      </c>
      <c r="EC39" s="203">
        <v>0</v>
      </c>
      <c r="ED39" s="203">
        <v>0</v>
      </c>
      <c r="EE39" s="203">
        <v>0</v>
      </c>
      <c r="EF39" s="203">
        <v>0</v>
      </c>
      <c r="EG39" s="203">
        <v>0</v>
      </c>
      <c r="EH39" s="203">
        <v>0</v>
      </c>
      <c r="EI39" s="203">
        <v>0</v>
      </c>
      <c r="EJ39" s="203">
        <v>0</v>
      </c>
      <c r="EK39" s="203">
        <v>0</v>
      </c>
      <c r="EL39" s="203">
        <v>0</v>
      </c>
      <c r="EM39" s="203">
        <v>0</v>
      </c>
      <c r="EN39" s="203">
        <v>0</v>
      </c>
      <c r="EO39" s="203">
        <v>0</v>
      </c>
      <c r="EP39" s="203">
        <v>0</v>
      </c>
      <c r="EQ39" s="203">
        <v>0</v>
      </c>
      <c r="ER39" s="203">
        <v>0</v>
      </c>
      <c r="ES39" s="203">
        <v>0</v>
      </c>
      <c r="ET39" s="203">
        <v>0</v>
      </c>
      <c r="EU39" s="203">
        <v>0</v>
      </c>
      <c r="EV39" s="203">
        <v>0</v>
      </c>
      <c r="EW39" s="203">
        <v>0</v>
      </c>
      <c r="EX39" s="203">
        <v>0</v>
      </c>
      <c r="EY39" s="203">
        <v>0</v>
      </c>
      <c r="EZ39" s="203">
        <v>0</v>
      </c>
      <c r="FA39" s="203">
        <v>0</v>
      </c>
      <c r="FB39" s="203">
        <v>0</v>
      </c>
      <c r="FC39" s="203">
        <v>0</v>
      </c>
      <c r="FD39" s="203">
        <v>0</v>
      </c>
      <c r="FE39" s="203">
        <v>0</v>
      </c>
      <c r="FF39" s="203">
        <v>0</v>
      </c>
      <c r="FG39" s="203">
        <v>0</v>
      </c>
      <c r="FH39" s="203">
        <v>0</v>
      </c>
      <c r="FI39" s="203">
        <v>0</v>
      </c>
      <c r="FJ39" s="203">
        <v>0</v>
      </c>
      <c r="FK39" s="203">
        <v>0</v>
      </c>
      <c r="FL39" s="203">
        <v>0</v>
      </c>
      <c r="FM39" s="203">
        <v>0</v>
      </c>
      <c r="FN39" s="203">
        <v>0</v>
      </c>
      <c r="FO39" s="203">
        <v>0</v>
      </c>
      <c r="FP39" s="203">
        <v>0</v>
      </c>
      <c r="FQ39" s="203">
        <v>0</v>
      </c>
      <c r="FR39" s="203">
        <v>0</v>
      </c>
      <c r="FS39" s="203">
        <v>0</v>
      </c>
      <c r="FT39" s="203">
        <v>0</v>
      </c>
      <c r="FU39" s="203">
        <v>0</v>
      </c>
      <c r="FV39" s="203">
        <v>0</v>
      </c>
      <c r="FW39" s="203">
        <v>0</v>
      </c>
      <c r="FX39" s="203">
        <v>0</v>
      </c>
      <c r="FY39" s="203">
        <v>0</v>
      </c>
      <c r="FZ39" s="203">
        <v>0</v>
      </c>
      <c r="GA39" s="203">
        <v>0</v>
      </c>
      <c r="GB39" s="203">
        <v>0</v>
      </c>
      <c r="GC39" s="203">
        <v>0</v>
      </c>
      <c r="GD39" s="203">
        <v>0</v>
      </c>
      <c r="GE39" s="203">
        <v>0</v>
      </c>
      <c r="GF39" s="203">
        <v>0</v>
      </c>
      <c r="GG39" s="203">
        <v>0</v>
      </c>
      <c r="GH39" s="203">
        <v>0</v>
      </c>
      <c r="GI39" s="203">
        <v>0</v>
      </c>
      <c r="GJ39" s="203">
        <v>0</v>
      </c>
      <c r="GK39" s="203">
        <v>0</v>
      </c>
      <c r="GL39" s="203">
        <v>0</v>
      </c>
      <c r="GM39" s="203">
        <v>0</v>
      </c>
      <c r="GN39" s="203">
        <v>0</v>
      </c>
      <c r="GO39" s="203">
        <v>0</v>
      </c>
      <c r="GP39" s="203">
        <v>0</v>
      </c>
      <c r="GQ39" s="203">
        <v>0</v>
      </c>
      <c r="GR39" s="203">
        <v>0</v>
      </c>
      <c r="GS39" s="203">
        <v>0</v>
      </c>
      <c r="GT39" s="203">
        <v>0</v>
      </c>
      <c r="GU39" s="203">
        <v>0</v>
      </c>
      <c r="GV39" s="203">
        <v>0</v>
      </c>
      <c r="GW39" s="203"/>
      <c r="GX39" s="203"/>
      <c r="GY39" s="203"/>
      <c r="GZ39" s="203"/>
    </row>
    <row r="40" spans="1:208" ht="14.45">
      <c r="A40" s="175" t="s">
        <v>315</v>
      </c>
      <c r="B40" s="45">
        <v>1.25</v>
      </c>
      <c r="C40" s="96">
        <v>0</v>
      </c>
      <c r="D40" s="96">
        <v>0</v>
      </c>
      <c r="E40" s="96">
        <v>0</v>
      </c>
      <c r="F40" s="96">
        <f t="shared" ref="F40" si="15">G40</f>
        <v>2252</v>
      </c>
      <c r="G40" s="173">
        <f t="shared" si="14"/>
        <v>2252</v>
      </c>
      <c r="H40" s="203">
        <v>0</v>
      </c>
      <c r="I40" s="203">
        <v>0</v>
      </c>
      <c r="J40" s="203">
        <v>0</v>
      </c>
      <c r="K40" s="203">
        <v>0</v>
      </c>
      <c r="L40" s="203">
        <v>0</v>
      </c>
      <c r="M40" s="203">
        <v>0</v>
      </c>
      <c r="N40" s="203">
        <v>0</v>
      </c>
      <c r="O40" s="203">
        <v>0</v>
      </c>
      <c r="P40" s="203">
        <v>0</v>
      </c>
      <c r="Q40" s="203">
        <v>0</v>
      </c>
      <c r="R40" s="203">
        <v>0</v>
      </c>
      <c r="S40" s="203">
        <v>0</v>
      </c>
      <c r="T40" s="203">
        <v>0</v>
      </c>
      <c r="U40" s="203">
        <v>0</v>
      </c>
      <c r="V40" s="203">
        <v>0</v>
      </c>
      <c r="W40" s="203">
        <v>0</v>
      </c>
      <c r="X40" s="203">
        <v>0</v>
      </c>
      <c r="Y40" s="203">
        <v>0</v>
      </c>
      <c r="Z40" s="203">
        <v>0</v>
      </c>
      <c r="AA40" s="203">
        <v>0</v>
      </c>
      <c r="AB40" s="203">
        <v>0</v>
      </c>
      <c r="AC40" s="203">
        <v>0</v>
      </c>
      <c r="AD40" s="203">
        <v>0</v>
      </c>
      <c r="AE40" s="203">
        <v>0</v>
      </c>
      <c r="AF40" s="203">
        <v>0</v>
      </c>
      <c r="AG40" s="203">
        <v>0</v>
      </c>
      <c r="AH40" s="203">
        <v>0</v>
      </c>
      <c r="AI40" s="203">
        <v>0</v>
      </c>
      <c r="AJ40" s="203">
        <v>0</v>
      </c>
      <c r="AK40" s="203">
        <v>0</v>
      </c>
      <c r="AL40" s="203">
        <v>0</v>
      </c>
      <c r="AM40" s="203">
        <v>0</v>
      </c>
      <c r="AN40" s="203">
        <v>0</v>
      </c>
      <c r="AO40" s="203">
        <v>0</v>
      </c>
      <c r="AP40" s="203">
        <v>0</v>
      </c>
      <c r="AQ40" s="203">
        <v>0</v>
      </c>
      <c r="AR40" s="203">
        <v>0</v>
      </c>
      <c r="AS40" s="203">
        <v>0</v>
      </c>
      <c r="AT40" s="203">
        <v>0</v>
      </c>
      <c r="AU40" s="203">
        <v>0</v>
      </c>
      <c r="AV40" s="203">
        <v>0</v>
      </c>
      <c r="AW40" s="203">
        <v>0</v>
      </c>
      <c r="AX40" s="203">
        <v>0</v>
      </c>
      <c r="AY40" s="203">
        <v>0</v>
      </c>
      <c r="AZ40" s="203">
        <v>0</v>
      </c>
      <c r="BA40" s="203">
        <v>0</v>
      </c>
      <c r="BB40" s="203">
        <v>0</v>
      </c>
      <c r="BC40" s="203">
        <v>0</v>
      </c>
      <c r="BD40" s="203">
        <v>0</v>
      </c>
      <c r="BE40" s="203">
        <v>0</v>
      </c>
      <c r="BF40" s="203">
        <v>0</v>
      </c>
      <c r="BG40" s="203">
        <v>0</v>
      </c>
      <c r="BH40" s="203">
        <v>0</v>
      </c>
      <c r="BI40" s="203">
        <v>0</v>
      </c>
      <c r="BJ40" s="203">
        <v>0</v>
      </c>
      <c r="BK40" s="203">
        <v>0</v>
      </c>
      <c r="BL40" s="203">
        <v>0</v>
      </c>
      <c r="BM40" s="203">
        <v>0</v>
      </c>
      <c r="BN40" s="203">
        <v>0</v>
      </c>
      <c r="BO40" s="203">
        <v>0</v>
      </c>
      <c r="BP40" s="203">
        <v>0</v>
      </c>
      <c r="BQ40" s="203">
        <v>0</v>
      </c>
      <c r="BR40" s="203">
        <v>0</v>
      </c>
      <c r="BS40" s="203">
        <v>0</v>
      </c>
      <c r="BT40" s="203">
        <v>0</v>
      </c>
      <c r="BU40" s="203">
        <v>0</v>
      </c>
      <c r="BV40" s="203">
        <v>0</v>
      </c>
      <c r="BW40" s="203">
        <v>0</v>
      </c>
      <c r="BX40" s="203">
        <v>0</v>
      </c>
      <c r="BY40" s="203">
        <v>0</v>
      </c>
      <c r="BZ40" s="203">
        <v>0</v>
      </c>
      <c r="CA40" s="203">
        <v>0</v>
      </c>
      <c r="CB40" s="203">
        <v>0</v>
      </c>
      <c r="CC40" s="203">
        <v>0</v>
      </c>
      <c r="CD40" s="203">
        <v>1184</v>
      </c>
      <c r="CE40" s="203">
        <v>0</v>
      </c>
      <c r="CF40" s="203">
        <v>0</v>
      </c>
      <c r="CG40" s="203">
        <v>0</v>
      </c>
      <c r="CH40" s="203">
        <v>0</v>
      </c>
      <c r="CI40" s="203">
        <v>0</v>
      </c>
      <c r="CJ40" s="203">
        <v>0</v>
      </c>
      <c r="CK40" s="203">
        <v>0</v>
      </c>
      <c r="CL40" s="203">
        <v>0</v>
      </c>
      <c r="CM40" s="203">
        <v>0</v>
      </c>
      <c r="CN40" s="203">
        <v>0</v>
      </c>
      <c r="CO40" s="203">
        <v>0</v>
      </c>
      <c r="CP40" s="203">
        <v>0</v>
      </c>
      <c r="CQ40" s="203">
        <v>0</v>
      </c>
      <c r="CR40" s="203">
        <v>0</v>
      </c>
      <c r="CS40" s="203">
        <v>0</v>
      </c>
      <c r="CT40" s="203">
        <v>0</v>
      </c>
      <c r="CU40" s="203">
        <v>0</v>
      </c>
      <c r="CV40" s="203">
        <v>0</v>
      </c>
      <c r="CW40" s="203">
        <v>0</v>
      </c>
      <c r="CX40" s="203">
        <v>0</v>
      </c>
      <c r="CY40" s="203">
        <v>1068</v>
      </c>
      <c r="CZ40" s="203">
        <v>0</v>
      </c>
      <c r="DA40" s="203">
        <v>0</v>
      </c>
      <c r="DB40" s="203">
        <v>0</v>
      </c>
      <c r="DC40" s="203">
        <v>0</v>
      </c>
      <c r="DD40" s="203">
        <v>0</v>
      </c>
      <c r="DE40" s="203">
        <v>0</v>
      </c>
      <c r="DF40" s="203">
        <v>0</v>
      </c>
      <c r="DG40" s="203">
        <v>0</v>
      </c>
      <c r="DH40" s="203">
        <v>0</v>
      </c>
      <c r="DI40" s="203">
        <v>0</v>
      </c>
      <c r="DJ40" s="203">
        <v>0</v>
      </c>
      <c r="DK40" s="203">
        <v>0</v>
      </c>
      <c r="DL40" s="203">
        <v>0</v>
      </c>
      <c r="DM40" s="203">
        <v>0</v>
      </c>
      <c r="DN40" s="203">
        <v>0</v>
      </c>
      <c r="DO40" s="203">
        <v>0</v>
      </c>
      <c r="DP40" s="203">
        <v>0</v>
      </c>
      <c r="DQ40" s="203">
        <v>0</v>
      </c>
      <c r="DR40" s="203">
        <v>0</v>
      </c>
      <c r="DS40" s="203">
        <v>0</v>
      </c>
      <c r="DT40" s="203">
        <v>0</v>
      </c>
      <c r="DU40" s="203">
        <v>0</v>
      </c>
      <c r="DV40" s="203">
        <v>0</v>
      </c>
      <c r="DW40" s="203">
        <v>0</v>
      </c>
      <c r="DX40" s="203">
        <v>0</v>
      </c>
      <c r="DY40" s="203">
        <v>0</v>
      </c>
      <c r="DZ40" s="203">
        <v>0</v>
      </c>
      <c r="EA40" s="203">
        <v>0</v>
      </c>
      <c r="EB40" s="203">
        <v>0</v>
      </c>
      <c r="EC40" s="203">
        <v>0</v>
      </c>
      <c r="ED40" s="203">
        <v>0</v>
      </c>
      <c r="EE40" s="203">
        <v>0</v>
      </c>
      <c r="EF40" s="203">
        <v>0</v>
      </c>
      <c r="EG40" s="203">
        <v>0</v>
      </c>
      <c r="EH40" s="203">
        <v>0</v>
      </c>
      <c r="EI40" s="203">
        <v>0</v>
      </c>
      <c r="EJ40" s="203">
        <v>0</v>
      </c>
      <c r="EK40" s="203">
        <v>0</v>
      </c>
      <c r="EL40" s="203">
        <v>0</v>
      </c>
      <c r="EM40" s="203">
        <v>0</v>
      </c>
      <c r="EN40" s="203">
        <v>0</v>
      </c>
      <c r="EO40" s="203">
        <v>0</v>
      </c>
      <c r="EP40" s="203">
        <v>0</v>
      </c>
      <c r="EQ40" s="203">
        <v>0</v>
      </c>
      <c r="ER40" s="203">
        <v>0</v>
      </c>
      <c r="ES40" s="203">
        <v>0</v>
      </c>
      <c r="ET40" s="203">
        <v>0</v>
      </c>
      <c r="EU40" s="203">
        <v>0</v>
      </c>
      <c r="EV40" s="203">
        <v>0</v>
      </c>
      <c r="EW40" s="203">
        <v>0</v>
      </c>
      <c r="EX40" s="203">
        <v>0</v>
      </c>
      <c r="EY40" s="203">
        <v>0</v>
      </c>
      <c r="EZ40" s="203">
        <v>0</v>
      </c>
      <c r="FA40" s="203">
        <v>0</v>
      </c>
      <c r="FB40" s="203">
        <v>0</v>
      </c>
      <c r="FC40" s="203">
        <v>0</v>
      </c>
      <c r="FD40" s="203">
        <v>0</v>
      </c>
      <c r="FE40" s="203">
        <v>0</v>
      </c>
      <c r="FF40" s="203">
        <v>0</v>
      </c>
      <c r="FG40" s="203">
        <v>0</v>
      </c>
      <c r="FH40" s="203">
        <v>0</v>
      </c>
      <c r="FI40" s="203">
        <v>0</v>
      </c>
      <c r="FJ40" s="203">
        <v>0</v>
      </c>
      <c r="FK40" s="203">
        <v>0</v>
      </c>
      <c r="FL40" s="203">
        <v>0</v>
      </c>
      <c r="FM40" s="203">
        <v>0</v>
      </c>
      <c r="FN40" s="203">
        <v>0</v>
      </c>
      <c r="FO40" s="203">
        <v>0</v>
      </c>
      <c r="FP40" s="203">
        <v>0</v>
      </c>
      <c r="FQ40" s="203">
        <v>0</v>
      </c>
      <c r="FR40" s="203">
        <v>0</v>
      </c>
      <c r="FS40" s="203">
        <v>0</v>
      </c>
      <c r="FT40" s="203">
        <v>0</v>
      </c>
      <c r="FU40" s="203">
        <v>0</v>
      </c>
      <c r="FV40" s="203">
        <v>0</v>
      </c>
      <c r="FW40" s="203">
        <v>0</v>
      </c>
      <c r="FX40" s="203">
        <v>0</v>
      </c>
      <c r="FY40" s="203">
        <v>0</v>
      </c>
      <c r="FZ40" s="203">
        <v>0</v>
      </c>
      <c r="GA40" s="203">
        <v>0</v>
      </c>
      <c r="GB40" s="203">
        <v>0</v>
      </c>
      <c r="GC40" s="203">
        <v>0</v>
      </c>
      <c r="GD40" s="203">
        <v>0</v>
      </c>
      <c r="GE40" s="203">
        <v>0</v>
      </c>
      <c r="GF40" s="203">
        <v>0</v>
      </c>
      <c r="GG40" s="203">
        <v>0</v>
      </c>
      <c r="GH40" s="203">
        <v>0</v>
      </c>
      <c r="GI40" s="203">
        <v>0</v>
      </c>
      <c r="GJ40" s="203">
        <v>0</v>
      </c>
      <c r="GK40" s="203">
        <v>0</v>
      </c>
      <c r="GL40" s="203">
        <v>0</v>
      </c>
      <c r="GM40" s="203">
        <v>0</v>
      </c>
      <c r="GN40" s="203">
        <v>0</v>
      </c>
      <c r="GO40" s="203">
        <v>0</v>
      </c>
      <c r="GP40" s="203">
        <v>0</v>
      </c>
      <c r="GQ40" s="203">
        <v>0</v>
      </c>
      <c r="GR40" s="203">
        <v>0</v>
      </c>
      <c r="GS40" s="203">
        <v>0</v>
      </c>
      <c r="GT40" s="203">
        <v>0</v>
      </c>
      <c r="GU40" s="203">
        <v>0</v>
      </c>
      <c r="GV40" s="203">
        <v>0</v>
      </c>
      <c r="GW40" s="203"/>
      <c r="GX40" s="203"/>
      <c r="GY40" s="203"/>
      <c r="GZ40" s="203"/>
    </row>
    <row r="41" spans="1:208" ht="14.45">
      <c r="A41" s="176" t="s">
        <v>316</v>
      </c>
      <c r="B41" s="45">
        <v>1.25</v>
      </c>
      <c r="C41" s="96">
        <f>G41</f>
        <v>0</v>
      </c>
      <c r="D41" s="96">
        <v>0</v>
      </c>
      <c r="E41" s="96">
        <v>0</v>
      </c>
      <c r="F41" s="96"/>
      <c r="G41" s="173">
        <f t="shared" si="14"/>
        <v>0</v>
      </c>
      <c r="H41" s="203">
        <v>0</v>
      </c>
      <c r="I41" s="203">
        <v>0</v>
      </c>
      <c r="J41" s="203">
        <v>0</v>
      </c>
      <c r="K41" s="203">
        <v>0</v>
      </c>
      <c r="L41" s="203">
        <v>0</v>
      </c>
      <c r="M41" s="203">
        <v>0</v>
      </c>
      <c r="N41" s="203">
        <v>0</v>
      </c>
      <c r="O41" s="203">
        <v>0</v>
      </c>
      <c r="P41" s="203">
        <v>0</v>
      </c>
      <c r="Q41" s="203">
        <v>0</v>
      </c>
      <c r="R41" s="203">
        <v>0</v>
      </c>
      <c r="S41" s="203">
        <v>0</v>
      </c>
      <c r="T41" s="203">
        <v>0</v>
      </c>
      <c r="U41" s="203">
        <v>0</v>
      </c>
      <c r="V41" s="203">
        <v>0</v>
      </c>
      <c r="W41" s="203">
        <v>0</v>
      </c>
      <c r="X41" s="203">
        <v>0</v>
      </c>
      <c r="Y41" s="203">
        <v>0</v>
      </c>
      <c r="Z41" s="203">
        <v>0</v>
      </c>
      <c r="AA41" s="203">
        <v>0</v>
      </c>
      <c r="AB41" s="203">
        <v>0</v>
      </c>
      <c r="AC41" s="203">
        <v>0</v>
      </c>
      <c r="AD41" s="203">
        <v>0</v>
      </c>
      <c r="AE41" s="203">
        <v>0</v>
      </c>
      <c r="AF41" s="203">
        <v>0</v>
      </c>
      <c r="AG41" s="203">
        <v>0</v>
      </c>
      <c r="AH41" s="203">
        <v>0</v>
      </c>
      <c r="AI41" s="203">
        <v>0</v>
      </c>
      <c r="AJ41" s="203">
        <v>0</v>
      </c>
      <c r="AK41" s="203">
        <v>0</v>
      </c>
      <c r="AL41" s="203">
        <v>0</v>
      </c>
      <c r="AM41" s="203">
        <v>0</v>
      </c>
      <c r="AN41" s="203">
        <v>0</v>
      </c>
      <c r="AO41" s="203">
        <v>0</v>
      </c>
      <c r="AP41" s="203">
        <v>0</v>
      </c>
      <c r="AQ41" s="203">
        <v>0</v>
      </c>
      <c r="AR41" s="203">
        <v>0</v>
      </c>
      <c r="AS41" s="203">
        <v>0</v>
      </c>
      <c r="AT41" s="203">
        <v>0</v>
      </c>
      <c r="AU41" s="203">
        <v>0</v>
      </c>
      <c r="AV41" s="203">
        <v>0</v>
      </c>
      <c r="AW41" s="203">
        <v>0</v>
      </c>
      <c r="AX41" s="203">
        <v>0</v>
      </c>
      <c r="AY41" s="203">
        <v>0</v>
      </c>
      <c r="AZ41" s="203">
        <v>0</v>
      </c>
      <c r="BA41" s="203">
        <v>0</v>
      </c>
      <c r="BB41" s="203">
        <v>0</v>
      </c>
      <c r="BC41" s="203">
        <v>0</v>
      </c>
      <c r="BD41" s="203">
        <v>0</v>
      </c>
      <c r="BE41" s="203">
        <v>0</v>
      </c>
      <c r="BF41" s="203">
        <v>0</v>
      </c>
      <c r="BG41" s="203">
        <v>0</v>
      </c>
      <c r="BH41" s="203">
        <v>0</v>
      </c>
      <c r="BI41" s="203">
        <v>0</v>
      </c>
      <c r="BJ41" s="203">
        <v>0</v>
      </c>
      <c r="BK41" s="203">
        <v>0</v>
      </c>
      <c r="BL41" s="203">
        <v>0</v>
      </c>
      <c r="BM41" s="203">
        <v>0</v>
      </c>
      <c r="BN41" s="203">
        <v>0</v>
      </c>
      <c r="BO41" s="203">
        <v>0</v>
      </c>
      <c r="BP41" s="203">
        <v>0</v>
      </c>
      <c r="BQ41" s="203">
        <v>0</v>
      </c>
      <c r="BR41" s="203">
        <v>0</v>
      </c>
      <c r="BS41" s="203">
        <v>0</v>
      </c>
      <c r="BT41" s="203">
        <v>0</v>
      </c>
      <c r="BU41" s="203">
        <v>0</v>
      </c>
      <c r="BV41" s="203">
        <v>0</v>
      </c>
      <c r="BW41" s="203">
        <v>0</v>
      </c>
      <c r="BX41" s="203">
        <v>0</v>
      </c>
      <c r="BY41" s="203">
        <v>0</v>
      </c>
      <c r="BZ41" s="203">
        <v>0</v>
      </c>
      <c r="CA41" s="203">
        <v>0</v>
      </c>
      <c r="CB41" s="203">
        <v>0</v>
      </c>
      <c r="CC41" s="203">
        <v>0</v>
      </c>
      <c r="CD41" s="203">
        <v>0</v>
      </c>
      <c r="CE41" s="203">
        <v>0</v>
      </c>
      <c r="CF41" s="203">
        <v>0</v>
      </c>
      <c r="CG41" s="203">
        <v>0</v>
      </c>
      <c r="CH41" s="203">
        <v>0</v>
      </c>
      <c r="CI41" s="203">
        <v>0</v>
      </c>
      <c r="CJ41" s="203">
        <v>0</v>
      </c>
      <c r="CK41" s="203">
        <v>0</v>
      </c>
      <c r="CL41" s="203">
        <v>0</v>
      </c>
      <c r="CM41" s="203">
        <v>0</v>
      </c>
      <c r="CN41" s="203">
        <v>0</v>
      </c>
      <c r="CO41" s="203">
        <v>0</v>
      </c>
      <c r="CP41" s="203">
        <v>0</v>
      </c>
      <c r="CQ41" s="203">
        <v>0</v>
      </c>
      <c r="CR41" s="203">
        <v>0</v>
      </c>
      <c r="CS41" s="203">
        <v>0</v>
      </c>
      <c r="CT41" s="203">
        <v>0</v>
      </c>
      <c r="CU41" s="203">
        <v>0</v>
      </c>
      <c r="CV41" s="203">
        <v>0</v>
      </c>
      <c r="CW41" s="203">
        <v>0</v>
      </c>
      <c r="CX41" s="203">
        <v>0</v>
      </c>
      <c r="CY41" s="203">
        <v>0</v>
      </c>
      <c r="CZ41" s="203">
        <v>0</v>
      </c>
      <c r="DA41" s="203">
        <v>0</v>
      </c>
      <c r="DB41" s="203">
        <v>0</v>
      </c>
      <c r="DC41" s="203">
        <v>0</v>
      </c>
      <c r="DD41" s="203">
        <v>0</v>
      </c>
      <c r="DE41" s="203">
        <v>0</v>
      </c>
      <c r="DF41" s="203">
        <v>0</v>
      </c>
      <c r="DG41" s="203">
        <v>0</v>
      </c>
      <c r="DH41" s="203">
        <v>0</v>
      </c>
      <c r="DI41" s="203">
        <v>0</v>
      </c>
      <c r="DJ41" s="203">
        <v>0</v>
      </c>
      <c r="DK41" s="203">
        <v>0</v>
      </c>
      <c r="DL41" s="203">
        <v>0</v>
      </c>
      <c r="DM41" s="203">
        <v>0</v>
      </c>
      <c r="DN41" s="203">
        <v>0</v>
      </c>
      <c r="DO41" s="203">
        <v>0</v>
      </c>
      <c r="DP41" s="203">
        <v>0</v>
      </c>
      <c r="DQ41" s="203">
        <v>0</v>
      </c>
      <c r="DR41" s="203">
        <v>0</v>
      </c>
      <c r="DS41" s="203">
        <v>0</v>
      </c>
      <c r="DT41" s="203">
        <v>0</v>
      </c>
      <c r="DU41" s="203">
        <v>0</v>
      </c>
      <c r="DV41" s="203">
        <v>0</v>
      </c>
      <c r="DW41" s="203">
        <v>0</v>
      </c>
      <c r="DX41" s="203">
        <v>0</v>
      </c>
      <c r="DY41" s="203">
        <v>0</v>
      </c>
      <c r="DZ41" s="203">
        <v>0</v>
      </c>
      <c r="EA41" s="203">
        <v>0</v>
      </c>
      <c r="EB41" s="203">
        <v>0</v>
      </c>
      <c r="EC41" s="203">
        <v>0</v>
      </c>
      <c r="ED41" s="203">
        <v>0</v>
      </c>
      <c r="EE41" s="203">
        <v>0</v>
      </c>
      <c r="EF41" s="203">
        <v>0</v>
      </c>
      <c r="EG41" s="203">
        <v>0</v>
      </c>
      <c r="EH41" s="203">
        <v>0</v>
      </c>
      <c r="EI41" s="203">
        <v>0</v>
      </c>
      <c r="EJ41" s="203">
        <v>0</v>
      </c>
      <c r="EK41" s="203">
        <v>0</v>
      </c>
      <c r="EL41" s="203">
        <v>0</v>
      </c>
      <c r="EM41" s="203">
        <v>0</v>
      </c>
      <c r="EN41" s="203">
        <v>0</v>
      </c>
      <c r="EO41" s="203">
        <v>0</v>
      </c>
      <c r="EP41" s="203">
        <v>0</v>
      </c>
      <c r="EQ41" s="203">
        <v>0</v>
      </c>
      <c r="ER41" s="203">
        <v>0</v>
      </c>
      <c r="ES41" s="203">
        <v>0</v>
      </c>
      <c r="ET41" s="203">
        <v>0</v>
      </c>
      <c r="EU41" s="203">
        <v>0</v>
      </c>
      <c r="EV41" s="203">
        <v>0</v>
      </c>
      <c r="EW41" s="203">
        <v>0</v>
      </c>
      <c r="EX41" s="203">
        <v>0</v>
      </c>
      <c r="EY41" s="203">
        <v>0</v>
      </c>
      <c r="EZ41" s="203">
        <v>0</v>
      </c>
      <c r="FA41" s="203">
        <v>0</v>
      </c>
      <c r="FB41" s="203">
        <v>0</v>
      </c>
      <c r="FC41" s="203">
        <v>0</v>
      </c>
      <c r="FD41" s="203">
        <v>0</v>
      </c>
      <c r="FE41" s="203">
        <v>0</v>
      </c>
      <c r="FF41" s="203">
        <v>0</v>
      </c>
      <c r="FG41" s="203">
        <v>0</v>
      </c>
      <c r="FH41" s="203">
        <v>0</v>
      </c>
      <c r="FI41" s="203">
        <v>0</v>
      </c>
      <c r="FJ41" s="203">
        <v>0</v>
      </c>
      <c r="FK41" s="203">
        <v>0</v>
      </c>
      <c r="FL41" s="203">
        <v>0</v>
      </c>
      <c r="FM41" s="203">
        <v>0</v>
      </c>
      <c r="FN41" s="203">
        <v>0</v>
      </c>
      <c r="FO41" s="203">
        <v>0</v>
      </c>
      <c r="FP41" s="203">
        <v>0</v>
      </c>
      <c r="FQ41" s="203">
        <v>0</v>
      </c>
      <c r="FR41" s="203">
        <v>0</v>
      </c>
      <c r="FS41" s="203">
        <v>0</v>
      </c>
      <c r="FT41" s="203">
        <v>0</v>
      </c>
      <c r="FU41" s="203">
        <v>0</v>
      </c>
      <c r="FV41" s="203">
        <v>0</v>
      </c>
      <c r="FW41" s="203">
        <v>0</v>
      </c>
      <c r="FX41" s="203">
        <v>0</v>
      </c>
      <c r="FY41" s="203">
        <v>0</v>
      </c>
      <c r="FZ41" s="203">
        <v>0</v>
      </c>
      <c r="GA41" s="203">
        <v>0</v>
      </c>
      <c r="GB41" s="203">
        <v>0</v>
      </c>
      <c r="GC41" s="203">
        <v>0</v>
      </c>
      <c r="GD41" s="203">
        <v>0</v>
      </c>
      <c r="GE41" s="203">
        <v>0</v>
      </c>
      <c r="GF41" s="203">
        <v>0</v>
      </c>
      <c r="GG41" s="203">
        <v>0</v>
      </c>
      <c r="GH41" s="203">
        <v>0</v>
      </c>
      <c r="GI41" s="203">
        <v>0</v>
      </c>
      <c r="GJ41" s="203">
        <v>0</v>
      </c>
      <c r="GK41" s="203">
        <v>0</v>
      </c>
      <c r="GL41" s="203">
        <v>0</v>
      </c>
      <c r="GM41" s="203">
        <v>0</v>
      </c>
      <c r="GN41" s="203">
        <v>0</v>
      </c>
      <c r="GO41" s="203">
        <v>0</v>
      </c>
      <c r="GP41" s="203">
        <v>0</v>
      </c>
      <c r="GQ41" s="203">
        <v>0</v>
      </c>
      <c r="GR41" s="203">
        <v>0</v>
      </c>
      <c r="GS41" s="203">
        <v>0</v>
      </c>
      <c r="GT41" s="203">
        <v>0</v>
      </c>
      <c r="GU41" s="203">
        <v>0</v>
      </c>
      <c r="GV41" s="203">
        <v>0</v>
      </c>
      <c r="GW41" s="203"/>
      <c r="GX41" s="203"/>
      <c r="GY41" s="203"/>
      <c r="GZ41" s="203"/>
    </row>
    <row r="42" spans="1:208" ht="14.45" customHeight="1">
      <c r="A42" s="175" t="s">
        <v>317</v>
      </c>
      <c r="B42" s="88">
        <v>1.5</v>
      </c>
      <c r="C42" s="201"/>
      <c r="D42" s="201"/>
      <c r="E42" s="201"/>
      <c r="F42" s="201"/>
      <c r="G42" s="173">
        <f t="shared" si="14"/>
        <v>726</v>
      </c>
      <c r="H42" s="203">
        <v>0</v>
      </c>
      <c r="I42" s="203">
        <v>0</v>
      </c>
      <c r="J42" s="203">
        <v>0</v>
      </c>
      <c r="K42" s="203">
        <v>0</v>
      </c>
      <c r="L42" s="203">
        <v>0</v>
      </c>
      <c r="M42" s="203">
        <v>272</v>
      </c>
      <c r="N42" s="203">
        <v>0</v>
      </c>
      <c r="O42" s="203">
        <v>0</v>
      </c>
      <c r="P42" s="203">
        <v>0</v>
      </c>
      <c r="Q42" s="203">
        <v>73</v>
      </c>
      <c r="R42" s="203">
        <v>0</v>
      </c>
      <c r="S42" s="203">
        <v>0</v>
      </c>
      <c r="T42" s="203">
        <v>0</v>
      </c>
      <c r="U42" s="203">
        <v>0</v>
      </c>
      <c r="V42" s="203">
        <v>0</v>
      </c>
      <c r="W42" s="203">
        <v>0</v>
      </c>
      <c r="X42" s="203">
        <v>0</v>
      </c>
      <c r="Y42" s="203">
        <v>0</v>
      </c>
      <c r="Z42" s="203">
        <v>0</v>
      </c>
      <c r="AA42" s="203">
        <v>0</v>
      </c>
      <c r="AB42" s="203">
        <v>0</v>
      </c>
      <c r="AC42" s="203">
        <v>0</v>
      </c>
      <c r="AD42" s="203">
        <v>0</v>
      </c>
      <c r="AE42" s="203">
        <v>0</v>
      </c>
      <c r="AF42" s="203">
        <v>0</v>
      </c>
      <c r="AG42" s="203">
        <v>0</v>
      </c>
      <c r="AH42" s="203">
        <v>0</v>
      </c>
      <c r="AI42" s="203">
        <v>0</v>
      </c>
      <c r="AJ42" s="203">
        <v>0</v>
      </c>
      <c r="AK42" s="203">
        <v>0</v>
      </c>
      <c r="AL42" s="203">
        <v>0</v>
      </c>
      <c r="AM42" s="203">
        <v>0</v>
      </c>
      <c r="AN42" s="203">
        <v>0</v>
      </c>
      <c r="AO42" s="203">
        <v>0</v>
      </c>
      <c r="AP42" s="203">
        <v>0</v>
      </c>
      <c r="AQ42" s="203">
        <v>14</v>
      </c>
      <c r="AR42" s="203">
        <v>37</v>
      </c>
      <c r="AS42" s="203">
        <v>0</v>
      </c>
      <c r="AT42" s="203">
        <v>0</v>
      </c>
      <c r="AU42" s="203">
        <v>0</v>
      </c>
      <c r="AV42" s="203">
        <v>0</v>
      </c>
      <c r="AW42" s="203">
        <v>0</v>
      </c>
      <c r="AX42" s="203">
        <v>0</v>
      </c>
      <c r="AY42" s="203">
        <v>0</v>
      </c>
      <c r="AZ42" s="203">
        <v>0</v>
      </c>
      <c r="BA42" s="203">
        <v>0</v>
      </c>
      <c r="BB42" s="203">
        <v>0</v>
      </c>
      <c r="BC42" s="203">
        <v>0</v>
      </c>
      <c r="BD42" s="203">
        <v>0</v>
      </c>
      <c r="BE42" s="203">
        <v>0</v>
      </c>
      <c r="BF42" s="203">
        <v>0</v>
      </c>
      <c r="BG42" s="203">
        <v>0</v>
      </c>
      <c r="BH42" s="203">
        <v>0</v>
      </c>
      <c r="BI42" s="203">
        <v>0</v>
      </c>
      <c r="BJ42" s="203">
        <v>83</v>
      </c>
      <c r="BK42" s="203">
        <v>0</v>
      </c>
      <c r="BL42" s="203">
        <v>0</v>
      </c>
      <c r="BM42" s="203">
        <v>0</v>
      </c>
      <c r="BN42" s="203">
        <v>0</v>
      </c>
      <c r="BO42" s="203">
        <v>0</v>
      </c>
      <c r="BP42" s="203">
        <v>0</v>
      </c>
      <c r="BQ42" s="203">
        <v>0</v>
      </c>
      <c r="BR42" s="203">
        <v>0</v>
      </c>
      <c r="BS42" s="203">
        <v>0</v>
      </c>
      <c r="BT42" s="203">
        <v>0</v>
      </c>
      <c r="BU42" s="203">
        <v>0</v>
      </c>
      <c r="BV42" s="203">
        <v>0</v>
      </c>
      <c r="BW42" s="203">
        <v>0</v>
      </c>
      <c r="BX42" s="203">
        <v>0</v>
      </c>
      <c r="BY42" s="203">
        <v>0</v>
      </c>
      <c r="BZ42" s="203">
        <v>0</v>
      </c>
      <c r="CA42" s="203">
        <v>0</v>
      </c>
      <c r="CB42" s="203">
        <v>0</v>
      </c>
      <c r="CC42" s="203">
        <v>0</v>
      </c>
      <c r="CD42" s="203">
        <v>0</v>
      </c>
      <c r="CE42" s="203">
        <v>0</v>
      </c>
      <c r="CF42" s="203">
        <v>0</v>
      </c>
      <c r="CG42" s="203">
        <v>0</v>
      </c>
      <c r="CH42" s="203">
        <v>0</v>
      </c>
      <c r="CI42" s="203">
        <v>0</v>
      </c>
      <c r="CJ42" s="203">
        <v>0</v>
      </c>
      <c r="CK42" s="203">
        <v>0</v>
      </c>
      <c r="CL42" s="203">
        <v>0</v>
      </c>
      <c r="CM42" s="203">
        <v>0</v>
      </c>
      <c r="CN42" s="203">
        <v>0</v>
      </c>
      <c r="CO42" s="203">
        <v>0</v>
      </c>
      <c r="CP42" s="203">
        <v>0</v>
      </c>
      <c r="CQ42" s="203">
        <v>0</v>
      </c>
      <c r="CR42" s="203">
        <v>0</v>
      </c>
      <c r="CS42" s="203">
        <v>0</v>
      </c>
      <c r="CT42" s="203">
        <v>0</v>
      </c>
      <c r="CU42" s="203">
        <v>0</v>
      </c>
      <c r="CV42" s="203">
        <v>0</v>
      </c>
      <c r="CW42" s="203">
        <v>0</v>
      </c>
      <c r="CX42" s="203">
        <v>0</v>
      </c>
      <c r="CY42" s="203">
        <v>0</v>
      </c>
      <c r="CZ42" s="203">
        <v>0</v>
      </c>
      <c r="DA42" s="203">
        <v>0</v>
      </c>
      <c r="DB42" s="203">
        <v>0</v>
      </c>
      <c r="DC42" s="203">
        <v>0</v>
      </c>
      <c r="DD42" s="203">
        <v>0</v>
      </c>
      <c r="DE42" s="203">
        <v>0</v>
      </c>
      <c r="DF42" s="203">
        <v>0</v>
      </c>
      <c r="DG42" s="203">
        <v>0</v>
      </c>
      <c r="DH42" s="203">
        <v>0</v>
      </c>
      <c r="DI42" s="203">
        <v>0</v>
      </c>
      <c r="DJ42" s="203">
        <v>0</v>
      </c>
      <c r="DK42" s="203">
        <v>0</v>
      </c>
      <c r="DL42" s="203">
        <v>0</v>
      </c>
      <c r="DM42" s="203">
        <v>0</v>
      </c>
      <c r="DN42" s="203">
        <v>0</v>
      </c>
      <c r="DO42" s="203">
        <v>0</v>
      </c>
      <c r="DP42" s="203">
        <v>0</v>
      </c>
      <c r="DQ42" s="203">
        <v>17</v>
      </c>
      <c r="DR42" s="203">
        <v>0</v>
      </c>
      <c r="DS42" s="203">
        <v>0</v>
      </c>
      <c r="DT42" s="203">
        <v>0</v>
      </c>
      <c r="DU42" s="203">
        <v>0</v>
      </c>
      <c r="DV42" s="203">
        <v>0</v>
      </c>
      <c r="DW42" s="203">
        <v>0</v>
      </c>
      <c r="DX42" s="203">
        <v>0</v>
      </c>
      <c r="DY42" s="203">
        <v>0</v>
      </c>
      <c r="DZ42" s="203">
        <v>0</v>
      </c>
      <c r="EA42" s="203">
        <v>0</v>
      </c>
      <c r="EB42" s="203">
        <v>0</v>
      </c>
      <c r="EC42" s="203">
        <v>0</v>
      </c>
      <c r="ED42" s="203">
        <v>230</v>
      </c>
      <c r="EE42" s="203">
        <v>0</v>
      </c>
      <c r="EF42" s="203">
        <v>0</v>
      </c>
      <c r="EG42" s="203">
        <v>0</v>
      </c>
      <c r="EH42" s="203">
        <v>0</v>
      </c>
      <c r="EI42" s="203">
        <v>0</v>
      </c>
      <c r="EJ42" s="203">
        <v>0</v>
      </c>
      <c r="EK42" s="203">
        <v>0</v>
      </c>
      <c r="EL42" s="203">
        <v>0</v>
      </c>
      <c r="EM42" s="203">
        <v>0</v>
      </c>
      <c r="EN42" s="203">
        <v>0</v>
      </c>
      <c r="EO42" s="203">
        <v>0</v>
      </c>
      <c r="EP42" s="203">
        <v>0</v>
      </c>
      <c r="EQ42" s="203">
        <v>0</v>
      </c>
      <c r="ER42" s="203">
        <v>0</v>
      </c>
      <c r="ES42" s="203">
        <v>0</v>
      </c>
      <c r="ET42" s="203">
        <v>0</v>
      </c>
      <c r="EU42" s="203">
        <v>0</v>
      </c>
      <c r="EV42" s="203">
        <v>0</v>
      </c>
      <c r="EW42" s="203">
        <v>0</v>
      </c>
      <c r="EX42" s="203">
        <v>0</v>
      </c>
      <c r="EY42" s="203">
        <v>0</v>
      </c>
      <c r="EZ42" s="203">
        <v>0</v>
      </c>
      <c r="FA42" s="203">
        <v>0</v>
      </c>
      <c r="FB42" s="203">
        <v>0</v>
      </c>
      <c r="FC42" s="203">
        <v>0</v>
      </c>
      <c r="FD42" s="203">
        <v>0</v>
      </c>
      <c r="FE42" s="203">
        <v>0</v>
      </c>
      <c r="FF42" s="203">
        <v>0</v>
      </c>
      <c r="FG42" s="203">
        <v>0</v>
      </c>
      <c r="FH42" s="203">
        <v>0</v>
      </c>
      <c r="FI42" s="203">
        <v>0</v>
      </c>
      <c r="FJ42" s="203">
        <v>0</v>
      </c>
      <c r="FK42" s="203">
        <v>0</v>
      </c>
      <c r="FL42" s="203">
        <v>0</v>
      </c>
      <c r="FM42" s="203">
        <v>0</v>
      </c>
      <c r="FN42" s="203">
        <v>0</v>
      </c>
      <c r="FO42" s="203">
        <v>0</v>
      </c>
      <c r="FP42" s="203">
        <v>0</v>
      </c>
      <c r="FQ42" s="203">
        <v>0</v>
      </c>
      <c r="FR42" s="203">
        <v>0</v>
      </c>
      <c r="FS42" s="203">
        <v>0</v>
      </c>
      <c r="FT42" s="203">
        <v>0</v>
      </c>
      <c r="FU42" s="203">
        <v>0</v>
      </c>
      <c r="FV42" s="203">
        <v>0</v>
      </c>
      <c r="FW42" s="203">
        <v>0</v>
      </c>
      <c r="FX42" s="203">
        <v>0</v>
      </c>
      <c r="FY42" s="203">
        <v>0</v>
      </c>
      <c r="FZ42" s="203">
        <v>0</v>
      </c>
      <c r="GA42" s="203">
        <v>0</v>
      </c>
      <c r="GB42" s="203">
        <v>0</v>
      </c>
      <c r="GC42" s="203">
        <v>0</v>
      </c>
      <c r="GD42" s="203">
        <v>0</v>
      </c>
      <c r="GE42" s="203">
        <v>0</v>
      </c>
      <c r="GF42" s="203">
        <v>0</v>
      </c>
      <c r="GG42" s="203">
        <v>0</v>
      </c>
      <c r="GH42" s="203">
        <v>0</v>
      </c>
      <c r="GI42" s="203">
        <v>0</v>
      </c>
      <c r="GJ42" s="203">
        <v>0</v>
      </c>
      <c r="GK42" s="203">
        <v>0</v>
      </c>
      <c r="GL42" s="203">
        <v>0</v>
      </c>
      <c r="GM42" s="203">
        <v>0</v>
      </c>
      <c r="GN42" s="203">
        <v>0</v>
      </c>
      <c r="GO42" s="203">
        <v>0</v>
      </c>
      <c r="GP42" s="203">
        <v>0</v>
      </c>
      <c r="GQ42" s="203">
        <v>0</v>
      </c>
      <c r="GR42" s="203">
        <v>0</v>
      </c>
      <c r="GS42" s="203">
        <v>0</v>
      </c>
      <c r="GT42" s="203">
        <v>0</v>
      </c>
      <c r="GU42" s="203">
        <v>0</v>
      </c>
      <c r="GV42" s="203">
        <v>0</v>
      </c>
      <c r="GW42" s="203"/>
      <c r="GX42" s="203"/>
      <c r="GY42" s="203"/>
      <c r="GZ42" s="203"/>
    </row>
    <row r="43" spans="1:208" ht="14.45">
      <c r="A43" s="175" t="s">
        <v>318</v>
      </c>
      <c r="B43" s="45">
        <v>1.25</v>
      </c>
      <c r="C43" s="96">
        <v>0</v>
      </c>
      <c r="D43" s="96">
        <v>0</v>
      </c>
      <c r="E43" s="96">
        <v>0</v>
      </c>
      <c r="F43" s="96">
        <v>0</v>
      </c>
      <c r="G43" s="173">
        <f t="shared" si="14"/>
        <v>896</v>
      </c>
      <c r="H43" s="203">
        <v>0</v>
      </c>
      <c r="I43" s="203">
        <v>0</v>
      </c>
      <c r="J43" s="203">
        <v>0</v>
      </c>
      <c r="K43" s="203">
        <v>0</v>
      </c>
      <c r="L43" s="203">
        <v>0</v>
      </c>
      <c r="M43" s="203">
        <v>0</v>
      </c>
      <c r="N43" s="203">
        <v>0</v>
      </c>
      <c r="O43" s="203">
        <v>0</v>
      </c>
      <c r="P43" s="203">
        <v>0</v>
      </c>
      <c r="Q43" s="203">
        <v>0</v>
      </c>
      <c r="R43" s="203">
        <v>0</v>
      </c>
      <c r="S43" s="203">
        <v>0</v>
      </c>
      <c r="T43" s="203">
        <v>0</v>
      </c>
      <c r="U43" s="203">
        <v>0</v>
      </c>
      <c r="V43" s="203">
        <v>0</v>
      </c>
      <c r="W43" s="203">
        <v>0</v>
      </c>
      <c r="X43" s="203">
        <v>0</v>
      </c>
      <c r="Y43" s="203">
        <v>0</v>
      </c>
      <c r="Z43" s="203">
        <v>0</v>
      </c>
      <c r="AA43" s="203">
        <v>0</v>
      </c>
      <c r="AB43" s="203">
        <v>0</v>
      </c>
      <c r="AC43" s="203">
        <v>0</v>
      </c>
      <c r="AD43" s="203">
        <v>0</v>
      </c>
      <c r="AE43" s="203">
        <v>0</v>
      </c>
      <c r="AF43" s="203">
        <v>0</v>
      </c>
      <c r="AG43" s="203">
        <v>0</v>
      </c>
      <c r="AH43" s="203">
        <v>0</v>
      </c>
      <c r="AI43" s="203">
        <v>0</v>
      </c>
      <c r="AJ43" s="203">
        <v>0</v>
      </c>
      <c r="AK43" s="203">
        <v>0</v>
      </c>
      <c r="AL43" s="203">
        <v>0</v>
      </c>
      <c r="AM43" s="203">
        <v>0</v>
      </c>
      <c r="AN43" s="203">
        <v>0</v>
      </c>
      <c r="AO43" s="203">
        <v>0</v>
      </c>
      <c r="AP43" s="203">
        <v>0</v>
      </c>
      <c r="AQ43" s="203">
        <v>0</v>
      </c>
      <c r="AR43" s="203">
        <v>0</v>
      </c>
      <c r="AS43" s="203">
        <v>0</v>
      </c>
      <c r="AT43" s="203">
        <v>0</v>
      </c>
      <c r="AU43" s="203">
        <v>0</v>
      </c>
      <c r="AV43" s="203">
        <v>123</v>
      </c>
      <c r="AW43" s="203">
        <v>0</v>
      </c>
      <c r="AX43" s="203">
        <v>0</v>
      </c>
      <c r="AY43" s="203">
        <v>0</v>
      </c>
      <c r="AZ43" s="203">
        <v>0</v>
      </c>
      <c r="BA43" s="203">
        <v>0</v>
      </c>
      <c r="BB43" s="203">
        <v>0</v>
      </c>
      <c r="BC43" s="203">
        <v>0</v>
      </c>
      <c r="BD43" s="203">
        <v>0</v>
      </c>
      <c r="BE43" s="203">
        <v>0</v>
      </c>
      <c r="BF43" s="203">
        <v>0</v>
      </c>
      <c r="BG43" s="203">
        <v>0</v>
      </c>
      <c r="BH43" s="203">
        <v>0</v>
      </c>
      <c r="BI43" s="203">
        <v>0</v>
      </c>
      <c r="BJ43" s="203">
        <v>0</v>
      </c>
      <c r="BK43" s="203">
        <v>0</v>
      </c>
      <c r="BL43" s="203">
        <v>0</v>
      </c>
      <c r="BM43" s="203">
        <v>0</v>
      </c>
      <c r="BN43" s="203">
        <v>0</v>
      </c>
      <c r="BO43" s="203">
        <v>0</v>
      </c>
      <c r="BP43" s="203">
        <v>0</v>
      </c>
      <c r="BQ43" s="203">
        <v>0</v>
      </c>
      <c r="BR43" s="203">
        <v>0</v>
      </c>
      <c r="BS43" s="203">
        <v>0</v>
      </c>
      <c r="BT43" s="203">
        <v>0</v>
      </c>
      <c r="BU43" s="203">
        <v>0</v>
      </c>
      <c r="BV43" s="203">
        <v>0</v>
      </c>
      <c r="BW43" s="203">
        <v>0</v>
      </c>
      <c r="BX43" s="203">
        <v>0</v>
      </c>
      <c r="BY43" s="203">
        <v>0</v>
      </c>
      <c r="BZ43" s="203">
        <v>0</v>
      </c>
      <c r="CA43" s="203">
        <v>0</v>
      </c>
      <c r="CB43" s="203">
        <v>73</v>
      </c>
      <c r="CC43" s="203">
        <v>0</v>
      </c>
      <c r="CD43" s="203">
        <v>0</v>
      </c>
      <c r="CE43" s="203">
        <v>0</v>
      </c>
      <c r="CF43" s="203">
        <v>0</v>
      </c>
      <c r="CG43" s="203">
        <v>0</v>
      </c>
      <c r="CH43" s="203">
        <v>0</v>
      </c>
      <c r="CI43" s="203">
        <v>0</v>
      </c>
      <c r="CJ43" s="203">
        <v>0</v>
      </c>
      <c r="CK43" s="203">
        <v>0</v>
      </c>
      <c r="CL43" s="203">
        <v>0</v>
      </c>
      <c r="CM43" s="203">
        <v>0</v>
      </c>
      <c r="CN43" s="203">
        <v>0</v>
      </c>
      <c r="CO43" s="203">
        <v>0</v>
      </c>
      <c r="CP43" s="203">
        <v>0</v>
      </c>
      <c r="CQ43" s="203">
        <v>0</v>
      </c>
      <c r="CR43" s="203">
        <v>0</v>
      </c>
      <c r="CS43" s="203">
        <v>39</v>
      </c>
      <c r="CT43" s="203">
        <v>0</v>
      </c>
      <c r="CU43" s="203">
        <v>0</v>
      </c>
      <c r="CV43" s="203">
        <v>0</v>
      </c>
      <c r="CW43" s="203">
        <v>0</v>
      </c>
      <c r="CX43" s="203">
        <v>0</v>
      </c>
      <c r="CY43" s="203">
        <v>0</v>
      </c>
      <c r="CZ43" s="203">
        <v>6</v>
      </c>
      <c r="DA43" s="203">
        <v>0</v>
      </c>
      <c r="DB43" s="203">
        <v>0</v>
      </c>
      <c r="DC43" s="203">
        <v>207</v>
      </c>
      <c r="DD43" s="203">
        <v>164</v>
      </c>
      <c r="DE43" s="203">
        <v>0</v>
      </c>
      <c r="DF43" s="203">
        <v>0</v>
      </c>
      <c r="DG43" s="203">
        <v>0</v>
      </c>
      <c r="DH43" s="203">
        <v>0</v>
      </c>
      <c r="DI43" s="203">
        <v>155</v>
      </c>
      <c r="DJ43" s="203">
        <v>0</v>
      </c>
      <c r="DK43" s="203">
        <v>0</v>
      </c>
      <c r="DL43" s="203">
        <v>0</v>
      </c>
      <c r="DM43" s="203">
        <v>0</v>
      </c>
      <c r="DN43" s="203">
        <v>0</v>
      </c>
      <c r="DO43" s="203">
        <v>0</v>
      </c>
      <c r="DP43" s="203">
        <v>0</v>
      </c>
      <c r="DQ43" s="203">
        <v>0</v>
      </c>
      <c r="DR43" s="203">
        <v>0</v>
      </c>
      <c r="DS43" s="203">
        <v>0</v>
      </c>
      <c r="DT43" s="203">
        <v>0</v>
      </c>
      <c r="DU43" s="203">
        <v>0</v>
      </c>
      <c r="DV43" s="203">
        <v>0</v>
      </c>
      <c r="DW43" s="203">
        <v>0</v>
      </c>
      <c r="DX43" s="203">
        <v>0</v>
      </c>
      <c r="DY43" s="203">
        <v>0</v>
      </c>
      <c r="DZ43" s="203">
        <v>0</v>
      </c>
      <c r="EA43" s="203">
        <v>0</v>
      </c>
      <c r="EB43" s="203">
        <v>0</v>
      </c>
      <c r="EC43" s="203">
        <v>0</v>
      </c>
      <c r="ED43" s="203">
        <v>0</v>
      </c>
      <c r="EE43" s="203">
        <v>0</v>
      </c>
      <c r="EF43" s="203">
        <v>0</v>
      </c>
      <c r="EG43" s="203">
        <v>0</v>
      </c>
      <c r="EH43" s="203">
        <v>0</v>
      </c>
      <c r="EI43" s="203">
        <v>0</v>
      </c>
      <c r="EJ43" s="203">
        <v>0</v>
      </c>
      <c r="EK43" s="203">
        <v>0</v>
      </c>
      <c r="EL43" s="203">
        <v>0</v>
      </c>
      <c r="EM43" s="203">
        <v>0</v>
      </c>
      <c r="EN43" s="203">
        <v>0</v>
      </c>
      <c r="EO43" s="203">
        <v>0</v>
      </c>
      <c r="EP43" s="203">
        <v>0</v>
      </c>
      <c r="EQ43" s="203">
        <v>0</v>
      </c>
      <c r="ER43" s="203">
        <v>0</v>
      </c>
      <c r="ES43" s="203">
        <v>0</v>
      </c>
      <c r="ET43" s="203">
        <v>0</v>
      </c>
      <c r="EU43" s="203">
        <v>0</v>
      </c>
      <c r="EV43" s="203">
        <v>0</v>
      </c>
      <c r="EW43" s="203">
        <v>0</v>
      </c>
      <c r="EX43" s="203">
        <v>0</v>
      </c>
      <c r="EY43" s="203">
        <v>0</v>
      </c>
      <c r="EZ43" s="203">
        <v>0</v>
      </c>
      <c r="FA43" s="203">
        <v>0</v>
      </c>
      <c r="FB43" s="203">
        <v>0</v>
      </c>
      <c r="FC43" s="203">
        <v>0</v>
      </c>
      <c r="FD43" s="203">
        <v>0</v>
      </c>
      <c r="FE43" s="203">
        <v>0</v>
      </c>
      <c r="FF43" s="203">
        <v>0</v>
      </c>
      <c r="FG43" s="203">
        <v>0</v>
      </c>
      <c r="FH43" s="203">
        <v>0</v>
      </c>
      <c r="FI43" s="203">
        <v>0</v>
      </c>
      <c r="FJ43" s="203">
        <v>0</v>
      </c>
      <c r="FK43" s="203">
        <v>0</v>
      </c>
      <c r="FL43" s="203">
        <v>0</v>
      </c>
      <c r="FM43" s="203">
        <v>0</v>
      </c>
      <c r="FN43" s="203">
        <v>0</v>
      </c>
      <c r="FO43" s="203">
        <v>0</v>
      </c>
      <c r="FP43" s="203">
        <v>0</v>
      </c>
      <c r="FQ43" s="203">
        <v>0</v>
      </c>
      <c r="FR43" s="203">
        <v>0</v>
      </c>
      <c r="FS43" s="203">
        <v>0</v>
      </c>
      <c r="FT43" s="203">
        <v>0</v>
      </c>
      <c r="FU43" s="203">
        <v>0</v>
      </c>
      <c r="FV43" s="203">
        <v>0</v>
      </c>
      <c r="FW43" s="203">
        <v>0</v>
      </c>
      <c r="FX43" s="203">
        <v>0</v>
      </c>
      <c r="FY43" s="203">
        <v>0</v>
      </c>
      <c r="FZ43" s="203">
        <v>0</v>
      </c>
      <c r="GA43" s="203">
        <v>0</v>
      </c>
      <c r="GB43" s="203">
        <v>0</v>
      </c>
      <c r="GC43" s="203">
        <v>0</v>
      </c>
      <c r="GD43" s="203">
        <v>0</v>
      </c>
      <c r="GE43" s="203">
        <v>0</v>
      </c>
      <c r="GF43" s="203">
        <v>129</v>
      </c>
      <c r="GG43" s="203">
        <v>0</v>
      </c>
      <c r="GH43" s="203">
        <v>0</v>
      </c>
      <c r="GI43" s="203">
        <v>0</v>
      </c>
      <c r="GJ43" s="203">
        <v>0</v>
      </c>
      <c r="GK43" s="203">
        <v>0</v>
      </c>
      <c r="GL43" s="203">
        <v>0</v>
      </c>
      <c r="GM43" s="203">
        <v>0</v>
      </c>
      <c r="GN43" s="203">
        <v>0</v>
      </c>
      <c r="GO43" s="203">
        <v>0</v>
      </c>
      <c r="GP43" s="203">
        <v>0</v>
      </c>
      <c r="GQ43" s="203">
        <v>0</v>
      </c>
      <c r="GR43" s="203">
        <v>0</v>
      </c>
      <c r="GS43" s="203">
        <v>0</v>
      </c>
      <c r="GT43" s="203">
        <v>0</v>
      </c>
      <c r="GU43" s="203">
        <v>0</v>
      </c>
      <c r="GV43" s="203">
        <v>0</v>
      </c>
      <c r="GW43" s="203"/>
      <c r="GX43" s="203"/>
      <c r="GY43" s="203"/>
      <c r="GZ43" s="203"/>
    </row>
    <row r="44" spans="1:208" ht="14.45">
      <c r="A44" s="176" t="s">
        <v>319</v>
      </c>
      <c r="B44" s="45">
        <v>1.25</v>
      </c>
      <c r="C44" s="96">
        <v>0</v>
      </c>
      <c r="D44" s="96">
        <v>0</v>
      </c>
      <c r="E44" s="96">
        <f>G44</f>
        <v>0</v>
      </c>
      <c r="F44" s="96">
        <v>0</v>
      </c>
      <c r="G44" s="173">
        <f t="shared" si="14"/>
        <v>0</v>
      </c>
      <c r="H44" s="203">
        <v>0</v>
      </c>
      <c r="I44" s="203">
        <v>0</v>
      </c>
      <c r="J44" s="203">
        <v>0</v>
      </c>
      <c r="K44" s="203">
        <v>0</v>
      </c>
      <c r="L44" s="203">
        <v>0</v>
      </c>
      <c r="M44" s="203">
        <v>0</v>
      </c>
      <c r="N44" s="203">
        <v>0</v>
      </c>
      <c r="O44" s="203">
        <v>0</v>
      </c>
      <c r="P44" s="203">
        <v>0</v>
      </c>
      <c r="Q44" s="203">
        <v>0</v>
      </c>
      <c r="R44" s="203">
        <v>0</v>
      </c>
      <c r="S44" s="203">
        <v>0</v>
      </c>
      <c r="T44" s="203">
        <v>0</v>
      </c>
      <c r="U44" s="203">
        <v>0</v>
      </c>
      <c r="V44" s="203">
        <v>0</v>
      </c>
      <c r="W44" s="203">
        <v>0</v>
      </c>
      <c r="X44" s="203">
        <v>0</v>
      </c>
      <c r="Y44" s="203">
        <v>0</v>
      </c>
      <c r="Z44" s="203">
        <v>0</v>
      </c>
      <c r="AA44" s="203">
        <v>0</v>
      </c>
      <c r="AB44" s="203">
        <v>0</v>
      </c>
      <c r="AC44" s="203">
        <v>0</v>
      </c>
      <c r="AD44" s="203">
        <v>0</v>
      </c>
      <c r="AE44" s="203">
        <v>0</v>
      </c>
      <c r="AF44" s="203">
        <v>0</v>
      </c>
      <c r="AG44" s="203">
        <v>0</v>
      </c>
      <c r="AH44" s="203">
        <v>0</v>
      </c>
      <c r="AI44" s="203">
        <v>0</v>
      </c>
      <c r="AJ44" s="203">
        <v>0</v>
      </c>
      <c r="AK44" s="203">
        <v>0</v>
      </c>
      <c r="AL44" s="203">
        <v>0</v>
      </c>
      <c r="AM44" s="203">
        <v>0</v>
      </c>
      <c r="AN44" s="203">
        <v>0</v>
      </c>
      <c r="AO44" s="203">
        <v>0</v>
      </c>
      <c r="AP44" s="203">
        <v>0</v>
      </c>
      <c r="AQ44" s="203">
        <v>0</v>
      </c>
      <c r="AR44" s="203">
        <v>0</v>
      </c>
      <c r="AS44" s="203">
        <v>0</v>
      </c>
      <c r="AT44" s="203">
        <v>0</v>
      </c>
      <c r="AU44" s="203">
        <v>0</v>
      </c>
      <c r="AV44" s="203">
        <v>0</v>
      </c>
      <c r="AW44" s="203">
        <v>0</v>
      </c>
      <c r="AX44" s="203">
        <v>0</v>
      </c>
      <c r="AY44" s="203">
        <v>0</v>
      </c>
      <c r="AZ44" s="203">
        <v>0</v>
      </c>
      <c r="BA44" s="203">
        <v>0</v>
      </c>
      <c r="BB44" s="203">
        <v>0</v>
      </c>
      <c r="BC44" s="203">
        <v>0</v>
      </c>
      <c r="BD44" s="203">
        <v>0</v>
      </c>
      <c r="BE44" s="203">
        <v>0</v>
      </c>
      <c r="BF44" s="203">
        <v>0</v>
      </c>
      <c r="BG44" s="203">
        <v>0</v>
      </c>
      <c r="BH44" s="203">
        <v>0</v>
      </c>
      <c r="BI44" s="203">
        <v>0</v>
      </c>
      <c r="BJ44" s="203">
        <v>0</v>
      </c>
      <c r="BK44" s="203">
        <v>0</v>
      </c>
      <c r="BL44" s="203">
        <v>0</v>
      </c>
      <c r="BM44" s="203">
        <v>0</v>
      </c>
      <c r="BN44" s="203">
        <v>0</v>
      </c>
      <c r="BO44" s="203">
        <v>0</v>
      </c>
      <c r="BP44" s="203">
        <v>0</v>
      </c>
      <c r="BQ44" s="203">
        <v>0</v>
      </c>
      <c r="BR44" s="203">
        <v>0</v>
      </c>
      <c r="BS44" s="203">
        <v>0</v>
      </c>
      <c r="BT44" s="203">
        <v>0</v>
      </c>
      <c r="BU44" s="203">
        <v>0</v>
      </c>
      <c r="BV44" s="203">
        <v>0</v>
      </c>
      <c r="BW44" s="203">
        <v>0</v>
      </c>
      <c r="BX44" s="203">
        <v>0</v>
      </c>
      <c r="BY44" s="203">
        <v>0</v>
      </c>
      <c r="BZ44" s="203">
        <v>0</v>
      </c>
      <c r="CA44" s="203">
        <v>0</v>
      </c>
      <c r="CB44" s="203">
        <v>0</v>
      </c>
      <c r="CC44" s="203">
        <v>0</v>
      </c>
      <c r="CD44" s="203">
        <v>0</v>
      </c>
      <c r="CE44" s="203">
        <v>0</v>
      </c>
      <c r="CF44" s="203">
        <v>0</v>
      </c>
      <c r="CG44" s="203">
        <v>0</v>
      </c>
      <c r="CH44" s="203">
        <v>0</v>
      </c>
      <c r="CI44" s="203">
        <v>0</v>
      </c>
      <c r="CJ44" s="203">
        <v>0</v>
      </c>
      <c r="CK44" s="203">
        <v>0</v>
      </c>
      <c r="CL44" s="203">
        <v>0</v>
      </c>
      <c r="CM44" s="203">
        <v>0</v>
      </c>
      <c r="CN44" s="203">
        <v>0</v>
      </c>
      <c r="CO44" s="203">
        <v>0</v>
      </c>
      <c r="CP44" s="203">
        <v>0</v>
      </c>
      <c r="CQ44" s="203">
        <v>0</v>
      </c>
      <c r="CR44" s="203">
        <v>0</v>
      </c>
      <c r="CS44" s="203">
        <v>0</v>
      </c>
      <c r="CT44" s="203">
        <v>0</v>
      </c>
      <c r="CU44" s="203">
        <v>0</v>
      </c>
      <c r="CV44" s="203">
        <v>0</v>
      </c>
      <c r="CW44" s="203">
        <v>0</v>
      </c>
      <c r="CX44" s="203">
        <v>0</v>
      </c>
      <c r="CY44" s="203">
        <v>0</v>
      </c>
      <c r="CZ44" s="203">
        <v>0</v>
      </c>
      <c r="DA44" s="203">
        <v>0</v>
      </c>
      <c r="DB44" s="203">
        <v>0</v>
      </c>
      <c r="DC44" s="203">
        <v>0</v>
      </c>
      <c r="DD44" s="203">
        <v>0</v>
      </c>
      <c r="DE44" s="203">
        <v>0</v>
      </c>
      <c r="DF44" s="203">
        <v>0</v>
      </c>
      <c r="DG44" s="203">
        <v>0</v>
      </c>
      <c r="DH44" s="203">
        <v>0</v>
      </c>
      <c r="DI44" s="203">
        <v>0</v>
      </c>
      <c r="DJ44" s="203">
        <v>0</v>
      </c>
      <c r="DK44" s="203">
        <v>0</v>
      </c>
      <c r="DL44" s="203">
        <v>0</v>
      </c>
      <c r="DM44" s="203">
        <v>0</v>
      </c>
      <c r="DN44" s="203">
        <v>0</v>
      </c>
      <c r="DO44" s="203">
        <v>0</v>
      </c>
      <c r="DP44" s="203">
        <v>0</v>
      </c>
      <c r="DQ44" s="203">
        <v>0</v>
      </c>
      <c r="DR44" s="203">
        <v>0</v>
      </c>
      <c r="DS44" s="203">
        <v>0</v>
      </c>
      <c r="DT44" s="203">
        <v>0</v>
      </c>
      <c r="DU44" s="203">
        <v>0</v>
      </c>
      <c r="DV44" s="203">
        <v>0</v>
      </c>
      <c r="DW44" s="203">
        <v>0</v>
      </c>
      <c r="DX44" s="203">
        <v>0</v>
      </c>
      <c r="DY44" s="203">
        <v>0</v>
      </c>
      <c r="DZ44" s="203">
        <v>0</v>
      </c>
      <c r="EA44" s="203">
        <v>0</v>
      </c>
      <c r="EB44" s="203">
        <v>0</v>
      </c>
      <c r="EC44" s="203">
        <v>0</v>
      </c>
      <c r="ED44" s="203">
        <v>0</v>
      </c>
      <c r="EE44" s="203">
        <v>0</v>
      </c>
      <c r="EF44" s="203">
        <v>0</v>
      </c>
      <c r="EG44" s="203">
        <v>0</v>
      </c>
      <c r="EH44" s="203">
        <v>0</v>
      </c>
      <c r="EI44" s="203">
        <v>0</v>
      </c>
      <c r="EJ44" s="203">
        <v>0</v>
      </c>
      <c r="EK44" s="203">
        <v>0</v>
      </c>
      <c r="EL44" s="203">
        <v>0</v>
      </c>
      <c r="EM44" s="203">
        <v>0</v>
      </c>
      <c r="EN44" s="203">
        <v>0</v>
      </c>
      <c r="EO44" s="203">
        <v>0</v>
      </c>
      <c r="EP44" s="203">
        <v>0</v>
      </c>
      <c r="EQ44" s="203">
        <v>0</v>
      </c>
      <c r="ER44" s="203">
        <v>0</v>
      </c>
      <c r="ES44" s="203">
        <v>0</v>
      </c>
      <c r="ET44" s="203">
        <v>0</v>
      </c>
      <c r="EU44" s="203">
        <v>0</v>
      </c>
      <c r="EV44" s="203">
        <v>0</v>
      </c>
      <c r="EW44" s="203">
        <v>0</v>
      </c>
      <c r="EX44" s="203">
        <v>0</v>
      </c>
      <c r="EY44" s="203">
        <v>0</v>
      </c>
      <c r="EZ44" s="203">
        <v>0</v>
      </c>
      <c r="FA44" s="203">
        <v>0</v>
      </c>
      <c r="FB44" s="203">
        <v>0</v>
      </c>
      <c r="FC44" s="203">
        <v>0</v>
      </c>
      <c r="FD44" s="203">
        <v>0</v>
      </c>
      <c r="FE44" s="203">
        <v>0</v>
      </c>
      <c r="FF44" s="203">
        <v>0</v>
      </c>
      <c r="FG44" s="203">
        <v>0</v>
      </c>
      <c r="FH44" s="203">
        <v>0</v>
      </c>
      <c r="FI44" s="203">
        <v>0</v>
      </c>
      <c r="FJ44" s="203">
        <v>0</v>
      </c>
      <c r="FK44" s="203">
        <v>0</v>
      </c>
      <c r="FL44" s="203">
        <v>0</v>
      </c>
      <c r="FM44" s="203">
        <v>0</v>
      </c>
      <c r="FN44" s="203">
        <v>0</v>
      </c>
      <c r="FO44" s="203">
        <v>0</v>
      </c>
      <c r="FP44" s="203">
        <v>0</v>
      </c>
      <c r="FQ44" s="203">
        <v>0</v>
      </c>
      <c r="FR44" s="203">
        <v>0</v>
      </c>
      <c r="FS44" s="203">
        <v>0</v>
      </c>
      <c r="FT44" s="203">
        <v>0</v>
      </c>
      <c r="FU44" s="203">
        <v>0</v>
      </c>
      <c r="FV44" s="203">
        <v>0</v>
      </c>
      <c r="FW44" s="203">
        <v>0</v>
      </c>
      <c r="FX44" s="203">
        <v>0</v>
      </c>
      <c r="FY44" s="203">
        <v>0</v>
      </c>
      <c r="FZ44" s="203">
        <v>0</v>
      </c>
      <c r="GA44" s="203">
        <v>0</v>
      </c>
      <c r="GB44" s="203">
        <v>0</v>
      </c>
      <c r="GC44" s="203">
        <v>0</v>
      </c>
      <c r="GD44" s="203">
        <v>0</v>
      </c>
      <c r="GE44" s="203">
        <v>0</v>
      </c>
      <c r="GF44" s="203">
        <v>0</v>
      </c>
      <c r="GG44" s="203">
        <v>0</v>
      </c>
      <c r="GH44" s="203">
        <v>0</v>
      </c>
      <c r="GI44" s="203">
        <v>0</v>
      </c>
      <c r="GJ44" s="203">
        <v>0</v>
      </c>
      <c r="GK44" s="203">
        <v>0</v>
      </c>
      <c r="GL44" s="203">
        <v>0</v>
      </c>
      <c r="GM44" s="203">
        <v>0</v>
      </c>
      <c r="GN44" s="203">
        <v>0</v>
      </c>
      <c r="GO44" s="203">
        <v>0</v>
      </c>
      <c r="GP44" s="203">
        <v>0</v>
      </c>
      <c r="GQ44" s="203">
        <v>0</v>
      </c>
      <c r="GR44" s="203">
        <v>0</v>
      </c>
      <c r="GS44" s="203">
        <v>0</v>
      </c>
      <c r="GT44" s="203">
        <v>0</v>
      </c>
      <c r="GU44" s="203">
        <v>0</v>
      </c>
      <c r="GV44" s="203">
        <v>0</v>
      </c>
      <c r="GW44" s="203"/>
      <c r="GX44" s="203"/>
      <c r="GY44" s="203"/>
      <c r="GZ44" s="203"/>
    </row>
    <row r="45" spans="1:208" ht="14.45">
      <c r="A45" s="175" t="s">
        <v>320</v>
      </c>
      <c r="B45" s="45">
        <v>1.25</v>
      </c>
      <c r="C45" s="96">
        <v>0</v>
      </c>
      <c r="D45" s="96">
        <f>G45</f>
        <v>0</v>
      </c>
      <c r="E45" s="96">
        <v>0</v>
      </c>
      <c r="F45" s="96">
        <v>0</v>
      </c>
      <c r="G45" s="173">
        <f t="shared" si="14"/>
        <v>0</v>
      </c>
      <c r="H45" s="203">
        <v>0</v>
      </c>
      <c r="I45" s="203">
        <v>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0</v>
      </c>
      <c r="P45" s="203">
        <v>0</v>
      </c>
      <c r="Q45" s="203">
        <v>0</v>
      </c>
      <c r="R45" s="203">
        <v>0</v>
      </c>
      <c r="S45" s="203">
        <v>0</v>
      </c>
      <c r="T45" s="203">
        <v>0</v>
      </c>
      <c r="U45" s="203">
        <v>0</v>
      </c>
      <c r="V45" s="203">
        <v>0</v>
      </c>
      <c r="W45" s="203">
        <v>0</v>
      </c>
      <c r="X45" s="203">
        <v>0</v>
      </c>
      <c r="Y45" s="203">
        <v>0</v>
      </c>
      <c r="Z45" s="203">
        <v>0</v>
      </c>
      <c r="AA45" s="203">
        <v>0</v>
      </c>
      <c r="AB45" s="203">
        <v>0</v>
      </c>
      <c r="AC45" s="203">
        <v>0</v>
      </c>
      <c r="AD45" s="203">
        <v>0</v>
      </c>
      <c r="AE45" s="203">
        <v>0</v>
      </c>
      <c r="AF45" s="203">
        <v>0</v>
      </c>
      <c r="AG45" s="203">
        <v>0</v>
      </c>
      <c r="AH45" s="203">
        <v>0</v>
      </c>
      <c r="AI45" s="203">
        <v>0</v>
      </c>
      <c r="AJ45" s="203">
        <v>0</v>
      </c>
      <c r="AK45" s="203">
        <v>0</v>
      </c>
      <c r="AL45" s="203">
        <v>0</v>
      </c>
      <c r="AM45" s="203">
        <v>0</v>
      </c>
      <c r="AN45" s="203">
        <v>0</v>
      </c>
      <c r="AO45" s="203">
        <v>0</v>
      </c>
      <c r="AP45" s="203">
        <v>0</v>
      </c>
      <c r="AQ45" s="203">
        <v>0</v>
      </c>
      <c r="AR45" s="203">
        <v>0</v>
      </c>
      <c r="AS45" s="203">
        <v>0</v>
      </c>
      <c r="AT45" s="203">
        <v>0</v>
      </c>
      <c r="AU45" s="203">
        <v>0</v>
      </c>
      <c r="AV45" s="203">
        <v>0</v>
      </c>
      <c r="AW45" s="203">
        <v>0</v>
      </c>
      <c r="AX45" s="203">
        <v>0</v>
      </c>
      <c r="AY45" s="203">
        <v>0</v>
      </c>
      <c r="AZ45" s="203">
        <v>0</v>
      </c>
      <c r="BA45" s="203">
        <v>0</v>
      </c>
      <c r="BB45" s="203">
        <v>0</v>
      </c>
      <c r="BC45" s="203">
        <v>0</v>
      </c>
      <c r="BD45" s="203">
        <v>0</v>
      </c>
      <c r="BE45" s="203">
        <v>0</v>
      </c>
      <c r="BF45" s="203">
        <v>0</v>
      </c>
      <c r="BG45" s="203">
        <v>0</v>
      </c>
      <c r="BH45" s="203">
        <v>0</v>
      </c>
      <c r="BI45" s="203">
        <v>0</v>
      </c>
      <c r="BJ45" s="203">
        <v>0</v>
      </c>
      <c r="BK45" s="203">
        <v>0</v>
      </c>
      <c r="BL45" s="203">
        <v>0</v>
      </c>
      <c r="BM45" s="203">
        <v>0</v>
      </c>
      <c r="BN45" s="203">
        <v>0</v>
      </c>
      <c r="BO45" s="203">
        <v>0</v>
      </c>
      <c r="BP45" s="203">
        <v>0</v>
      </c>
      <c r="BQ45" s="203">
        <v>0</v>
      </c>
      <c r="BR45" s="203">
        <v>0</v>
      </c>
      <c r="BS45" s="203">
        <v>0</v>
      </c>
      <c r="BT45" s="203">
        <v>0</v>
      </c>
      <c r="BU45" s="203">
        <v>0</v>
      </c>
      <c r="BV45" s="203">
        <v>0</v>
      </c>
      <c r="BW45" s="203">
        <v>0</v>
      </c>
      <c r="BX45" s="203">
        <v>0</v>
      </c>
      <c r="BY45" s="203">
        <v>0</v>
      </c>
      <c r="BZ45" s="203">
        <v>0</v>
      </c>
      <c r="CA45" s="203">
        <v>0</v>
      </c>
      <c r="CB45" s="203">
        <v>0</v>
      </c>
      <c r="CC45" s="203">
        <v>0</v>
      </c>
      <c r="CD45" s="203">
        <v>0</v>
      </c>
      <c r="CE45" s="203">
        <v>0</v>
      </c>
      <c r="CF45" s="203">
        <v>0</v>
      </c>
      <c r="CG45" s="203">
        <v>0</v>
      </c>
      <c r="CH45" s="203">
        <v>0</v>
      </c>
      <c r="CI45" s="203">
        <v>0</v>
      </c>
      <c r="CJ45" s="203">
        <v>0</v>
      </c>
      <c r="CK45" s="203">
        <v>0</v>
      </c>
      <c r="CL45" s="203">
        <v>0</v>
      </c>
      <c r="CM45" s="203">
        <v>0</v>
      </c>
      <c r="CN45" s="203">
        <v>0</v>
      </c>
      <c r="CO45" s="203">
        <v>0</v>
      </c>
      <c r="CP45" s="203">
        <v>0</v>
      </c>
      <c r="CQ45" s="203">
        <v>0</v>
      </c>
      <c r="CR45" s="203">
        <v>0</v>
      </c>
      <c r="CS45" s="203">
        <v>0</v>
      </c>
      <c r="CT45" s="203">
        <v>0</v>
      </c>
      <c r="CU45" s="203">
        <v>0</v>
      </c>
      <c r="CV45" s="203">
        <v>0</v>
      </c>
      <c r="CW45" s="203">
        <v>0</v>
      </c>
      <c r="CX45" s="203">
        <v>0</v>
      </c>
      <c r="CY45" s="203">
        <v>0</v>
      </c>
      <c r="CZ45" s="203">
        <v>0</v>
      </c>
      <c r="DA45" s="203">
        <v>0</v>
      </c>
      <c r="DB45" s="203">
        <v>0</v>
      </c>
      <c r="DC45" s="203">
        <v>0</v>
      </c>
      <c r="DD45" s="203">
        <v>0</v>
      </c>
      <c r="DE45" s="203">
        <v>0</v>
      </c>
      <c r="DF45" s="203">
        <v>0</v>
      </c>
      <c r="DG45" s="203">
        <v>0</v>
      </c>
      <c r="DH45" s="203">
        <v>0</v>
      </c>
      <c r="DI45" s="203">
        <v>0</v>
      </c>
      <c r="DJ45" s="203">
        <v>0</v>
      </c>
      <c r="DK45" s="203">
        <v>0</v>
      </c>
      <c r="DL45" s="203">
        <v>0</v>
      </c>
      <c r="DM45" s="203">
        <v>0</v>
      </c>
      <c r="DN45" s="203">
        <v>0</v>
      </c>
      <c r="DO45" s="203">
        <v>0</v>
      </c>
      <c r="DP45" s="203">
        <v>0</v>
      </c>
      <c r="DQ45" s="203">
        <v>0</v>
      </c>
      <c r="DR45" s="203">
        <v>0</v>
      </c>
      <c r="DS45" s="203">
        <v>0</v>
      </c>
      <c r="DT45" s="203">
        <v>0</v>
      </c>
      <c r="DU45" s="203">
        <v>0</v>
      </c>
      <c r="DV45" s="203">
        <v>0</v>
      </c>
      <c r="DW45" s="203">
        <v>0</v>
      </c>
      <c r="DX45" s="203">
        <v>0</v>
      </c>
      <c r="DY45" s="203">
        <v>0</v>
      </c>
      <c r="DZ45" s="203">
        <v>0</v>
      </c>
      <c r="EA45" s="203">
        <v>0</v>
      </c>
      <c r="EB45" s="203">
        <v>0</v>
      </c>
      <c r="EC45" s="203">
        <v>0</v>
      </c>
      <c r="ED45" s="203">
        <v>0</v>
      </c>
      <c r="EE45" s="203">
        <v>0</v>
      </c>
      <c r="EF45" s="203">
        <v>0</v>
      </c>
      <c r="EG45" s="203">
        <v>0</v>
      </c>
      <c r="EH45" s="203">
        <v>0</v>
      </c>
      <c r="EI45" s="203">
        <v>0</v>
      </c>
      <c r="EJ45" s="203">
        <v>0</v>
      </c>
      <c r="EK45" s="203">
        <v>0</v>
      </c>
      <c r="EL45" s="203">
        <v>0</v>
      </c>
      <c r="EM45" s="203">
        <v>0</v>
      </c>
      <c r="EN45" s="203">
        <v>0</v>
      </c>
      <c r="EO45" s="203">
        <v>0</v>
      </c>
      <c r="EP45" s="203">
        <v>0</v>
      </c>
      <c r="EQ45" s="203">
        <v>0</v>
      </c>
      <c r="ER45" s="203">
        <v>0</v>
      </c>
      <c r="ES45" s="203">
        <v>0</v>
      </c>
      <c r="ET45" s="203">
        <v>0</v>
      </c>
      <c r="EU45" s="203">
        <v>0</v>
      </c>
      <c r="EV45" s="203">
        <v>0</v>
      </c>
      <c r="EW45" s="203">
        <v>0</v>
      </c>
      <c r="EX45" s="203">
        <v>0</v>
      </c>
      <c r="EY45" s="203">
        <v>0</v>
      </c>
      <c r="EZ45" s="203">
        <v>0</v>
      </c>
      <c r="FA45" s="203">
        <v>0</v>
      </c>
      <c r="FB45" s="203">
        <v>0</v>
      </c>
      <c r="FC45" s="203">
        <v>0</v>
      </c>
      <c r="FD45" s="203">
        <v>0</v>
      </c>
      <c r="FE45" s="203">
        <v>0</v>
      </c>
      <c r="FF45" s="203">
        <v>0</v>
      </c>
      <c r="FG45" s="203">
        <v>0</v>
      </c>
      <c r="FH45" s="203">
        <v>0</v>
      </c>
      <c r="FI45" s="203">
        <v>0</v>
      </c>
      <c r="FJ45" s="203">
        <v>0</v>
      </c>
      <c r="FK45" s="203">
        <v>0</v>
      </c>
      <c r="FL45" s="203">
        <v>0</v>
      </c>
      <c r="FM45" s="203">
        <v>0</v>
      </c>
      <c r="FN45" s="203">
        <v>0</v>
      </c>
      <c r="FO45" s="203">
        <v>0</v>
      </c>
      <c r="FP45" s="203">
        <v>0</v>
      </c>
      <c r="FQ45" s="203">
        <v>0</v>
      </c>
      <c r="FR45" s="203">
        <v>0</v>
      </c>
      <c r="FS45" s="203">
        <v>0</v>
      </c>
      <c r="FT45" s="203">
        <v>0</v>
      </c>
      <c r="FU45" s="203">
        <v>0</v>
      </c>
      <c r="FV45" s="203">
        <v>0</v>
      </c>
      <c r="FW45" s="203">
        <v>0</v>
      </c>
      <c r="FX45" s="203">
        <v>0</v>
      </c>
      <c r="FY45" s="203">
        <v>0</v>
      </c>
      <c r="FZ45" s="203">
        <v>0</v>
      </c>
      <c r="GA45" s="203">
        <v>0</v>
      </c>
      <c r="GB45" s="203">
        <v>0</v>
      </c>
      <c r="GC45" s="203">
        <v>0</v>
      </c>
      <c r="GD45" s="203">
        <v>0</v>
      </c>
      <c r="GE45" s="203">
        <v>0</v>
      </c>
      <c r="GF45" s="203">
        <v>0</v>
      </c>
      <c r="GG45" s="203">
        <v>0</v>
      </c>
      <c r="GH45" s="203">
        <v>0</v>
      </c>
      <c r="GI45" s="203">
        <v>0</v>
      </c>
      <c r="GJ45" s="203">
        <v>0</v>
      </c>
      <c r="GK45" s="203">
        <v>0</v>
      </c>
      <c r="GL45" s="203">
        <v>0</v>
      </c>
      <c r="GM45" s="203">
        <v>0</v>
      </c>
      <c r="GN45" s="203">
        <v>0</v>
      </c>
      <c r="GO45" s="203">
        <v>0</v>
      </c>
      <c r="GP45" s="203">
        <v>0</v>
      </c>
      <c r="GQ45" s="203">
        <v>0</v>
      </c>
      <c r="GR45" s="203">
        <v>0</v>
      </c>
      <c r="GS45" s="203">
        <v>0</v>
      </c>
      <c r="GT45" s="203">
        <v>0</v>
      </c>
      <c r="GU45" s="203">
        <v>0</v>
      </c>
      <c r="GV45" s="203">
        <v>0</v>
      </c>
      <c r="GW45" s="203"/>
      <c r="GX45" s="203"/>
      <c r="GY45" s="203"/>
      <c r="GZ45" s="203"/>
    </row>
    <row r="46" spans="1:208" ht="14.45">
      <c r="A46" s="175" t="s">
        <v>321</v>
      </c>
      <c r="B46" s="45">
        <v>1.25</v>
      </c>
      <c r="C46" s="96">
        <v>0</v>
      </c>
      <c r="D46" s="96">
        <v>0</v>
      </c>
      <c r="E46" s="96">
        <f>G46</f>
        <v>510</v>
      </c>
      <c r="F46" s="96">
        <v>0</v>
      </c>
      <c r="G46" s="173">
        <f t="shared" si="14"/>
        <v>510</v>
      </c>
      <c r="H46" s="203">
        <v>0</v>
      </c>
      <c r="I46" s="203">
        <v>0</v>
      </c>
      <c r="J46" s="203">
        <v>0</v>
      </c>
      <c r="K46" s="203">
        <v>0</v>
      </c>
      <c r="L46" s="203">
        <v>0</v>
      </c>
      <c r="M46" s="203">
        <v>0</v>
      </c>
      <c r="N46" s="203">
        <v>0</v>
      </c>
      <c r="O46" s="203">
        <v>0</v>
      </c>
      <c r="P46" s="203">
        <v>0</v>
      </c>
      <c r="Q46" s="203">
        <v>0</v>
      </c>
      <c r="R46" s="203">
        <v>0</v>
      </c>
      <c r="S46" s="203">
        <v>0</v>
      </c>
      <c r="T46" s="203">
        <v>0</v>
      </c>
      <c r="U46" s="203">
        <v>0</v>
      </c>
      <c r="V46" s="203">
        <v>0</v>
      </c>
      <c r="W46" s="203">
        <v>0</v>
      </c>
      <c r="X46" s="203">
        <v>0</v>
      </c>
      <c r="Y46" s="203">
        <v>0</v>
      </c>
      <c r="Z46" s="203">
        <v>0</v>
      </c>
      <c r="AA46" s="203">
        <v>0</v>
      </c>
      <c r="AB46" s="203">
        <v>0</v>
      </c>
      <c r="AC46" s="203">
        <v>0</v>
      </c>
      <c r="AD46" s="203">
        <v>0</v>
      </c>
      <c r="AE46" s="203">
        <v>0</v>
      </c>
      <c r="AF46" s="203">
        <v>0</v>
      </c>
      <c r="AG46" s="203">
        <v>0</v>
      </c>
      <c r="AH46" s="203">
        <v>0</v>
      </c>
      <c r="AI46" s="203">
        <v>0</v>
      </c>
      <c r="AJ46" s="203">
        <v>0</v>
      </c>
      <c r="AK46" s="203">
        <v>0</v>
      </c>
      <c r="AL46" s="203">
        <v>0</v>
      </c>
      <c r="AM46" s="203">
        <v>0</v>
      </c>
      <c r="AN46" s="203">
        <v>0</v>
      </c>
      <c r="AO46" s="203">
        <v>0</v>
      </c>
      <c r="AP46" s="203">
        <v>0</v>
      </c>
      <c r="AQ46" s="203">
        <v>0</v>
      </c>
      <c r="AR46" s="203">
        <v>0</v>
      </c>
      <c r="AS46" s="203">
        <v>0</v>
      </c>
      <c r="AT46" s="203">
        <v>0</v>
      </c>
      <c r="AU46" s="203">
        <v>0</v>
      </c>
      <c r="AV46" s="203">
        <v>0</v>
      </c>
      <c r="AW46" s="203">
        <v>0</v>
      </c>
      <c r="AX46" s="203">
        <v>0</v>
      </c>
      <c r="AY46" s="203">
        <v>0</v>
      </c>
      <c r="AZ46" s="203">
        <v>0</v>
      </c>
      <c r="BA46" s="203">
        <v>0</v>
      </c>
      <c r="BB46" s="203">
        <v>0</v>
      </c>
      <c r="BC46" s="203">
        <v>0</v>
      </c>
      <c r="BD46" s="203">
        <v>0</v>
      </c>
      <c r="BE46" s="203">
        <v>0</v>
      </c>
      <c r="BF46" s="203">
        <v>0</v>
      </c>
      <c r="BG46" s="203">
        <v>0</v>
      </c>
      <c r="BH46" s="203">
        <v>0</v>
      </c>
      <c r="BI46" s="203">
        <v>0</v>
      </c>
      <c r="BJ46" s="203">
        <v>0</v>
      </c>
      <c r="BK46" s="203">
        <v>0</v>
      </c>
      <c r="BL46" s="203">
        <v>0</v>
      </c>
      <c r="BM46" s="203">
        <v>57</v>
      </c>
      <c r="BN46" s="203">
        <v>0</v>
      </c>
      <c r="BO46" s="203">
        <v>0</v>
      </c>
      <c r="BP46" s="203">
        <v>0</v>
      </c>
      <c r="BQ46" s="203">
        <v>0</v>
      </c>
      <c r="BR46" s="203">
        <v>0</v>
      </c>
      <c r="BS46" s="203">
        <v>0</v>
      </c>
      <c r="BT46" s="203">
        <v>0</v>
      </c>
      <c r="BU46" s="203">
        <v>0</v>
      </c>
      <c r="BV46" s="203">
        <v>0</v>
      </c>
      <c r="BW46" s="203">
        <v>0</v>
      </c>
      <c r="BX46" s="203">
        <v>0</v>
      </c>
      <c r="BY46" s="203">
        <v>0</v>
      </c>
      <c r="BZ46" s="203">
        <v>0</v>
      </c>
      <c r="CA46" s="203">
        <v>0</v>
      </c>
      <c r="CB46" s="203">
        <v>199</v>
      </c>
      <c r="CC46" s="203">
        <v>0</v>
      </c>
      <c r="CD46" s="203">
        <v>0</v>
      </c>
      <c r="CE46" s="203">
        <v>0</v>
      </c>
      <c r="CF46" s="203">
        <v>0</v>
      </c>
      <c r="CG46" s="203">
        <v>0</v>
      </c>
      <c r="CH46" s="203">
        <v>0</v>
      </c>
      <c r="CI46" s="203">
        <v>0</v>
      </c>
      <c r="CJ46" s="203">
        <v>0</v>
      </c>
      <c r="CK46" s="203">
        <v>0</v>
      </c>
      <c r="CL46" s="203">
        <v>0</v>
      </c>
      <c r="CM46" s="203">
        <v>0</v>
      </c>
      <c r="CN46" s="203">
        <v>0</v>
      </c>
      <c r="CO46" s="203">
        <v>0</v>
      </c>
      <c r="CP46" s="203">
        <v>0</v>
      </c>
      <c r="CQ46" s="203">
        <v>0</v>
      </c>
      <c r="CR46" s="203">
        <v>0</v>
      </c>
      <c r="CS46" s="203">
        <v>0</v>
      </c>
      <c r="CT46" s="203">
        <v>0</v>
      </c>
      <c r="CU46" s="203">
        <v>0</v>
      </c>
      <c r="CV46" s="203">
        <v>0</v>
      </c>
      <c r="CW46" s="203">
        <v>0</v>
      </c>
      <c r="CX46" s="203">
        <v>0</v>
      </c>
      <c r="CY46" s="203">
        <v>0</v>
      </c>
      <c r="CZ46" s="203">
        <v>0</v>
      </c>
      <c r="DA46" s="203">
        <v>0</v>
      </c>
      <c r="DB46" s="203">
        <v>0</v>
      </c>
      <c r="DC46" s="203">
        <v>0</v>
      </c>
      <c r="DD46" s="203">
        <v>0</v>
      </c>
      <c r="DE46" s="203">
        <v>0</v>
      </c>
      <c r="DF46" s="203">
        <v>0</v>
      </c>
      <c r="DG46" s="203">
        <v>0</v>
      </c>
      <c r="DH46" s="203">
        <v>0</v>
      </c>
      <c r="DI46" s="203">
        <v>0</v>
      </c>
      <c r="DJ46" s="203">
        <v>0</v>
      </c>
      <c r="DK46" s="203">
        <v>0</v>
      </c>
      <c r="DL46" s="203">
        <v>0</v>
      </c>
      <c r="DM46" s="203">
        <v>0</v>
      </c>
      <c r="DN46" s="203">
        <v>0</v>
      </c>
      <c r="DO46" s="203">
        <v>0</v>
      </c>
      <c r="DP46" s="203">
        <v>0</v>
      </c>
      <c r="DQ46" s="203">
        <v>0</v>
      </c>
      <c r="DR46" s="203">
        <v>0</v>
      </c>
      <c r="DS46" s="203">
        <v>0</v>
      </c>
      <c r="DT46" s="203">
        <v>0</v>
      </c>
      <c r="DU46" s="203">
        <v>0</v>
      </c>
      <c r="DV46" s="203">
        <v>0</v>
      </c>
      <c r="DW46" s="203">
        <v>0</v>
      </c>
      <c r="DX46" s="203">
        <v>0</v>
      </c>
      <c r="DY46" s="203">
        <v>0</v>
      </c>
      <c r="DZ46" s="203">
        <v>0</v>
      </c>
      <c r="EA46" s="203">
        <v>0</v>
      </c>
      <c r="EB46" s="203">
        <v>0</v>
      </c>
      <c r="EC46" s="203">
        <v>0</v>
      </c>
      <c r="ED46" s="203">
        <v>0</v>
      </c>
      <c r="EE46" s="203">
        <v>0</v>
      </c>
      <c r="EF46" s="203">
        <v>0</v>
      </c>
      <c r="EG46" s="203">
        <v>0</v>
      </c>
      <c r="EH46" s="203">
        <v>0</v>
      </c>
      <c r="EI46" s="203">
        <v>0</v>
      </c>
      <c r="EJ46" s="203">
        <v>0</v>
      </c>
      <c r="EK46" s="203">
        <v>0</v>
      </c>
      <c r="EL46" s="203">
        <v>0</v>
      </c>
      <c r="EM46" s="203">
        <v>0</v>
      </c>
      <c r="EN46" s="203">
        <v>0</v>
      </c>
      <c r="EO46" s="203">
        <v>0</v>
      </c>
      <c r="EP46" s="203">
        <v>0</v>
      </c>
      <c r="EQ46" s="203">
        <v>0</v>
      </c>
      <c r="ER46" s="203">
        <v>0</v>
      </c>
      <c r="ES46" s="203">
        <v>0</v>
      </c>
      <c r="ET46" s="203">
        <v>0</v>
      </c>
      <c r="EU46" s="203">
        <v>0</v>
      </c>
      <c r="EV46" s="203">
        <v>0</v>
      </c>
      <c r="EW46" s="203">
        <v>0</v>
      </c>
      <c r="EX46" s="203">
        <v>254</v>
      </c>
      <c r="EY46" s="203">
        <v>0</v>
      </c>
      <c r="EZ46" s="203">
        <v>0</v>
      </c>
      <c r="FA46" s="203">
        <v>0</v>
      </c>
      <c r="FB46" s="203">
        <v>0</v>
      </c>
      <c r="FC46" s="203">
        <v>0</v>
      </c>
      <c r="FD46" s="203">
        <v>0</v>
      </c>
      <c r="FE46" s="203">
        <v>0</v>
      </c>
      <c r="FF46" s="203">
        <v>0</v>
      </c>
      <c r="FG46" s="203">
        <v>0</v>
      </c>
      <c r="FH46" s="203">
        <v>0</v>
      </c>
      <c r="FI46" s="203">
        <v>0</v>
      </c>
      <c r="FJ46" s="203">
        <v>0</v>
      </c>
      <c r="FK46" s="203">
        <v>0</v>
      </c>
      <c r="FL46" s="203">
        <v>0</v>
      </c>
      <c r="FM46" s="203">
        <v>0</v>
      </c>
      <c r="FN46" s="203">
        <v>0</v>
      </c>
      <c r="FO46" s="203">
        <v>0</v>
      </c>
      <c r="FP46" s="203">
        <v>0</v>
      </c>
      <c r="FQ46" s="203">
        <v>0</v>
      </c>
      <c r="FR46" s="203">
        <v>0</v>
      </c>
      <c r="FS46" s="203">
        <v>0</v>
      </c>
      <c r="FT46" s="203">
        <v>0</v>
      </c>
      <c r="FU46" s="203">
        <v>0</v>
      </c>
      <c r="FV46" s="203">
        <v>0</v>
      </c>
      <c r="FW46" s="203">
        <v>0</v>
      </c>
      <c r="FX46" s="203">
        <v>0</v>
      </c>
      <c r="FY46" s="203">
        <v>0</v>
      </c>
      <c r="FZ46" s="203">
        <v>0</v>
      </c>
      <c r="GA46" s="203">
        <v>0</v>
      </c>
      <c r="GB46" s="203">
        <v>0</v>
      </c>
      <c r="GC46" s="203">
        <v>0</v>
      </c>
      <c r="GD46" s="203">
        <v>0</v>
      </c>
      <c r="GE46" s="203">
        <v>0</v>
      </c>
      <c r="GF46" s="203">
        <v>0</v>
      </c>
      <c r="GG46" s="203">
        <v>0</v>
      </c>
      <c r="GH46" s="203">
        <v>0</v>
      </c>
      <c r="GI46" s="203">
        <v>0</v>
      </c>
      <c r="GJ46" s="203">
        <v>0</v>
      </c>
      <c r="GK46" s="203">
        <v>0</v>
      </c>
      <c r="GL46" s="203">
        <v>0</v>
      </c>
      <c r="GM46" s="203">
        <v>0</v>
      </c>
      <c r="GN46" s="203">
        <v>0</v>
      </c>
      <c r="GO46" s="203">
        <v>0</v>
      </c>
      <c r="GP46" s="203">
        <v>0</v>
      </c>
      <c r="GQ46" s="203">
        <v>0</v>
      </c>
      <c r="GR46" s="203">
        <v>0</v>
      </c>
      <c r="GS46" s="203">
        <v>0</v>
      </c>
      <c r="GT46" s="203">
        <v>0</v>
      </c>
      <c r="GU46" s="203">
        <v>0</v>
      </c>
      <c r="GV46" s="203">
        <v>0</v>
      </c>
      <c r="GW46" s="203"/>
      <c r="GX46" s="203"/>
      <c r="GY46" s="203"/>
      <c r="GZ46" s="203"/>
    </row>
    <row r="47" spans="1:208" ht="14.45">
      <c r="A47" s="175" t="s">
        <v>322</v>
      </c>
      <c r="B47" s="45">
        <v>1.25</v>
      </c>
      <c r="C47" s="96"/>
      <c r="D47" s="146"/>
      <c r="E47" s="96"/>
      <c r="F47" s="146"/>
      <c r="G47" s="173">
        <f t="shared" si="14"/>
        <v>0</v>
      </c>
      <c r="H47" s="203">
        <v>0</v>
      </c>
      <c r="I47" s="203">
        <v>0</v>
      </c>
      <c r="J47" s="203">
        <v>0</v>
      </c>
      <c r="K47" s="203">
        <v>0</v>
      </c>
      <c r="L47" s="203">
        <v>0</v>
      </c>
      <c r="M47" s="203">
        <v>0</v>
      </c>
      <c r="N47" s="203">
        <v>0</v>
      </c>
      <c r="O47" s="203">
        <v>0</v>
      </c>
      <c r="P47" s="203">
        <v>0</v>
      </c>
      <c r="Q47" s="203">
        <v>0</v>
      </c>
      <c r="R47" s="203">
        <v>0</v>
      </c>
      <c r="S47" s="203">
        <v>0</v>
      </c>
      <c r="T47" s="203">
        <v>0</v>
      </c>
      <c r="U47" s="203">
        <v>0</v>
      </c>
      <c r="V47" s="203">
        <v>0</v>
      </c>
      <c r="W47" s="203">
        <v>0</v>
      </c>
      <c r="X47" s="203">
        <v>0</v>
      </c>
      <c r="Y47" s="203">
        <v>0</v>
      </c>
      <c r="Z47" s="203">
        <v>0</v>
      </c>
      <c r="AA47" s="203">
        <v>0</v>
      </c>
      <c r="AB47" s="203">
        <v>0</v>
      </c>
      <c r="AC47" s="203">
        <v>0</v>
      </c>
      <c r="AD47" s="203">
        <v>0</v>
      </c>
      <c r="AE47" s="203">
        <v>0</v>
      </c>
      <c r="AF47" s="203">
        <v>0</v>
      </c>
      <c r="AG47" s="203">
        <v>0</v>
      </c>
      <c r="AH47" s="203">
        <v>0</v>
      </c>
      <c r="AI47" s="203">
        <v>0</v>
      </c>
      <c r="AJ47" s="203">
        <v>0</v>
      </c>
      <c r="AK47" s="203">
        <v>0</v>
      </c>
      <c r="AL47" s="203">
        <v>0</v>
      </c>
      <c r="AM47" s="203">
        <v>0</v>
      </c>
      <c r="AN47" s="203">
        <v>0</v>
      </c>
      <c r="AO47" s="203">
        <v>0</v>
      </c>
      <c r="AP47" s="203">
        <v>0</v>
      </c>
      <c r="AQ47" s="203">
        <v>0</v>
      </c>
      <c r="AR47" s="203">
        <v>0</v>
      </c>
      <c r="AS47" s="203">
        <v>0</v>
      </c>
      <c r="AT47" s="203">
        <v>0</v>
      </c>
      <c r="AU47" s="203">
        <v>0</v>
      </c>
      <c r="AV47" s="203">
        <v>0</v>
      </c>
      <c r="AW47" s="203">
        <v>0</v>
      </c>
      <c r="AX47" s="203">
        <v>0</v>
      </c>
      <c r="AY47" s="203">
        <v>0</v>
      </c>
      <c r="AZ47" s="203">
        <v>0</v>
      </c>
      <c r="BA47" s="203">
        <v>0</v>
      </c>
      <c r="BB47" s="203">
        <v>0</v>
      </c>
      <c r="BC47" s="203">
        <v>0</v>
      </c>
      <c r="BD47" s="203">
        <v>0</v>
      </c>
      <c r="BE47" s="203">
        <v>0</v>
      </c>
      <c r="BF47" s="203">
        <v>0</v>
      </c>
      <c r="BG47" s="203">
        <v>0</v>
      </c>
      <c r="BH47" s="203">
        <v>0</v>
      </c>
      <c r="BI47" s="203">
        <v>0</v>
      </c>
      <c r="BJ47" s="203">
        <v>0</v>
      </c>
      <c r="BK47" s="203">
        <v>0</v>
      </c>
      <c r="BL47" s="203">
        <v>0</v>
      </c>
      <c r="BM47" s="203">
        <v>0</v>
      </c>
      <c r="BN47" s="203">
        <v>0</v>
      </c>
      <c r="BO47" s="203">
        <v>0</v>
      </c>
      <c r="BP47" s="203">
        <v>0</v>
      </c>
      <c r="BQ47" s="203">
        <v>0</v>
      </c>
      <c r="BR47" s="203">
        <v>0</v>
      </c>
      <c r="BS47" s="203">
        <v>0</v>
      </c>
      <c r="BT47" s="203">
        <v>0</v>
      </c>
      <c r="BU47" s="203">
        <v>0</v>
      </c>
      <c r="BV47" s="203">
        <v>0</v>
      </c>
      <c r="BW47" s="203">
        <v>0</v>
      </c>
      <c r="BX47" s="203">
        <v>0</v>
      </c>
      <c r="BY47" s="203">
        <v>0</v>
      </c>
      <c r="BZ47" s="203">
        <v>0</v>
      </c>
      <c r="CA47" s="203">
        <v>0</v>
      </c>
      <c r="CB47" s="203">
        <v>0</v>
      </c>
      <c r="CC47" s="203">
        <v>0</v>
      </c>
      <c r="CD47" s="203">
        <v>0</v>
      </c>
      <c r="CE47" s="203">
        <v>0</v>
      </c>
      <c r="CF47" s="203">
        <v>0</v>
      </c>
      <c r="CG47" s="203">
        <v>0</v>
      </c>
      <c r="CH47" s="203">
        <v>0</v>
      </c>
      <c r="CI47" s="203">
        <v>0</v>
      </c>
      <c r="CJ47" s="203">
        <v>0</v>
      </c>
      <c r="CK47" s="203">
        <v>0</v>
      </c>
      <c r="CL47" s="203">
        <v>0</v>
      </c>
      <c r="CM47" s="203">
        <v>0</v>
      </c>
      <c r="CN47" s="203">
        <v>0</v>
      </c>
      <c r="CO47" s="203">
        <v>0</v>
      </c>
      <c r="CP47" s="203">
        <v>0</v>
      </c>
      <c r="CQ47" s="203">
        <v>0</v>
      </c>
      <c r="CR47" s="203">
        <v>0</v>
      </c>
      <c r="CS47" s="203">
        <v>0</v>
      </c>
      <c r="CT47" s="203">
        <v>0</v>
      </c>
      <c r="CU47" s="203">
        <v>0</v>
      </c>
      <c r="CV47" s="203">
        <v>0</v>
      </c>
      <c r="CW47" s="203">
        <v>0</v>
      </c>
      <c r="CX47" s="203">
        <v>0</v>
      </c>
      <c r="CY47" s="203">
        <v>0</v>
      </c>
      <c r="CZ47" s="203">
        <v>0</v>
      </c>
      <c r="DA47" s="203">
        <v>0</v>
      </c>
      <c r="DB47" s="203">
        <v>0</v>
      </c>
      <c r="DC47" s="203">
        <v>0</v>
      </c>
      <c r="DD47" s="203">
        <v>0</v>
      </c>
      <c r="DE47" s="203">
        <v>0</v>
      </c>
      <c r="DF47" s="203">
        <v>0</v>
      </c>
      <c r="DG47" s="203">
        <v>0</v>
      </c>
      <c r="DH47" s="203">
        <v>0</v>
      </c>
      <c r="DI47" s="203">
        <v>0</v>
      </c>
      <c r="DJ47" s="203">
        <v>0</v>
      </c>
      <c r="DK47" s="203">
        <v>0</v>
      </c>
      <c r="DL47" s="203">
        <v>0</v>
      </c>
      <c r="DM47" s="203">
        <v>0</v>
      </c>
      <c r="DN47" s="203">
        <v>0</v>
      </c>
      <c r="DO47" s="203">
        <v>0</v>
      </c>
      <c r="DP47" s="203">
        <v>0</v>
      </c>
      <c r="DQ47" s="203">
        <v>0</v>
      </c>
      <c r="DR47" s="203">
        <v>0</v>
      </c>
      <c r="DS47" s="203">
        <v>0</v>
      </c>
      <c r="DT47" s="203">
        <v>0</v>
      </c>
      <c r="DU47" s="203">
        <v>0</v>
      </c>
      <c r="DV47" s="203">
        <v>0</v>
      </c>
      <c r="DW47" s="203">
        <v>0</v>
      </c>
      <c r="DX47" s="203">
        <v>0</v>
      </c>
      <c r="DY47" s="203">
        <v>0</v>
      </c>
      <c r="DZ47" s="203">
        <v>0</v>
      </c>
      <c r="EA47" s="203">
        <v>0</v>
      </c>
      <c r="EB47" s="203">
        <v>0</v>
      </c>
      <c r="EC47" s="203">
        <v>0</v>
      </c>
      <c r="ED47" s="203">
        <v>0</v>
      </c>
      <c r="EE47" s="203">
        <v>0</v>
      </c>
      <c r="EF47" s="203">
        <v>0</v>
      </c>
      <c r="EG47" s="203">
        <v>0</v>
      </c>
      <c r="EH47" s="203">
        <v>0</v>
      </c>
      <c r="EI47" s="203">
        <v>0</v>
      </c>
      <c r="EJ47" s="203">
        <v>0</v>
      </c>
      <c r="EK47" s="203">
        <v>0</v>
      </c>
      <c r="EL47" s="203">
        <v>0</v>
      </c>
      <c r="EM47" s="203">
        <v>0</v>
      </c>
      <c r="EN47" s="203">
        <v>0</v>
      </c>
      <c r="EO47" s="203">
        <v>0</v>
      </c>
      <c r="EP47" s="203">
        <v>0</v>
      </c>
      <c r="EQ47" s="203">
        <v>0</v>
      </c>
      <c r="ER47" s="203">
        <v>0</v>
      </c>
      <c r="ES47" s="203">
        <v>0</v>
      </c>
      <c r="ET47" s="203">
        <v>0</v>
      </c>
      <c r="EU47" s="203">
        <v>0</v>
      </c>
      <c r="EV47" s="203">
        <v>0</v>
      </c>
      <c r="EW47" s="203">
        <v>0</v>
      </c>
      <c r="EX47" s="203">
        <v>0</v>
      </c>
      <c r="EY47" s="203">
        <v>0</v>
      </c>
      <c r="EZ47" s="203">
        <v>0</v>
      </c>
      <c r="FA47" s="203">
        <v>0</v>
      </c>
      <c r="FB47" s="203">
        <v>0</v>
      </c>
      <c r="FC47" s="203">
        <v>0</v>
      </c>
      <c r="FD47" s="203">
        <v>0</v>
      </c>
      <c r="FE47" s="203">
        <v>0</v>
      </c>
      <c r="FF47" s="203">
        <v>0</v>
      </c>
      <c r="FG47" s="203">
        <v>0</v>
      </c>
      <c r="FH47" s="203">
        <v>0</v>
      </c>
      <c r="FI47" s="203">
        <v>0</v>
      </c>
      <c r="FJ47" s="203">
        <v>0</v>
      </c>
      <c r="FK47" s="203">
        <v>0</v>
      </c>
      <c r="FL47" s="203">
        <v>0</v>
      </c>
      <c r="FM47" s="203">
        <v>0</v>
      </c>
      <c r="FN47" s="203">
        <v>0</v>
      </c>
      <c r="FO47" s="203">
        <v>0</v>
      </c>
      <c r="FP47" s="203">
        <v>0</v>
      </c>
      <c r="FQ47" s="203">
        <v>0</v>
      </c>
      <c r="FR47" s="203">
        <v>0</v>
      </c>
      <c r="FS47" s="203">
        <v>0</v>
      </c>
      <c r="FT47" s="203">
        <v>0</v>
      </c>
      <c r="FU47" s="203">
        <v>0</v>
      </c>
      <c r="FV47" s="203">
        <v>0</v>
      </c>
      <c r="FW47" s="203">
        <v>0</v>
      </c>
      <c r="FX47" s="203">
        <v>0</v>
      </c>
      <c r="FY47" s="203">
        <v>0</v>
      </c>
      <c r="FZ47" s="203">
        <v>0</v>
      </c>
      <c r="GA47" s="203">
        <v>0</v>
      </c>
      <c r="GB47" s="203">
        <v>0</v>
      </c>
      <c r="GC47" s="203">
        <v>0</v>
      </c>
      <c r="GD47" s="203">
        <v>0</v>
      </c>
      <c r="GE47" s="203">
        <v>0</v>
      </c>
      <c r="GF47" s="203">
        <v>0</v>
      </c>
      <c r="GG47" s="203">
        <v>0</v>
      </c>
      <c r="GH47" s="203">
        <v>0</v>
      </c>
      <c r="GI47" s="203">
        <v>0</v>
      </c>
      <c r="GJ47" s="203">
        <v>0</v>
      </c>
      <c r="GK47" s="203">
        <v>0</v>
      </c>
      <c r="GL47" s="203">
        <v>0</v>
      </c>
      <c r="GM47" s="203">
        <v>0</v>
      </c>
      <c r="GN47" s="203">
        <v>0</v>
      </c>
      <c r="GO47" s="203">
        <v>0</v>
      </c>
      <c r="GP47" s="203">
        <v>0</v>
      </c>
      <c r="GQ47" s="203">
        <v>0</v>
      </c>
      <c r="GR47" s="203">
        <v>0</v>
      </c>
      <c r="GS47" s="203">
        <v>0</v>
      </c>
      <c r="GT47" s="203">
        <v>0</v>
      </c>
      <c r="GU47" s="203">
        <v>0</v>
      </c>
      <c r="GV47" s="203">
        <v>0</v>
      </c>
      <c r="GW47" s="203"/>
      <c r="GX47" s="203"/>
      <c r="GY47" s="203"/>
      <c r="GZ47" s="203"/>
    </row>
    <row r="48" spans="1:208" ht="14.45">
      <c r="A48" s="175" t="s">
        <v>323</v>
      </c>
      <c r="B48" s="45">
        <v>1.25</v>
      </c>
      <c r="C48" s="96"/>
      <c r="D48" s="146"/>
      <c r="E48" s="96"/>
      <c r="F48" s="146"/>
      <c r="G48" s="173">
        <f t="shared" si="14"/>
        <v>0</v>
      </c>
      <c r="H48" s="203">
        <v>0</v>
      </c>
      <c r="I48" s="203">
        <v>0</v>
      </c>
      <c r="J48" s="203">
        <v>0</v>
      </c>
      <c r="K48" s="203">
        <v>0</v>
      </c>
      <c r="L48" s="203">
        <v>0</v>
      </c>
      <c r="M48" s="203">
        <v>0</v>
      </c>
      <c r="N48" s="203">
        <v>0</v>
      </c>
      <c r="O48" s="203">
        <v>0</v>
      </c>
      <c r="P48" s="203">
        <v>0</v>
      </c>
      <c r="Q48" s="203">
        <v>0</v>
      </c>
      <c r="R48" s="203">
        <v>0</v>
      </c>
      <c r="S48" s="203">
        <v>0</v>
      </c>
      <c r="T48" s="203">
        <v>0</v>
      </c>
      <c r="U48" s="203">
        <v>0</v>
      </c>
      <c r="V48" s="203">
        <v>0</v>
      </c>
      <c r="W48" s="203">
        <v>0</v>
      </c>
      <c r="X48" s="203">
        <v>0</v>
      </c>
      <c r="Y48" s="203">
        <v>0</v>
      </c>
      <c r="Z48" s="203">
        <v>0</v>
      </c>
      <c r="AA48" s="203">
        <v>0</v>
      </c>
      <c r="AB48" s="203">
        <v>0</v>
      </c>
      <c r="AC48" s="203">
        <v>0</v>
      </c>
      <c r="AD48" s="203">
        <v>0</v>
      </c>
      <c r="AE48" s="203">
        <v>0</v>
      </c>
      <c r="AF48" s="203">
        <v>0</v>
      </c>
      <c r="AG48" s="203">
        <v>0</v>
      </c>
      <c r="AH48" s="203">
        <v>0</v>
      </c>
      <c r="AI48" s="203">
        <v>0</v>
      </c>
      <c r="AJ48" s="203">
        <v>0</v>
      </c>
      <c r="AK48" s="203">
        <v>0</v>
      </c>
      <c r="AL48" s="203">
        <v>0</v>
      </c>
      <c r="AM48" s="203">
        <v>0</v>
      </c>
      <c r="AN48" s="203">
        <v>0</v>
      </c>
      <c r="AO48" s="203">
        <v>0</v>
      </c>
      <c r="AP48" s="203">
        <v>0</v>
      </c>
      <c r="AQ48" s="203">
        <v>0</v>
      </c>
      <c r="AR48" s="203">
        <v>0</v>
      </c>
      <c r="AS48" s="203">
        <v>0</v>
      </c>
      <c r="AT48" s="203">
        <v>0</v>
      </c>
      <c r="AU48" s="203">
        <v>0</v>
      </c>
      <c r="AV48" s="203">
        <v>0</v>
      </c>
      <c r="AW48" s="203">
        <v>0</v>
      </c>
      <c r="AX48" s="203">
        <v>0</v>
      </c>
      <c r="AY48" s="203">
        <v>0</v>
      </c>
      <c r="AZ48" s="203">
        <v>0</v>
      </c>
      <c r="BA48" s="203">
        <v>0</v>
      </c>
      <c r="BB48" s="203">
        <v>0</v>
      </c>
      <c r="BC48" s="203">
        <v>0</v>
      </c>
      <c r="BD48" s="203">
        <v>0</v>
      </c>
      <c r="BE48" s="203">
        <v>0</v>
      </c>
      <c r="BF48" s="203">
        <v>0</v>
      </c>
      <c r="BG48" s="203">
        <v>0</v>
      </c>
      <c r="BH48" s="203">
        <v>0</v>
      </c>
      <c r="BI48" s="203">
        <v>0</v>
      </c>
      <c r="BJ48" s="203">
        <v>0</v>
      </c>
      <c r="BK48" s="203">
        <v>0</v>
      </c>
      <c r="BL48" s="203">
        <v>0</v>
      </c>
      <c r="BM48" s="203">
        <v>0</v>
      </c>
      <c r="BN48" s="203">
        <v>0</v>
      </c>
      <c r="BO48" s="203">
        <v>0</v>
      </c>
      <c r="BP48" s="203">
        <v>0</v>
      </c>
      <c r="BQ48" s="203">
        <v>0</v>
      </c>
      <c r="BR48" s="203">
        <v>0</v>
      </c>
      <c r="BS48" s="203">
        <v>0</v>
      </c>
      <c r="BT48" s="203">
        <v>0</v>
      </c>
      <c r="BU48" s="203">
        <v>0</v>
      </c>
      <c r="BV48" s="203">
        <v>0</v>
      </c>
      <c r="BW48" s="203">
        <v>0</v>
      </c>
      <c r="BX48" s="203">
        <v>0</v>
      </c>
      <c r="BY48" s="203">
        <v>0</v>
      </c>
      <c r="BZ48" s="203">
        <v>0</v>
      </c>
      <c r="CA48" s="203">
        <v>0</v>
      </c>
      <c r="CB48" s="203">
        <v>0</v>
      </c>
      <c r="CC48" s="203">
        <v>0</v>
      </c>
      <c r="CD48" s="203">
        <v>0</v>
      </c>
      <c r="CE48" s="203">
        <v>0</v>
      </c>
      <c r="CF48" s="203">
        <v>0</v>
      </c>
      <c r="CG48" s="203">
        <v>0</v>
      </c>
      <c r="CH48" s="203">
        <v>0</v>
      </c>
      <c r="CI48" s="203">
        <v>0</v>
      </c>
      <c r="CJ48" s="203">
        <v>0</v>
      </c>
      <c r="CK48" s="203">
        <v>0</v>
      </c>
      <c r="CL48" s="203">
        <v>0</v>
      </c>
      <c r="CM48" s="203">
        <v>0</v>
      </c>
      <c r="CN48" s="203">
        <v>0</v>
      </c>
      <c r="CO48" s="203">
        <v>0</v>
      </c>
      <c r="CP48" s="203">
        <v>0</v>
      </c>
      <c r="CQ48" s="203">
        <v>0</v>
      </c>
      <c r="CR48" s="203">
        <v>0</v>
      </c>
      <c r="CS48" s="203">
        <v>0</v>
      </c>
      <c r="CT48" s="203">
        <v>0</v>
      </c>
      <c r="CU48" s="203">
        <v>0</v>
      </c>
      <c r="CV48" s="203">
        <v>0</v>
      </c>
      <c r="CW48" s="203">
        <v>0</v>
      </c>
      <c r="CX48" s="203">
        <v>0</v>
      </c>
      <c r="CY48" s="203">
        <v>0</v>
      </c>
      <c r="CZ48" s="203">
        <v>0</v>
      </c>
      <c r="DA48" s="203">
        <v>0</v>
      </c>
      <c r="DB48" s="203">
        <v>0</v>
      </c>
      <c r="DC48" s="203">
        <v>0</v>
      </c>
      <c r="DD48" s="203">
        <v>0</v>
      </c>
      <c r="DE48" s="203">
        <v>0</v>
      </c>
      <c r="DF48" s="203">
        <v>0</v>
      </c>
      <c r="DG48" s="203">
        <v>0</v>
      </c>
      <c r="DH48" s="203">
        <v>0</v>
      </c>
      <c r="DI48" s="203">
        <v>0</v>
      </c>
      <c r="DJ48" s="203">
        <v>0</v>
      </c>
      <c r="DK48" s="203">
        <v>0</v>
      </c>
      <c r="DL48" s="203">
        <v>0</v>
      </c>
      <c r="DM48" s="203">
        <v>0</v>
      </c>
      <c r="DN48" s="203">
        <v>0</v>
      </c>
      <c r="DO48" s="203">
        <v>0</v>
      </c>
      <c r="DP48" s="203">
        <v>0</v>
      </c>
      <c r="DQ48" s="203">
        <v>0</v>
      </c>
      <c r="DR48" s="203">
        <v>0</v>
      </c>
      <c r="DS48" s="203">
        <v>0</v>
      </c>
      <c r="DT48" s="203">
        <v>0</v>
      </c>
      <c r="DU48" s="203">
        <v>0</v>
      </c>
      <c r="DV48" s="203">
        <v>0</v>
      </c>
      <c r="DW48" s="203">
        <v>0</v>
      </c>
      <c r="DX48" s="203">
        <v>0</v>
      </c>
      <c r="DY48" s="203">
        <v>0</v>
      </c>
      <c r="DZ48" s="203">
        <v>0</v>
      </c>
      <c r="EA48" s="203">
        <v>0</v>
      </c>
      <c r="EB48" s="203">
        <v>0</v>
      </c>
      <c r="EC48" s="203">
        <v>0</v>
      </c>
      <c r="ED48" s="203">
        <v>0</v>
      </c>
      <c r="EE48" s="203">
        <v>0</v>
      </c>
      <c r="EF48" s="203">
        <v>0</v>
      </c>
      <c r="EG48" s="203">
        <v>0</v>
      </c>
      <c r="EH48" s="203">
        <v>0</v>
      </c>
      <c r="EI48" s="203">
        <v>0</v>
      </c>
      <c r="EJ48" s="203">
        <v>0</v>
      </c>
      <c r="EK48" s="203">
        <v>0</v>
      </c>
      <c r="EL48" s="203">
        <v>0</v>
      </c>
      <c r="EM48" s="203">
        <v>0</v>
      </c>
      <c r="EN48" s="203">
        <v>0</v>
      </c>
      <c r="EO48" s="203">
        <v>0</v>
      </c>
      <c r="EP48" s="203">
        <v>0</v>
      </c>
      <c r="EQ48" s="203">
        <v>0</v>
      </c>
      <c r="ER48" s="203">
        <v>0</v>
      </c>
      <c r="ES48" s="203">
        <v>0</v>
      </c>
      <c r="ET48" s="203">
        <v>0</v>
      </c>
      <c r="EU48" s="203">
        <v>0</v>
      </c>
      <c r="EV48" s="203">
        <v>0</v>
      </c>
      <c r="EW48" s="203">
        <v>0</v>
      </c>
      <c r="EX48" s="203">
        <v>0</v>
      </c>
      <c r="EY48" s="203">
        <v>0</v>
      </c>
      <c r="EZ48" s="203">
        <v>0</v>
      </c>
      <c r="FA48" s="203">
        <v>0</v>
      </c>
      <c r="FB48" s="203">
        <v>0</v>
      </c>
      <c r="FC48" s="203">
        <v>0</v>
      </c>
      <c r="FD48" s="203">
        <v>0</v>
      </c>
      <c r="FE48" s="203">
        <v>0</v>
      </c>
      <c r="FF48" s="203">
        <v>0</v>
      </c>
      <c r="FG48" s="203">
        <v>0</v>
      </c>
      <c r="FH48" s="203">
        <v>0</v>
      </c>
      <c r="FI48" s="203">
        <v>0</v>
      </c>
      <c r="FJ48" s="203">
        <v>0</v>
      </c>
      <c r="FK48" s="203">
        <v>0</v>
      </c>
      <c r="FL48" s="203">
        <v>0</v>
      </c>
      <c r="FM48" s="203">
        <v>0</v>
      </c>
      <c r="FN48" s="203">
        <v>0</v>
      </c>
      <c r="FO48" s="203">
        <v>0</v>
      </c>
      <c r="FP48" s="203">
        <v>0</v>
      </c>
      <c r="FQ48" s="203">
        <v>0</v>
      </c>
      <c r="FR48" s="203">
        <v>0</v>
      </c>
      <c r="FS48" s="203">
        <v>0</v>
      </c>
      <c r="FT48" s="203">
        <v>0</v>
      </c>
      <c r="FU48" s="203">
        <v>0</v>
      </c>
      <c r="FV48" s="203">
        <v>0</v>
      </c>
      <c r="FW48" s="203">
        <v>0</v>
      </c>
      <c r="FX48" s="203">
        <v>0</v>
      </c>
      <c r="FY48" s="203">
        <v>0</v>
      </c>
      <c r="FZ48" s="203">
        <v>0</v>
      </c>
      <c r="GA48" s="203">
        <v>0</v>
      </c>
      <c r="GB48" s="203">
        <v>0</v>
      </c>
      <c r="GC48" s="203">
        <v>0</v>
      </c>
      <c r="GD48" s="203">
        <v>0</v>
      </c>
      <c r="GE48" s="203">
        <v>0</v>
      </c>
      <c r="GF48" s="203">
        <v>0</v>
      </c>
      <c r="GG48" s="203">
        <v>0</v>
      </c>
      <c r="GH48" s="203">
        <v>0</v>
      </c>
      <c r="GI48" s="203">
        <v>0</v>
      </c>
      <c r="GJ48" s="203">
        <v>0</v>
      </c>
      <c r="GK48" s="203">
        <v>0</v>
      </c>
      <c r="GL48" s="203">
        <v>0</v>
      </c>
      <c r="GM48" s="203">
        <v>0</v>
      </c>
      <c r="GN48" s="203">
        <v>0</v>
      </c>
      <c r="GO48" s="203">
        <v>0</v>
      </c>
      <c r="GP48" s="203">
        <v>0</v>
      </c>
      <c r="GQ48" s="203">
        <v>0</v>
      </c>
      <c r="GR48" s="203">
        <v>0</v>
      </c>
      <c r="GS48" s="203">
        <v>0</v>
      </c>
      <c r="GT48" s="203">
        <v>0</v>
      </c>
      <c r="GU48" s="203">
        <v>0</v>
      </c>
      <c r="GV48" s="203">
        <v>0</v>
      </c>
      <c r="GW48" s="203"/>
      <c r="GX48" s="203"/>
      <c r="GY48" s="203"/>
      <c r="GZ48" s="203"/>
    </row>
    <row r="49" spans="1:208" ht="14.45">
      <c r="A49" s="175" t="s">
        <v>324</v>
      </c>
      <c r="B49" s="45">
        <v>1.25</v>
      </c>
      <c r="C49" s="96"/>
      <c r="D49" s="146"/>
      <c r="E49" s="96"/>
      <c r="F49" s="146"/>
      <c r="G49" s="173">
        <f t="shared" si="14"/>
        <v>0</v>
      </c>
      <c r="H49" s="203">
        <v>0</v>
      </c>
      <c r="I49" s="203">
        <v>0</v>
      </c>
      <c r="J49" s="203">
        <v>0</v>
      </c>
      <c r="K49" s="203">
        <v>0</v>
      </c>
      <c r="L49" s="203">
        <v>0</v>
      </c>
      <c r="M49" s="203">
        <v>0</v>
      </c>
      <c r="N49" s="203">
        <v>0</v>
      </c>
      <c r="O49" s="203">
        <v>0</v>
      </c>
      <c r="P49" s="203">
        <v>0</v>
      </c>
      <c r="Q49" s="203">
        <v>0</v>
      </c>
      <c r="R49" s="203">
        <v>0</v>
      </c>
      <c r="S49" s="203">
        <v>0</v>
      </c>
      <c r="T49" s="203">
        <v>0</v>
      </c>
      <c r="U49" s="203">
        <v>0</v>
      </c>
      <c r="V49" s="203">
        <v>0</v>
      </c>
      <c r="W49" s="203">
        <v>0</v>
      </c>
      <c r="X49" s="203">
        <v>0</v>
      </c>
      <c r="Y49" s="203">
        <v>0</v>
      </c>
      <c r="Z49" s="203">
        <v>0</v>
      </c>
      <c r="AA49" s="203">
        <v>0</v>
      </c>
      <c r="AB49" s="203">
        <v>0</v>
      </c>
      <c r="AC49" s="203">
        <v>0</v>
      </c>
      <c r="AD49" s="203">
        <v>0</v>
      </c>
      <c r="AE49" s="203">
        <v>0</v>
      </c>
      <c r="AF49" s="203">
        <v>0</v>
      </c>
      <c r="AG49" s="203">
        <v>0</v>
      </c>
      <c r="AH49" s="203">
        <v>0</v>
      </c>
      <c r="AI49" s="203">
        <v>0</v>
      </c>
      <c r="AJ49" s="203">
        <v>0</v>
      </c>
      <c r="AK49" s="203">
        <v>0</v>
      </c>
      <c r="AL49" s="203">
        <v>0</v>
      </c>
      <c r="AM49" s="203">
        <v>0</v>
      </c>
      <c r="AN49" s="203">
        <v>0</v>
      </c>
      <c r="AO49" s="203">
        <v>0</v>
      </c>
      <c r="AP49" s="203">
        <v>0</v>
      </c>
      <c r="AQ49" s="203">
        <v>0</v>
      </c>
      <c r="AR49" s="203">
        <v>0</v>
      </c>
      <c r="AS49" s="203">
        <v>0</v>
      </c>
      <c r="AT49" s="203">
        <v>0</v>
      </c>
      <c r="AU49" s="203">
        <v>0</v>
      </c>
      <c r="AV49" s="203">
        <v>0</v>
      </c>
      <c r="AW49" s="203">
        <v>0</v>
      </c>
      <c r="AX49" s="203">
        <v>0</v>
      </c>
      <c r="AY49" s="203">
        <v>0</v>
      </c>
      <c r="AZ49" s="203">
        <v>0</v>
      </c>
      <c r="BA49" s="203">
        <v>0</v>
      </c>
      <c r="BB49" s="203">
        <v>0</v>
      </c>
      <c r="BC49" s="203">
        <v>0</v>
      </c>
      <c r="BD49" s="203">
        <v>0</v>
      </c>
      <c r="BE49" s="203">
        <v>0</v>
      </c>
      <c r="BF49" s="203">
        <v>0</v>
      </c>
      <c r="BG49" s="203">
        <v>0</v>
      </c>
      <c r="BH49" s="203">
        <v>0</v>
      </c>
      <c r="BI49" s="203">
        <v>0</v>
      </c>
      <c r="BJ49" s="203">
        <v>0</v>
      </c>
      <c r="BK49" s="203">
        <v>0</v>
      </c>
      <c r="BL49" s="203">
        <v>0</v>
      </c>
      <c r="BM49" s="203">
        <v>0</v>
      </c>
      <c r="BN49" s="203">
        <v>0</v>
      </c>
      <c r="BO49" s="203">
        <v>0</v>
      </c>
      <c r="BP49" s="203">
        <v>0</v>
      </c>
      <c r="BQ49" s="203">
        <v>0</v>
      </c>
      <c r="BR49" s="203">
        <v>0</v>
      </c>
      <c r="BS49" s="203">
        <v>0</v>
      </c>
      <c r="BT49" s="203">
        <v>0</v>
      </c>
      <c r="BU49" s="203">
        <v>0</v>
      </c>
      <c r="BV49" s="203">
        <v>0</v>
      </c>
      <c r="BW49" s="203">
        <v>0</v>
      </c>
      <c r="BX49" s="203">
        <v>0</v>
      </c>
      <c r="BY49" s="203">
        <v>0</v>
      </c>
      <c r="BZ49" s="203">
        <v>0</v>
      </c>
      <c r="CA49" s="203">
        <v>0</v>
      </c>
      <c r="CB49" s="203">
        <v>0</v>
      </c>
      <c r="CC49" s="203">
        <v>0</v>
      </c>
      <c r="CD49" s="203">
        <v>0</v>
      </c>
      <c r="CE49" s="203">
        <v>0</v>
      </c>
      <c r="CF49" s="203">
        <v>0</v>
      </c>
      <c r="CG49" s="203">
        <v>0</v>
      </c>
      <c r="CH49" s="203">
        <v>0</v>
      </c>
      <c r="CI49" s="203">
        <v>0</v>
      </c>
      <c r="CJ49" s="203">
        <v>0</v>
      </c>
      <c r="CK49" s="203">
        <v>0</v>
      </c>
      <c r="CL49" s="203">
        <v>0</v>
      </c>
      <c r="CM49" s="203">
        <v>0</v>
      </c>
      <c r="CN49" s="203">
        <v>0</v>
      </c>
      <c r="CO49" s="203">
        <v>0</v>
      </c>
      <c r="CP49" s="203">
        <v>0</v>
      </c>
      <c r="CQ49" s="203">
        <v>0</v>
      </c>
      <c r="CR49" s="203">
        <v>0</v>
      </c>
      <c r="CS49" s="203">
        <v>0</v>
      </c>
      <c r="CT49" s="203">
        <v>0</v>
      </c>
      <c r="CU49" s="203">
        <v>0</v>
      </c>
      <c r="CV49" s="203">
        <v>0</v>
      </c>
      <c r="CW49" s="203">
        <v>0</v>
      </c>
      <c r="CX49" s="203">
        <v>0</v>
      </c>
      <c r="CY49" s="203">
        <v>0</v>
      </c>
      <c r="CZ49" s="203">
        <v>0</v>
      </c>
      <c r="DA49" s="203">
        <v>0</v>
      </c>
      <c r="DB49" s="203">
        <v>0</v>
      </c>
      <c r="DC49" s="203">
        <v>0</v>
      </c>
      <c r="DD49" s="203">
        <v>0</v>
      </c>
      <c r="DE49" s="203">
        <v>0</v>
      </c>
      <c r="DF49" s="203">
        <v>0</v>
      </c>
      <c r="DG49" s="203">
        <v>0</v>
      </c>
      <c r="DH49" s="203">
        <v>0</v>
      </c>
      <c r="DI49" s="203">
        <v>0</v>
      </c>
      <c r="DJ49" s="203">
        <v>0</v>
      </c>
      <c r="DK49" s="203">
        <v>0</v>
      </c>
      <c r="DL49" s="203">
        <v>0</v>
      </c>
      <c r="DM49" s="203">
        <v>0</v>
      </c>
      <c r="DN49" s="203">
        <v>0</v>
      </c>
      <c r="DO49" s="203">
        <v>0</v>
      </c>
      <c r="DP49" s="203">
        <v>0</v>
      </c>
      <c r="DQ49" s="203">
        <v>0</v>
      </c>
      <c r="DR49" s="203">
        <v>0</v>
      </c>
      <c r="DS49" s="203">
        <v>0</v>
      </c>
      <c r="DT49" s="203">
        <v>0</v>
      </c>
      <c r="DU49" s="203">
        <v>0</v>
      </c>
      <c r="DV49" s="203">
        <v>0</v>
      </c>
      <c r="DW49" s="203">
        <v>0</v>
      </c>
      <c r="DX49" s="203">
        <v>0</v>
      </c>
      <c r="DY49" s="203">
        <v>0</v>
      </c>
      <c r="DZ49" s="203">
        <v>0</v>
      </c>
      <c r="EA49" s="203">
        <v>0</v>
      </c>
      <c r="EB49" s="203">
        <v>0</v>
      </c>
      <c r="EC49" s="203">
        <v>0</v>
      </c>
      <c r="ED49" s="203">
        <v>0</v>
      </c>
      <c r="EE49" s="203">
        <v>0</v>
      </c>
      <c r="EF49" s="203">
        <v>0</v>
      </c>
      <c r="EG49" s="203">
        <v>0</v>
      </c>
      <c r="EH49" s="203">
        <v>0</v>
      </c>
      <c r="EI49" s="203">
        <v>0</v>
      </c>
      <c r="EJ49" s="203">
        <v>0</v>
      </c>
      <c r="EK49" s="203">
        <v>0</v>
      </c>
      <c r="EL49" s="203">
        <v>0</v>
      </c>
      <c r="EM49" s="203">
        <v>0</v>
      </c>
      <c r="EN49" s="203">
        <v>0</v>
      </c>
      <c r="EO49" s="203">
        <v>0</v>
      </c>
      <c r="EP49" s="203">
        <v>0</v>
      </c>
      <c r="EQ49" s="203">
        <v>0</v>
      </c>
      <c r="ER49" s="203">
        <v>0</v>
      </c>
      <c r="ES49" s="203">
        <v>0</v>
      </c>
      <c r="ET49" s="203">
        <v>0</v>
      </c>
      <c r="EU49" s="203">
        <v>0</v>
      </c>
      <c r="EV49" s="203">
        <v>0</v>
      </c>
      <c r="EW49" s="203">
        <v>0</v>
      </c>
      <c r="EX49" s="203">
        <v>0</v>
      </c>
      <c r="EY49" s="203">
        <v>0</v>
      </c>
      <c r="EZ49" s="203">
        <v>0</v>
      </c>
      <c r="FA49" s="203">
        <v>0</v>
      </c>
      <c r="FB49" s="203">
        <v>0</v>
      </c>
      <c r="FC49" s="203">
        <v>0</v>
      </c>
      <c r="FD49" s="203">
        <v>0</v>
      </c>
      <c r="FE49" s="203">
        <v>0</v>
      </c>
      <c r="FF49" s="203">
        <v>0</v>
      </c>
      <c r="FG49" s="203">
        <v>0</v>
      </c>
      <c r="FH49" s="203">
        <v>0</v>
      </c>
      <c r="FI49" s="203">
        <v>0</v>
      </c>
      <c r="FJ49" s="203">
        <v>0</v>
      </c>
      <c r="FK49" s="203">
        <v>0</v>
      </c>
      <c r="FL49" s="203">
        <v>0</v>
      </c>
      <c r="FM49" s="203">
        <v>0</v>
      </c>
      <c r="FN49" s="203">
        <v>0</v>
      </c>
      <c r="FO49" s="203">
        <v>0</v>
      </c>
      <c r="FP49" s="203">
        <v>0</v>
      </c>
      <c r="FQ49" s="203">
        <v>0</v>
      </c>
      <c r="FR49" s="203">
        <v>0</v>
      </c>
      <c r="FS49" s="203">
        <v>0</v>
      </c>
      <c r="FT49" s="203">
        <v>0</v>
      </c>
      <c r="FU49" s="203">
        <v>0</v>
      </c>
      <c r="FV49" s="203">
        <v>0</v>
      </c>
      <c r="FW49" s="203">
        <v>0</v>
      </c>
      <c r="FX49" s="203">
        <v>0</v>
      </c>
      <c r="FY49" s="203">
        <v>0</v>
      </c>
      <c r="FZ49" s="203">
        <v>0</v>
      </c>
      <c r="GA49" s="203">
        <v>0</v>
      </c>
      <c r="GB49" s="203">
        <v>0</v>
      </c>
      <c r="GC49" s="203">
        <v>0</v>
      </c>
      <c r="GD49" s="203">
        <v>0</v>
      </c>
      <c r="GE49" s="203">
        <v>0</v>
      </c>
      <c r="GF49" s="203">
        <v>0</v>
      </c>
      <c r="GG49" s="203">
        <v>0</v>
      </c>
      <c r="GH49" s="203">
        <v>0</v>
      </c>
      <c r="GI49" s="203">
        <v>0</v>
      </c>
      <c r="GJ49" s="203">
        <v>0</v>
      </c>
      <c r="GK49" s="203">
        <v>0</v>
      </c>
      <c r="GL49" s="203">
        <v>0</v>
      </c>
      <c r="GM49" s="203">
        <v>0</v>
      </c>
      <c r="GN49" s="203">
        <v>0</v>
      </c>
      <c r="GO49" s="203">
        <v>0</v>
      </c>
      <c r="GP49" s="203">
        <v>0</v>
      </c>
      <c r="GQ49" s="203">
        <v>0</v>
      </c>
      <c r="GR49" s="203">
        <v>0</v>
      </c>
      <c r="GS49" s="203">
        <v>0</v>
      </c>
      <c r="GT49" s="203">
        <v>0</v>
      </c>
      <c r="GU49" s="203">
        <v>0</v>
      </c>
      <c r="GV49" s="203">
        <v>0</v>
      </c>
      <c r="GW49" s="203"/>
      <c r="GX49" s="203"/>
      <c r="GY49" s="203"/>
      <c r="GZ49" s="203"/>
    </row>
    <row r="50" spans="1:208" ht="14.45">
      <c r="A50" s="175" t="s">
        <v>325</v>
      </c>
      <c r="B50" s="45">
        <v>1.25</v>
      </c>
      <c r="C50" s="96"/>
      <c r="D50" s="146"/>
      <c r="E50" s="96"/>
      <c r="F50" s="146"/>
      <c r="G50" s="173">
        <f t="shared" si="14"/>
        <v>0</v>
      </c>
      <c r="H50" s="203">
        <v>0</v>
      </c>
      <c r="I50" s="203">
        <v>0</v>
      </c>
      <c r="J50" s="203">
        <v>0</v>
      </c>
      <c r="K50" s="203">
        <v>0</v>
      </c>
      <c r="L50" s="203">
        <v>0</v>
      </c>
      <c r="M50" s="203">
        <v>0</v>
      </c>
      <c r="N50" s="203">
        <v>0</v>
      </c>
      <c r="O50" s="203">
        <v>0</v>
      </c>
      <c r="P50" s="203">
        <v>0</v>
      </c>
      <c r="Q50" s="203">
        <v>0</v>
      </c>
      <c r="R50" s="203">
        <v>0</v>
      </c>
      <c r="S50" s="203">
        <v>0</v>
      </c>
      <c r="T50" s="203">
        <v>0</v>
      </c>
      <c r="U50" s="203">
        <v>0</v>
      </c>
      <c r="V50" s="203">
        <v>0</v>
      </c>
      <c r="W50" s="203">
        <v>0</v>
      </c>
      <c r="X50" s="203">
        <v>0</v>
      </c>
      <c r="Y50" s="203">
        <v>0</v>
      </c>
      <c r="Z50" s="203">
        <v>0</v>
      </c>
      <c r="AA50" s="203">
        <v>0</v>
      </c>
      <c r="AB50" s="203">
        <v>0</v>
      </c>
      <c r="AC50" s="203">
        <v>0</v>
      </c>
      <c r="AD50" s="203">
        <v>0</v>
      </c>
      <c r="AE50" s="203">
        <v>0</v>
      </c>
      <c r="AF50" s="203">
        <v>0</v>
      </c>
      <c r="AG50" s="203">
        <v>0</v>
      </c>
      <c r="AH50" s="203">
        <v>0</v>
      </c>
      <c r="AI50" s="203">
        <v>0</v>
      </c>
      <c r="AJ50" s="203">
        <v>0</v>
      </c>
      <c r="AK50" s="203">
        <v>0</v>
      </c>
      <c r="AL50" s="203">
        <v>0</v>
      </c>
      <c r="AM50" s="203">
        <v>0</v>
      </c>
      <c r="AN50" s="203">
        <v>0</v>
      </c>
      <c r="AO50" s="203">
        <v>0</v>
      </c>
      <c r="AP50" s="203">
        <v>0</v>
      </c>
      <c r="AQ50" s="203">
        <v>0</v>
      </c>
      <c r="AR50" s="203">
        <v>0</v>
      </c>
      <c r="AS50" s="203">
        <v>0</v>
      </c>
      <c r="AT50" s="203">
        <v>0</v>
      </c>
      <c r="AU50" s="203">
        <v>0</v>
      </c>
      <c r="AV50" s="203">
        <v>0</v>
      </c>
      <c r="AW50" s="203">
        <v>0</v>
      </c>
      <c r="AX50" s="203">
        <v>0</v>
      </c>
      <c r="AY50" s="203">
        <v>0</v>
      </c>
      <c r="AZ50" s="203">
        <v>0</v>
      </c>
      <c r="BA50" s="203">
        <v>0</v>
      </c>
      <c r="BB50" s="203">
        <v>0</v>
      </c>
      <c r="BC50" s="203">
        <v>0</v>
      </c>
      <c r="BD50" s="203">
        <v>0</v>
      </c>
      <c r="BE50" s="203">
        <v>0</v>
      </c>
      <c r="BF50" s="203">
        <v>0</v>
      </c>
      <c r="BG50" s="203">
        <v>0</v>
      </c>
      <c r="BH50" s="203">
        <v>0</v>
      </c>
      <c r="BI50" s="203">
        <v>0</v>
      </c>
      <c r="BJ50" s="203">
        <v>0</v>
      </c>
      <c r="BK50" s="203">
        <v>0</v>
      </c>
      <c r="BL50" s="203">
        <v>0</v>
      </c>
      <c r="BM50" s="203">
        <v>0</v>
      </c>
      <c r="BN50" s="203">
        <v>0</v>
      </c>
      <c r="BO50" s="203">
        <v>0</v>
      </c>
      <c r="BP50" s="203">
        <v>0</v>
      </c>
      <c r="BQ50" s="203">
        <v>0</v>
      </c>
      <c r="BR50" s="203">
        <v>0</v>
      </c>
      <c r="BS50" s="203">
        <v>0</v>
      </c>
      <c r="BT50" s="203">
        <v>0</v>
      </c>
      <c r="BU50" s="203">
        <v>0</v>
      </c>
      <c r="BV50" s="203">
        <v>0</v>
      </c>
      <c r="BW50" s="203">
        <v>0</v>
      </c>
      <c r="BX50" s="203">
        <v>0</v>
      </c>
      <c r="BY50" s="203">
        <v>0</v>
      </c>
      <c r="BZ50" s="203">
        <v>0</v>
      </c>
      <c r="CA50" s="203">
        <v>0</v>
      </c>
      <c r="CB50" s="203">
        <v>0</v>
      </c>
      <c r="CC50" s="203">
        <v>0</v>
      </c>
      <c r="CD50" s="203">
        <v>0</v>
      </c>
      <c r="CE50" s="203">
        <v>0</v>
      </c>
      <c r="CF50" s="203">
        <v>0</v>
      </c>
      <c r="CG50" s="203">
        <v>0</v>
      </c>
      <c r="CH50" s="203">
        <v>0</v>
      </c>
      <c r="CI50" s="203">
        <v>0</v>
      </c>
      <c r="CJ50" s="203">
        <v>0</v>
      </c>
      <c r="CK50" s="203">
        <v>0</v>
      </c>
      <c r="CL50" s="203">
        <v>0</v>
      </c>
      <c r="CM50" s="203">
        <v>0</v>
      </c>
      <c r="CN50" s="203">
        <v>0</v>
      </c>
      <c r="CO50" s="203">
        <v>0</v>
      </c>
      <c r="CP50" s="203">
        <v>0</v>
      </c>
      <c r="CQ50" s="203">
        <v>0</v>
      </c>
      <c r="CR50" s="203">
        <v>0</v>
      </c>
      <c r="CS50" s="203">
        <v>0</v>
      </c>
      <c r="CT50" s="203">
        <v>0</v>
      </c>
      <c r="CU50" s="203">
        <v>0</v>
      </c>
      <c r="CV50" s="203">
        <v>0</v>
      </c>
      <c r="CW50" s="203">
        <v>0</v>
      </c>
      <c r="CX50" s="203">
        <v>0</v>
      </c>
      <c r="CY50" s="203">
        <v>0</v>
      </c>
      <c r="CZ50" s="203">
        <v>0</v>
      </c>
      <c r="DA50" s="203">
        <v>0</v>
      </c>
      <c r="DB50" s="203">
        <v>0</v>
      </c>
      <c r="DC50" s="203">
        <v>0</v>
      </c>
      <c r="DD50" s="203">
        <v>0</v>
      </c>
      <c r="DE50" s="203">
        <v>0</v>
      </c>
      <c r="DF50" s="203">
        <v>0</v>
      </c>
      <c r="DG50" s="203">
        <v>0</v>
      </c>
      <c r="DH50" s="203">
        <v>0</v>
      </c>
      <c r="DI50" s="203">
        <v>0</v>
      </c>
      <c r="DJ50" s="203">
        <v>0</v>
      </c>
      <c r="DK50" s="203">
        <v>0</v>
      </c>
      <c r="DL50" s="203">
        <v>0</v>
      </c>
      <c r="DM50" s="203">
        <v>0</v>
      </c>
      <c r="DN50" s="203">
        <v>0</v>
      </c>
      <c r="DO50" s="203">
        <v>0</v>
      </c>
      <c r="DP50" s="203">
        <v>0</v>
      </c>
      <c r="DQ50" s="203">
        <v>0</v>
      </c>
      <c r="DR50" s="203">
        <v>0</v>
      </c>
      <c r="DS50" s="203">
        <v>0</v>
      </c>
      <c r="DT50" s="203">
        <v>0</v>
      </c>
      <c r="DU50" s="203">
        <v>0</v>
      </c>
      <c r="DV50" s="203">
        <v>0</v>
      </c>
      <c r="DW50" s="203">
        <v>0</v>
      </c>
      <c r="DX50" s="203">
        <v>0</v>
      </c>
      <c r="DY50" s="203">
        <v>0</v>
      </c>
      <c r="DZ50" s="203">
        <v>0</v>
      </c>
      <c r="EA50" s="203">
        <v>0</v>
      </c>
      <c r="EB50" s="203">
        <v>0</v>
      </c>
      <c r="EC50" s="203">
        <v>0</v>
      </c>
      <c r="ED50" s="203">
        <v>0</v>
      </c>
      <c r="EE50" s="203">
        <v>0</v>
      </c>
      <c r="EF50" s="203">
        <v>0</v>
      </c>
      <c r="EG50" s="203">
        <v>0</v>
      </c>
      <c r="EH50" s="203">
        <v>0</v>
      </c>
      <c r="EI50" s="203">
        <v>0</v>
      </c>
      <c r="EJ50" s="203">
        <v>0</v>
      </c>
      <c r="EK50" s="203">
        <v>0</v>
      </c>
      <c r="EL50" s="203">
        <v>0</v>
      </c>
      <c r="EM50" s="203">
        <v>0</v>
      </c>
      <c r="EN50" s="203">
        <v>0</v>
      </c>
      <c r="EO50" s="203">
        <v>0</v>
      </c>
      <c r="EP50" s="203">
        <v>0</v>
      </c>
      <c r="EQ50" s="203">
        <v>0</v>
      </c>
      <c r="ER50" s="203">
        <v>0</v>
      </c>
      <c r="ES50" s="203">
        <v>0</v>
      </c>
      <c r="ET50" s="203">
        <v>0</v>
      </c>
      <c r="EU50" s="203">
        <v>0</v>
      </c>
      <c r="EV50" s="203">
        <v>0</v>
      </c>
      <c r="EW50" s="203">
        <v>0</v>
      </c>
      <c r="EX50" s="203">
        <v>0</v>
      </c>
      <c r="EY50" s="203">
        <v>0</v>
      </c>
      <c r="EZ50" s="203">
        <v>0</v>
      </c>
      <c r="FA50" s="203">
        <v>0</v>
      </c>
      <c r="FB50" s="203">
        <v>0</v>
      </c>
      <c r="FC50" s="203">
        <v>0</v>
      </c>
      <c r="FD50" s="203">
        <v>0</v>
      </c>
      <c r="FE50" s="203">
        <v>0</v>
      </c>
      <c r="FF50" s="203">
        <v>0</v>
      </c>
      <c r="FG50" s="203">
        <v>0</v>
      </c>
      <c r="FH50" s="203">
        <v>0</v>
      </c>
      <c r="FI50" s="203">
        <v>0</v>
      </c>
      <c r="FJ50" s="203">
        <v>0</v>
      </c>
      <c r="FK50" s="203">
        <v>0</v>
      </c>
      <c r="FL50" s="203">
        <v>0</v>
      </c>
      <c r="FM50" s="203">
        <v>0</v>
      </c>
      <c r="FN50" s="203">
        <v>0</v>
      </c>
      <c r="FO50" s="203">
        <v>0</v>
      </c>
      <c r="FP50" s="203">
        <v>0</v>
      </c>
      <c r="FQ50" s="203">
        <v>0</v>
      </c>
      <c r="FR50" s="203">
        <v>0</v>
      </c>
      <c r="FS50" s="203">
        <v>0</v>
      </c>
      <c r="FT50" s="203">
        <v>0</v>
      </c>
      <c r="FU50" s="203">
        <v>0</v>
      </c>
      <c r="FV50" s="203">
        <v>0</v>
      </c>
      <c r="FW50" s="203">
        <v>0</v>
      </c>
      <c r="FX50" s="203">
        <v>0</v>
      </c>
      <c r="FY50" s="203">
        <v>0</v>
      </c>
      <c r="FZ50" s="203">
        <v>0</v>
      </c>
      <c r="GA50" s="203">
        <v>0</v>
      </c>
      <c r="GB50" s="203">
        <v>0</v>
      </c>
      <c r="GC50" s="203">
        <v>0</v>
      </c>
      <c r="GD50" s="203">
        <v>0</v>
      </c>
      <c r="GE50" s="203">
        <v>0</v>
      </c>
      <c r="GF50" s="203">
        <v>0</v>
      </c>
      <c r="GG50" s="203">
        <v>0</v>
      </c>
      <c r="GH50" s="203">
        <v>0</v>
      </c>
      <c r="GI50" s="203">
        <v>0</v>
      </c>
      <c r="GJ50" s="203">
        <v>0</v>
      </c>
      <c r="GK50" s="203">
        <v>0</v>
      </c>
      <c r="GL50" s="203">
        <v>0</v>
      </c>
      <c r="GM50" s="203">
        <v>0</v>
      </c>
      <c r="GN50" s="203">
        <v>0</v>
      </c>
      <c r="GO50" s="203">
        <v>0</v>
      </c>
      <c r="GP50" s="203">
        <v>0</v>
      </c>
      <c r="GQ50" s="203">
        <v>0</v>
      </c>
      <c r="GR50" s="203">
        <v>0</v>
      </c>
      <c r="GS50" s="203">
        <v>0</v>
      </c>
      <c r="GT50" s="203">
        <v>0</v>
      </c>
      <c r="GU50" s="203">
        <v>0</v>
      </c>
      <c r="GV50" s="203">
        <v>0</v>
      </c>
      <c r="GW50" s="203"/>
      <c r="GX50" s="203"/>
      <c r="GY50" s="203"/>
      <c r="GZ50" s="203"/>
    </row>
    <row r="51" spans="1:208" ht="14.45">
      <c r="A51" s="175" t="s">
        <v>326</v>
      </c>
      <c r="B51" s="45">
        <v>1.25</v>
      </c>
      <c r="C51" s="96"/>
      <c r="D51" s="96">
        <f>G51</f>
        <v>0</v>
      </c>
      <c r="E51" s="96"/>
      <c r="F51" s="146"/>
      <c r="G51" s="173">
        <f t="shared" si="14"/>
        <v>0</v>
      </c>
      <c r="H51" s="203">
        <v>0</v>
      </c>
      <c r="I51" s="203">
        <v>0</v>
      </c>
      <c r="J51" s="203">
        <v>0</v>
      </c>
      <c r="K51" s="203">
        <v>0</v>
      </c>
      <c r="L51" s="203">
        <v>0</v>
      </c>
      <c r="M51" s="203">
        <v>0</v>
      </c>
      <c r="N51" s="203">
        <v>0</v>
      </c>
      <c r="O51" s="203">
        <v>0</v>
      </c>
      <c r="P51" s="203">
        <v>0</v>
      </c>
      <c r="Q51" s="203">
        <v>0</v>
      </c>
      <c r="R51" s="203">
        <v>0</v>
      </c>
      <c r="S51" s="203">
        <v>0</v>
      </c>
      <c r="T51" s="203">
        <v>0</v>
      </c>
      <c r="U51" s="203">
        <v>0</v>
      </c>
      <c r="V51" s="203">
        <v>0</v>
      </c>
      <c r="W51" s="203">
        <v>0</v>
      </c>
      <c r="X51" s="203">
        <v>0</v>
      </c>
      <c r="Y51" s="203">
        <v>0</v>
      </c>
      <c r="Z51" s="203">
        <v>0</v>
      </c>
      <c r="AA51" s="203">
        <v>0</v>
      </c>
      <c r="AB51" s="203">
        <v>0</v>
      </c>
      <c r="AC51" s="203">
        <v>0</v>
      </c>
      <c r="AD51" s="203">
        <v>0</v>
      </c>
      <c r="AE51" s="203">
        <v>0</v>
      </c>
      <c r="AF51" s="203">
        <v>0</v>
      </c>
      <c r="AG51" s="203">
        <v>0</v>
      </c>
      <c r="AH51" s="203">
        <v>0</v>
      </c>
      <c r="AI51" s="203">
        <v>0</v>
      </c>
      <c r="AJ51" s="203">
        <v>0</v>
      </c>
      <c r="AK51" s="203">
        <v>0</v>
      </c>
      <c r="AL51" s="203">
        <v>0</v>
      </c>
      <c r="AM51" s="203">
        <v>0</v>
      </c>
      <c r="AN51" s="203">
        <v>0</v>
      </c>
      <c r="AO51" s="203">
        <v>0</v>
      </c>
      <c r="AP51" s="203">
        <v>0</v>
      </c>
      <c r="AQ51" s="203">
        <v>0</v>
      </c>
      <c r="AR51" s="203">
        <v>0</v>
      </c>
      <c r="AS51" s="203">
        <v>0</v>
      </c>
      <c r="AT51" s="203">
        <v>0</v>
      </c>
      <c r="AU51" s="203">
        <v>0</v>
      </c>
      <c r="AV51" s="203">
        <v>0</v>
      </c>
      <c r="AW51" s="203">
        <v>0</v>
      </c>
      <c r="AX51" s="203">
        <v>0</v>
      </c>
      <c r="AY51" s="203">
        <v>0</v>
      </c>
      <c r="AZ51" s="203">
        <v>0</v>
      </c>
      <c r="BA51" s="203">
        <v>0</v>
      </c>
      <c r="BB51" s="203">
        <v>0</v>
      </c>
      <c r="BC51" s="203">
        <v>0</v>
      </c>
      <c r="BD51" s="203">
        <v>0</v>
      </c>
      <c r="BE51" s="203">
        <v>0</v>
      </c>
      <c r="BF51" s="203">
        <v>0</v>
      </c>
      <c r="BG51" s="203">
        <v>0</v>
      </c>
      <c r="BH51" s="203">
        <v>0</v>
      </c>
      <c r="BI51" s="203">
        <v>0</v>
      </c>
      <c r="BJ51" s="203">
        <v>0</v>
      </c>
      <c r="BK51" s="203">
        <v>0</v>
      </c>
      <c r="BL51" s="203">
        <v>0</v>
      </c>
      <c r="BM51" s="203">
        <v>0</v>
      </c>
      <c r="BN51" s="203">
        <v>0</v>
      </c>
      <c r="BO51" s="203">
        <v>0</v>
      </c>
      <c r="BP51" s="203">
        <v>0</v>
      </c>
      <c r="BQ51" s="203">
        <v>0</v>
      </c>
      <c r="BR51" s="203">
        <v>0</v>
      </c>
      <c r="BS51" s="203">
        <v>0</v>
      </c>
      <c r="BT51" s="203">
        <v>0</v>
      </c>
      <c r="BU51" s="203">
        <v>0</v>
      </c>
      <c r="BV51" s="203">
        <v>0</v>
      </c>
      <c r="BW51" s="203">
        <v>0</v>
      </c>
      <c r="BX51" s="203">
        <v>0</v>
      </c>
      <c r="BY51" s="203">
        <v>0</v>
      </c>
      <c r="BZ51" s="203">
        <v>0</v>
      </c>
      <c r="CA51" s="203">
        <v>0</v>
      </c>
      <c r="CB51" s="203">
        <v>0</v>
      </c>
      <c r="CC51" s="203">
        <v>0</v>
      </c>
      <c r="CD51" s="203">
        <v>0</v>
      </c>
      <c r="CE51" s="203">
        <v>0</v>
      </c>
      <c r="CF51" s="203">
        <v>0</v>
      </c>
      <c r="CG51" s="203">
        <v>0</v>
      </c>
      <c r="CH51" s="203">
        <v>0</v>
      </c>
      <c r="CI51" s="203">
        <v>0</v>
      </c>
      <c r="CJ51" s="203">
        <v>0</v>
      </c>
      <c r="CK51" s="203">
        <v>0</v>
      </c>
      <c r="CL51" s="203">
        <v>0</v>
      </c>
      <c r="CM51" s="203">
        <v>0</v>
      </c>
      <c r="CN51" s="203">
        <v>0</v>
      </c>
      <c r="CO51" s="203">
        <v>0</v>
      </c>
      <c r="CP51" s="203">
        <v>0</v>
      </c>
      <c r="CQ51" s="203">
        <v>0</v>
      </c>
      <c r="CR51" s="203">
        <v>0</v>
      </c>
      <c r="CS51" s="203">
        <v>0</v>
      </c>
      <c r="CT51" s="203">
        <v>0</v>
      </c>
      <c r="CU51" s="203">
        <v>0</v>
      </c>
      <c r="CV51" s="203">
        <v>0</v>
      </c>
      <c r="CW51" s="203">
        <v>0</v>
      </c>
      <c r="CX51" s="203">
        <v>0</v>
      </c>
      <c r="CY51" s="203">
        <v>0</v>
      </c>
      <c r="CZ51" s="203">
        <v>0</v>
      </c>
      <c r="DA51" s="203">
        <v>0</v>
      </c>
      <c r="DB51" s="203">
        <v>0</v>
      </c>
      <c r="DC51" s="203">
        <v>0</v>
      </c>
      <c r="DD51" s="203">
        <v>0</v>
      </c>
      <c r="DE51" s="203">
        <v>0</v>
      </c>
      <c r="DF51" s="203">
        <v>0</v>
      </c>
      <c r="DG51" s="203">
        <v>0</v>
      </c>
      <c r="DH51" s="203">
        <v>0</v>
      </c>
      <c r="DI51" s="203">
        <v>0</v>
      </c>
      <c r="DJ51" s="203">
        <v>0</v>
      </c>
      <c r="DK51" s="203">
        <v>0</v>
      </c>
      <c r="DL51" s="203">
        <v>0</v>
      </c>
      <c r="DM51" s="203">
        <v>0</v>
      </c>
      <c r="DN51" s="203">
        <v>0</v>
      </c>
      <c r="DO51" s="203">
        <v>0</v>
      </c>
      <c r="DP51" s="203">
        <v>0</v>
      </c>
      <c r="DQ51" s="203">
        <v>0</v>
      </c>
      <c r="DR51" s="203">
        <v>0</v>
      </c>
      <c r="DS51" s="203">
        <v>0</v>
      </c>
      <c r="DT51" s="203">
        <v>0</v>
      </c>
      <c r="DU51" s="203">
        <v>0</v>
      </c>
      <c r="DV51" s="203">
        <v>0</v>
      </c>
      <c r="DW51" s="203">
        <v>0</v>
      </c>
      <c r="DX51" s="203">
        <v>0</v>
      </c>
      <c r="DY51" s="203">
        <v>0</v>
      </c>
      <c r="DZ51" s="203">
        <v>0</v>
      </c>
      <c r="EA51" s="203">
        <v>0</v>
      </c>
      <c r="EB51" s="203">
        <v>0</v>
      </c>
      <c r="EC51" s="203">
        <v>0</v>
      </c>
      <c r="ED51" s="203">
        <v>0</v>
      </c>
      <c r="EE51" s="203">
        <v>0</v>
      </c>
      <c r="EF51" s="203">
        <v>0</v>
      </c>
      <c r="EG51" s="203">
        <v>0</v>
      </c>
      <c r="EH51" s="203">
        <v>0</v>
      </c>
      <c r="EI51" s="203">
        <v>0</v>
      </c>
      <c r="EJ51" s="203">
        <v>0</v>
      </c>
      <c r="EK51" s="203">
        <v>0</v>
      </c>
      <c r="EL51" s="203">
        <v>0</v>
      </c>
      <c r="EM51" s="203">
        <v>0</v>
      </c>
      <c r="EN51" s="203">
        <v>0</v>
      </c>
      <c r="EO51" s="203">
        <v>0</v>
      </c>
      <c r="EP51" s="203">
        <v>0</v>
      </c>
      <c r="EQ51" s="203">
        <v>0</v>
      </c>
      <c r="ER51" s="203">
        <v>0</v>
      </c>
      <c r="ES51" s="203">
        <v>0</v>
      </c>
      <c r="ET51" s="203">
        <v>0</v>
      </c>
      <c r="EU51" s="203">
        <v>0</v>
      </c>
      <c r="EV51" s="203">
        <v>0</v>
      </c>
      <c r="EW51" s="203">
        <v>0</v>
      </c>
      <c r="EX51" s="203">
        <v>0</v>
      </c>
      <c r="EY51" s="203">
        <v>0</v>
      </c>
      <c r="EZ51" s="203">
        <v>0</v>
      </c>
      <c r="FA51" s="203">
        <v>0</v>
      </c>
      <c r="FB51" s="203">
        <v>0</v>
      </c>
      <c r="FC51" s="203">
        <v>0</v>
      </c>
      <c r="FD51" s="203">
        <v>0</v>
      </c>
      <c r="FE51" s="203">
        <v>0</v>
      </c>
      <c r="FF51" s="203">
        <v>0</v>
      </c>
      <c r="FG51" s="203">
        <v>0</v>
      </c>
      <c r="FH51" s="203">
        <v>0</v>
      </c>
      <c r="FI51" s="203">
        <v>0</v>
      </c>
      <c r="FJ51" s="203">
        <v>0</v>
      </c>
      <c r="FK51" s="203">
        <v>0</v>
      </c>
      <c r="FL51" s="203">
        <v>0</v>
      </c>
      <c r="FM51" s="203">
        <v>0</v>
      </c>
      <c r="FN51" s="203">
        <v>0</v>
      </c>
      <c r="FO51" s="203">
        <v>0</v>
      </c>
      <c r="FP51" s="203">
        <v>0</v>
      </c>
      <c r="FQ51" s="203">
        <v>0</v>
      </c>
      <c r="FR51" s="203">
        <v>0</v>
      </c>
      <c r="FS51" s="203">
        <v>0</v>
      </c>
      <c r="FT51" s="203">
        <v>0</v>
      </c>
      <c r="FU51" s="203">
        <v>0</v>
      </c>
      <c r="FV51" s="203">
        <v>0</v>
      </c>
      <c r="FW51" s="203">
        <v>0</v>
      </c>
      <c r="FX51" s="203">
        <v>0</v>
      </c>
      <c r="FY51" s="203">
        <v>0</v>
      </c>
      <c r="FZ51" s="203">
        <v>0</v>
      </c>
      <c r="GA51" s="203">
        <v>0</v>
      </c>
      <c r="GB51" s="203">
        <v>0</v>
      </c>
      <c r="GC51" s="203">
        <v>0</v>
      </c>
      <c r="GD51" s="203">
        <v>0</v>
      </c>
      <c r="GE51" s="203">
        <v>0</v>
      </c>
      <c r="GF51" s="203">
        <v>0</v>
      </c>
      <c r="GG51" s="203">
        <v>0</v>
      </c>
      <c r="GH51" s="203">
        <v>0</v>
      </c>
      <c r="GI51" s="203">
        <v>0</v>
      </c>
      <c r="GJ51" s="203">
        <v>0</v>
      </c>
      <c r="GK51" s="203">
        <v>0</v>
      </c>
      <c r="GL51" s="203">
        <v>0</v>
      </c>
      <c r="GM51" s="203">
        <v>0</v>
      </c>
      <c r="GN51" s="203">
        <v>0</v>
      </c>
      <c r="GO51" s="203">
        <v>0</v>
      </c>
      <c r="GP51" s="203">
        <v>0</v>
      </c>
      <c r="GQ51" s="203">
        <v>0</v>
      </c>
      <c r="GR51" s="203">
        <v>0</v>
      </c>
      <c r="GS51" s="203">
        <v>0</v>
      </c>
      <c r="GT51" s="203">
        <v>0</v>
      </c>
      <c r="GU51" s="203">
        <v>0</v>
      </c>
      <c r="GV51" s="203">
        <v>0</v>
      </c>
      <c r="GW51" s="203"/>
      <c r="GX51" s="203"/>
      <c r="GY51" s="203"/>
      <c r="GZ51" s="203"/>
    </row>
    <row r="52" spans="1:208" ht="14.45">
      <c r="A52" s="175" t="s">
        <v>327</v>
      </c>
      <c r="B52" s="45">
        <v>1.25</v>
      </c>
      <c r="C52" s="96"/>
      <c r="D52" s="146"/>
      <c r="E52" s="96">
        <v>0</v>
      </c>
      <c r="F52" s="146"/>
      <c r="G52" s="173">
        <f t="shared" si="14"/>
        <v>224</v>
      </c>
      <c r="H52" s="203">
        <v>0</v>
      </c>
      <c r="I52" s="203">
        <v>0</v>
      </c>
      <c r="J52" s="203">
        <v>0</v>
      </c>
      <c r="K52" s="203">
        <v>0</v>
      </c>
      <c r="L52" s="203">
        <v>0</v>
      </c>
      <c r="M52" s="203">
        <v>0</v>
      </c>
      <c r="N52" s="203">
        <v>0</v>
      </c>
      <c r="O52" s="203">
        <v>0</v>
      </c>
      <c r="P52" s="203">
        <v>0</v>
      </c>
      <c r="Q52" s="203">
        <v>0</v>
      </c>
      <c r="R52" s="203">
        <v>0</v>
      </c>
      <c r="S52" s="203">
        <v>0</v>
      </c>
      <c r="T52" s="203">
        <v>0</v>
      </c>
      <c r="U52" s="203">
        <v>0</v>
      </c>
      <c r="V52" s="203">
        <v>0</v>
      </c>
      <c r="W52" s="203">
        <v>0</v>
      </c>
      <c r="X52" s="203">
        <v>0</v>
      </c>
      <c r="Y52" s="203">
        <v>0</v>
      </c>
      <c r="Z52" s="203">
        <v>0</v>
      </c>
      <c r="AA52" s="203">
        <v>0</v>
      </c>
      <c r="AB52" s="203">
        <v>0</v>
      </c>
      <c r="AC52" s="203">
        <v>0</v>
      </c>
      <c r="AD52" s="203">
        <v>0</v>
      </c>
      <c r="AE52" s="203">
        <v>0</v>
      </c>
      <c r="AF52" s="203">
        <v>0</v>
      </c>
      <c r="AG52" s="203">
        <v>0</v>
      </c>
      <c r="AH52" s="203">
        <v>0</v>
      </c>
      <c r="AI52" s="203">
        <v>0</v>
      </c>
      <c r="AJ52" s="203">
        <v>0</v>
      </c>
      <c r="AK52" s="203">
        <v>0</v>
      </c>
      <c r="AL52" s="203">
        <v>0</v>
      </c>
      <c r="AM52" s="203">
        <v>0</v>
      </c>
      <c r="AN52" s="203">
        <v>0</v>
      </c>
      <c r="AO52" s="203">
        <v>0</v>
      </c>
      <c r="AP52" s="203">
        <v>0</v>
      </c>
      <c r="AQ52" s="203">
        <v>219</v>
      </c>
      <c r="AR52" s="203">
        <v>5</v>
      </c>
      <c r="AS52" s="203">
        <v>0</v>
      </c>
      <c r="AT52" s="203">
        <v>0</v>
      </c>
      <c r="AU52" s="203">
        <v>0</v>
      </c>
      <c r="AV52" s="203">
        <v>0</v>
      </c>
      <c r="AW52" s="203">
        <v>0</v>
      </c>
      <c r="AX52" s="203">
        <v>0</v>
      </c>
      <c r="AY52" s="203">
        <v>0</v>
      </c>
      <c r="AZ52" s="203">
        <v>0</v>
      </c>
      <c r="BA52" s="203">
        <v>0</v>
      </c>
      <c r="BB52" s="203">
        <v>0</v>
      </c>
      <c r="BC52" s="203">
        <v>0</v>
      </c>
      <c r="BD52" s="203">
        <v>0</v>
      </c>
      <c r="BE52" s="203">
        <v>0</v>
      </c>
      <c r="BF52" s="203">
        <v>0</v>
      </c>
      <c r="BG52" s="203">
        <v>0</v>
      </c>
      <c r="BH52" s="203">
        <v>0</v>
      </c>
      <c r="BI52" s="203">
        <v>0</v>
      </c>
      <c r="BJ52" s="203">
        <v>0</v>
      </c>
      <c r="BK52" s="203">
        <v>0</v>
      </c>
      <c r="BL52" s="203">
        <v>0</v>
      </c>
      <c r="BM52" s="203">
        <v>0</v>
      </c>
      <c r="BN52" s="203">
        <v>0</v>
      </c>
      <c r="BO52" s="203">
        <v>0</v>
      </c>
      <c r="BP52" s="203">
        <v>0</v>
      </c>
      <c r="BQ52" s="203">
        <v>0</v>
      </c>
      <c r="BR52" s="203">
        <v>0</v>
      </c>
      <c r="BS52" s="203">
        <v>0</v>
      </c>
      <c r="BT52" s="203">
        <v>0</v>
      </c>
      <c r="BU52" s="203">
        <v>0</v>
      </c>
      <c r="BV52" s="203">
        <v>0</v>
      </c>
      <c r="BW52" s="203">
        <v>0</v>
      </c>
      <c r="BX52" s="203">
        <v>0</v>
      </c>
      <c r="BY52" s="203">
        <v>0</v>
      </c>
      <c r="BZ52" s="203">
        <v>0</v>
      </c>
      <c r="CA52" s="203">
        <v>0</v>
      </c>
      <c r="CB52" s="203">
        <v>0</v>
      </c>
      <c r="CC52" s="203">
        <v>0</v>
      </c>
      <c r="CD52" s="203">
        <v>0</v>
      </c>
      <c r="CE52" s="203">
        <v>0</v>
      </c>
      <c r="CF52" s="203">
        <v>0</v>
      </c>
      <c r="CG52" s="203">
        <v>0</v>
      </c>
      <c r="CH52" s="203">
        <v>0</v>
      </c>
      <c r="CI52" s="203">
        <v>0</v>
      </c>
      <c r="CJ52" s="203">
        <v>0</v>
      </c>
      <c r="CK52" s="203">
        <v>0</v>
      </c>
      <c r="CL52" s="203">
        <v>0</v>
      </c>
      <c r="CM52" s="203">
        <v>0</v>
      </c>
      <c r="CN52" s="203">
        <v>0</v>
      </c>
      <c r="CO52" s="203">
        <v>0</v>
      </c>
      <c r="CP52" s="203">
        <v>0</v>
      </c>
      <c r="CQ52" s="203">
        <v>0</v>
      </c>
      <c r="CR52" s="203">
        <v>0</v>
      </c>
      <c r="CS52" s="203">
        <v>0</v>
      </c>
      <c r="CT52" s="203">
        <v>0</v>
      </c>
      <c r="CU52" s="203">
        <v>0</v>
      </c>
      <c r="CV52" s="203">
        <v>0</v>
      </c>
      <c r="CW52" s="203">
        <v>0</v>
      </c>
      <c r="CX52" s="203">
        <v>0</v>
      </c>
      <c r="CY52" s="203">
        <v>0</v>
      </c>
      <c r="CZ52" s="203">
        <v>0</v>
      </c>
      <c r="DA52" s="203">
        <v>0</v>
      </c>
      <c r="DB52" s="203">
        <v>0</v>
      </c>
      <c r="DC52" s="203">
        <v>0</v>
      </c>
      <c r="DD52" s="203">
        <v>0</v>
      </c>
      <c r="DE52" s="203">
        <v>0</v>
      </c>
      <c r="DF52" s="203">
        <v>0</v>
      </c>
      <c r="DG52" s="203">
        <v>0</v>
      </c>
      <c r="DH52" s="203">
        <v>0</v>
      </c>
      <c r="DI52" s="203">
        <v>0</v>
      </c>
      <c r="DJ52" s="203">
        <v>0</v>
      </c>
      <c r="DK52" s="203">
        <v>0</v>
      </c>
      <c r="DL52" s="203">
        <v>0</v>
      </c>
      <c r="DM52" s="203">
        <v>0</v>
      </c>
      <c r="DN52" s="203">
        <v>0</v>
      </c>
      <c r="DO52" s="203">
        <v>0</v>
      </c>
      <c r="DP52" s="203">
        <v>0</v>
      </c>
      <c r="DQ52" s="203">
        <v>0</v>
      </c>
      <c r="DR52" s="203">
        <v>0</v>
      </c>
      <c r="DS52" s="203">
        <v>0</v>
      </c>
      <c r="DT52" s="203">
        <v>0</v>
      </c>
      <c r="DU52" s="203">
        <v>0</v>
      </c>
      <c r="DV52" s="203">
        <v>0</v>
      </c>
      <c r="DW52" s="203">
        <v>0</v>
      </c>
      <c r="DX52" s="203">
        <v>0</v>
      </c>
      <c r="DY52" s="203">
        <v>0</v>
      </c>
      <c r="DZ52" s="203">
        <v>0</v>
      </c>
      <c r="EA52" s="203">
        <v>0</v>
      </c>
      <c r="EB52" s="203">
        <v>0</v>
      </c>
      <c r="EC52" s="203">
        <v>0</v>
      </c>
      <c r="ED52" s="203">
        <v>0</v>
      </c>
      <c r="EE52" s="203">
        <v>0</v>
      </c>
      <c r="EF52" s="203">
        <v>0</v>
      </c>
      <c r="EG52" s="203">
        <v>0</v>
      </c>
      <c r="EH52" s="203">
        <v>0</v>
      </c>
      <c r="EI52" s="203">
        <v>0</v>
      </c>
      <c r="EJ52" s="203">
        <v>0</v>
      </c>
      <c r="EK52" s="203">
        <v>0</v>
      </c>
      <c r="EL52" s="203">
        <v>0</v>
      </c>
      <c r="EM52" s="203">
        <v>0</v>
      </c>
      <c r="EN52" s="203">
        <v>0</v>
      </c>
      <c r="EO52" s="203">
        <v>0</v>
      </c>
      <c r="EP52" s="203">
        <v>0</v>
      </c>
      <c r="EQ52" s="203">
        <v>0</v>
      </c>
      <c r="ER52" s="203">
        <v>0</v>
      </c>
      <c r="ES52" s="203">
        <v>0</v>
      </c>
      <c r="ET52" s="203">
        <v>0</v>
      </c>
      <c r="EU52" s="203">
        <v>0</v>
      </c>
      <c r="EV52" s="203">
        <v>0</v>
      </c>
      <c r="EW52" s="203">
        <v>0</v>
      </c>
      <c r="EX52" s="203">
        <v>0</v>
      </c>
      <c r="EY52" s="203">
        <v>0</v>
      </c>
      <c r="EZ52" s="203">
        <v>0</v>
      </c>
      <c r="FA52" s="203">
        <v>0</v>
      </c>
      <c r="FB52" s="203">
        <v>0</v>
      </c>
      <c r="FC52" s="203">
        <v>0</v>
      </c>
      <c r="FD52" s="203">
        <v>0</v>
      </c>
      <c r="FE52" s="203">
        <v>0</v>
      </c>
      <c r="FF52" s="203">
        <v>0</v>
      </c>
      <c r="FG52" s="203">
        <v>0</v>
      </c>
      <c r="FH52" s="203">
        <v>0</v>
      </c>
      <c r="FI52" s="203">
        <v>0</v>
      </c>
      <c r="FJ52" s="203">
        <v>0</v>
      </c>
      <c r="FK52" s="203">
        <v>0</v>
      </c>
      <c r="FL52" s="203">
        <v>0</v>
      </c>
      <c r="FM52" s="203">
        <v>0</v>
      </c>
      <c r="FN52" s="203">
        <v>0</v>
      </c>
      <c r="FO52" s="203">
        <v>0</v>
      </c>
      <c r="FP52" s="203">
        <v>0</v>
      </c>
      <c r="FQ52" s="203">
        <v>0</v>
      </c>
      <c r="FR52" s="203">
        <v>0</v>
      </c>
      <c r="FS52" s="203">
        <v>0</v>
      </c>
      <c r="FT52" s="203">
        <v>0</v>
      </c>
      <c r="FU52" s="203">
        <v>0</v>
      </c>
      <c r="FV52" s="203">
        <v>0</v>
      </c>
      <c r="FW52" s="203">
        <v>0</v>
      </c>
      <c r="FX52" s="203">
        <v>0</v>
      </c>
      <c r="FY52" s="203">
        <v>0</v>
      </c>
      <c r="FZ52" s="203">
        <v>0</v>
      </c>
      <c r="GA52" s="203">
        <v>0</v>
      </c>
      <c r="GB52" s="203">
        <v>0</v>
      </c>
      <c r="GC52" s="203">
        <v>0</v>
      </c>
      <c r="GD52" s="203">
        <v>0</v>
      </c>
      <c r="GE52" s="203">
        <v>0</v>
      </c>
      <c r="GF52" s="203">
        <v>0</v>
      </c>
      <c r="GG52" s="203">
        <v>0</v>
      </c>
      <c r="GH52" s="203">
        <v>0</v>
      </c>
      <c r="GI52" s="203">
        <v>0</v>
      </c>
      <c r="GJ52" s="203">
        <v>0</v>
      </c>
      <c r="GK52" s="203">
        <v>0</v>
      </c>
      <c r="GL52" s="203">
        <v>0</v>
      </c>
      <c r="GM52" s="203">
        <v>0</v>
      </c>
      <c r="GN52" s="203">
        <v>0</v>
      </c>
      <c r="GO52" s="203">
        <v>0</v>
      </c>
      <c r="GP52" s="203">
        <v>0</v>
      </c>
      <c r="GQ52" s="203">
        <v>0</v>
      </c>
      <c r="GR52" s="203">
        <v>0</v>
      </c>
      <c r="GS52" s="203">
        <v>0</v>
      </c>
      <c r="GT52" s="203">
        <v>0</v>
      </c>
      <c r="GU52" s="203">
        <v>0</v>
      </c>
      <c r="GV52" s="203">
        <v>0</v>
      </c>
      <c r="GW52" s="203"/>
      <c r="GX52" s="203"/>
      <c r="GY52" s="203"/>
      <c r="GZ52" s="203"/>
    </row>
    <row r="53" spans="1:208" ht="14.45">
      <c r="A53" s="175" t="s">
        <v>328</v>
      </c>
      <c r="B53" s="45">
        <v>1.25</v>
      </c>
      <c r="C53" s="96"/>
      <c r="D53" s="146"/>
      <c r="E53" s="96">
        <v>0</v>
      </c>
      <c r="F53" s="146"/>
      <c r="G53" s="173">
        <f t="shared" si="14"/>
        <v>139</v>
      </c>
      <c r="H53" s="203">
        <v>0</v>
      </c>
      <c r="I53" s="203">
        <v>0</v>
      </c>
      <c r="J53" s="203">
        <v>0</v>
      </c>
      <c r="K53" s="203">
        <v>0</v>
      </c>
      <c r="L53" s="203">
        <v>0</v>
      </c>
      <c r="M53" s="203">
        <v>0</v>
      </c>
      <c r="N53" s="203">
        <v>0</v>
      </c>
      <c r="O53" s="203">
        <v>0</v>
      </c>
      <c r="P53" s="203">
        <v>0</v>
      </c>
      <c r="Q53" s="203">
        <v>0</v>
      </c>
      <c r="R53" s="203">
        <v>0</v>
      </c>
      <c r="S53" s="203">
        <v>0</v>
      </c>
      <c r="T53" s="203">
        <v>0</v>
      </c>
      <c r="U53" s="203">
        <v>0</v>
      </c>
      <c r="V53" s="203">
        <v>0</v>
      </c>
      <c r="W53" s="203">
        <v>0</v>
      </c>
      <c r="X53" s="203">
        <v>0</v>
      </c>
      <c r="Y53" s="203">
        <v>0</v>
      </c>
      <c r="Z53" s="203">
        <v>0</v>
      </c>
      <c r="AA53" s="203">
        <v>0</v>
      </c>
      <c r="AB53" s="203">
        <v>0</v>
      </c>
      <c r="AC53" s="203">
        <v>0</v>
      </c>
      <c r="AD53" s="203">
        <v>0</v>
      </c>
      <c r="AE53" s="203">
        <v>0</v>
      </c>
      <c r="AF53" s="203">
        <v>0</v>
      </c>
      <c r="AG53" s="203">
        <v>0</v>
      </c>
      <c r="AH53" s="203">
        <v>0</v>
      </c>
      <c r="AI53" s="203">
        <v>0</v>
      </c>
      <c r="AJ53" s="203">
        <v>0</v>
      </c>
      <c r="AK53" s="203">
        <v>0</v>
      </c>
      <c r="AL53" s="203">
        <v>0</v>
      </c>
      <c r="AM53" s="203">
        <v>0</v>
      </c>
      <c r="AN53" s="203">
        <v>0</v>
      </c>
      <c r="AO53" s="203">
        <v>0</v>
      </c>
      <c r="AP53" s="203">
        <v>0</v>
      </c>
      <c r="AQ53" s="203">
        <v>0</v>
      </c>
      <c r="AR53" s="203">
        <v>0</v>
      </c>
      <c r="AS53" s="203">
        <v>0</v>
      </c>
      <c r="AT53" s="203">
        <v>0</v>
      </c>
      <c r="AU53" s="203">
        <v>0</v>
      </c>
      <c r="AV53" s="203">
        <v>0</v>
      </c>
      <c r="AW53" s="203">
        <v>0</v>
      </c>
      <c r="AX53" s="203">
        <v>0</v>
      </c>
      <c r="AY53" s="203">
        <v>0</v>
      </c>
      <c r="AZ53" s="203">
        <v>0</v>
      </c>
      <c r="BA53" s="203">
        <v>0</v>
      </c>
      <c r="BB53" s="203">
        <v>0</v>
      </c>
      <c r="BC53" s="203">
        <v>0</v>
      </c>
      <c r="BD53" s="203">
        <v>0</v>
      </c>
      <c r="BE53" s="203">
        <v>0</v>
      </c>
      <c r="BF53" s="203">
        <v>0</v>
      </c>
      <c r="BG53" s="203">
        <v>0</v>
      </c>
      <c r="BH53" s="203">
        <v>0</v>
      </c>
      <c r="BI53" s="203">
        <v>0</v>
      </c>
      <c r="BJ53" s="203">
        <v>0</v>
      </c>
      <c r="BK53" s="203">
        <v>0</v>
      </c>
      <c r="BL53" s="203">
        <v>0</v>
      </c>
      <c r="BM53" s="203">
        <v>0</v>
      </c>
      <c r="BN53" s="203">
        <v>0</v>
      </c>
      <c r="BO53" s="203">
        <v>0</v>
      </c>
      <c r="BP53" s="203">
        <v>0</v>
      </c>
      <c r="BQ53" s="203">
        <v>0</v>
      </c>
      <c r="BR53" s="203">
        <v>0</v>
      </c>
      <c r="BS53" s="203">
        <v>0</v>
      </c>
      <c r="BT53" s="203">
        <v>0</v>
      </c>
      <c r="BU53" s="203">
        <v>0</v>
      </c>
      <c r="BV53" s="203">
        <v>0</v>
      </c>
      <c r="BW53" s="203">
        <v>0</v>
      </c>
      <c r="BX53" s="203">
        <v>0</v>
      </c>
      <c r="BY53" s="203">
        <v>0</v>
      </c>
      <c r="BZ53" s="203">
        <v>0</v>
      </c>
      <c r="CA53" s="203">
        <v>0</v>
      </c>
      <c r="CB53" s="203">
        <v>0</v>
      </c>
      <c r="CC53" s="203">
        <v>0</v>
      </c>
      <c r="CD53" s="203">
        <v>0</v>
      </c>
      <c r="CE53" s="203">
        <v>0</v>
      </c>
      <c r="CF53" s="203">
        <v>0</v>
      </c>
      <c r="CG53" s="203">
        <v>0</v>
      </c>
      <c r="CH53" s="203">
        <v>0</v>
      </c>
      <c r="CI53" s="203">
        <v>0</v>
      </c>
      <c r="CJ53" s="203">
        <v>0</v>
      </c>
      <c r="CK53" s="203">
        <v>0</v>
      </c>
      <c r="CL53" s="203">
        <v>0</v>
      </c>
      <c r="CM53" s="203">
        <v>0</v>
      </c>
      <c r="CN53" s="203">
        <v>0</v>
      </c>
      <c r="CO53" s="203">
        <v>0</v>
      </c>
      <c r="CP53" s="203">
        <v>0</v>
      </c>
      <c r="CQ53" s="203">
        <v>0</v>
      </c>
      <c r="CR53" s="203">
        <v>0</v>
      </c>
      <c r="CS53" s="203">
        <v>0</v>
      </c>
      <c r="CT53" s="203">
        <v>0</v>
      </c>
      <c r="CU53" s="203">
        <v>0</v>
      </c>
      <c r="CV53" s="203">
        <v>0</v>
      </c>
      <c r="CW53" s="203">
        <v>0</v>
      </c>
      <c r="CX53" s="203">
        <v>0</v>
      </c>
      <c r="CY53" s="203">
        <v>0</v>
      </c>
      <c r="CZ53" s="203">
        <v>0</v>
      </c>
      <c r="DA53" s="203">
        <v>0</v>
      </c>
      <c r="DB53" s="203">
        <v>0</v>
      </c>
      <c r="DC53" s="203">
        <v>0</v>
      </c>
      <c r="DD53" s="203">
        <v>0</v>
      </c>
      <c r="DE53" s="203">
        <v>0</v>
      </c>
      <c r="DF53" s="203">
        <v>0</v>
      </c>
      <c r="DG53" s="203">
        <v>0</v>
      </c>
      <c r="DH53" s="203">
        <v>0</v>
      </c>
      <c r="DI53" s="203">
        <v>0</v>
      </c>
      <c r="DJ53" s="203">
        <v>0</v>
      </c>
      <c r="DK53" s="203">
        <v>0</v>
      </c>
      <c r="DL53" s="203">
        <v>0</v>
      </c>
      <c r="DM53" s="203">
        <v>0</v>
      </c>
      <c r="DN53" s="203">
        <v>0</v>
      </c>
      <c r="DO53" s="203">
        <v>0</v>
      </c>
      <c r="DP53" s="203">
        <v>0</v>
      </c>
      <c r="DQ53" s="203">
        <v>0</v>
      </c>
      <c r="DR53" s="203">
        <v>0</v>
      </c>
      <c r="DS53" s="203">
        <v>0</v>
      </c>
      <c r="DT53" s="203">
        <v>0</v>
      </c>
      <c r="DU53" s="203">
        <v>0</v>
      </c>
      <c r="DV53" s="203">
        <v>0</v>
      </c>
      <c r="DW53" s="203">
        <v>0</v>
      </c>
      <c r="DX53" s="203">
        <v>0</v>
      </c>
      <c r="DY53" s="203">
        <v>0</v>
      </c>
      <c r="DZ53" s="203">
        <v>0</v>
      </c>
      <c r="EA53" s="203">
        <v>0</v>
      </c>
      <c r="EB53" s="203">
        <v>0</v>
      </c>
      <c r="EC53" s="203">
        <v>0</v>
      </c>
      <c r="ED53" s="203">
        <v>0</v>
      </c>
      <c r="EE53" s="203">
        <v>0</v>
      </c>
      <c r="EF53" s="203">
        <v>0</v>
      </c>
      <c r="EG53" s="203">
        <v>0</v>
      </c>
      <c r="EH53" s="203">
        <v>0</v>
      </c>
      <c r="EI53" s="203">
        <v>25</v>
      </c>
      <c r="EJ53" s="203">
        <v>0</v>
      </c>
      <c r="EK53" s="203">
        <v>0</v>
      </c>
      <c r="EL53" s="203">
        <v>0</v>
      </c>
      <c r="EM53" s="203">
        <v>0</v>
      </c>
      <c r="EN53" s="203">
        <v>0</v>
      </c>
      <c r="EO53" s="203">
        <v>0</v>
      </c>
      <c r="EP53" s="203">
        <v>0</v>
      </c>
      <c r="EQ53" s="203">
        <v>0</v>
      </c>
      <c r="ER53" s="203">
        <v>0</v>
      </c>
      <c r="ES53" s="203">
        <v>0</v>
      </c>
      <c r="ET53" s="203">
        <v>0</v>
      </c>
      <c r="EU53" s="203">
        <v>0</v>
      </c>
      <c r="EV53" s="203">
        <v>0</v>
      </c>
      <c r="EW53" s="203">
        <v>0</v>
      </c>
      <c r="EX53" s="203">
        <v>0</v>
      </c>
      <c r="EY53" s="203">
        <v>0</v>
      </c>
      <c r="EZ53" s="203">
        <v>0</v>
      </c>
      <c r="FA53" s="203">
        <v>0</v>
      </c>
      <c r="FB53" s="203">
        <v>0</v>
      </c>
      <c r="FC53" s="203">
        <v>0</v>
      </c>
      <c r="FD53" s="203">
        <v>0</v>
      </c>
      <c r="FE53" s="203">
        <v>0</v>
      </c>
      <c r="FF53" s="203">
        <v>0</v>
      </c>
      <c r="FG53" s="203">
        <v>0</v>
      </c>
      <c r="FH53" s="203">
        <v>0</v>
      </c>
      <c r="FI53" s="203">
        <v>0</v>
      </c>
      <c r="FJ53" s="203">
        <v>0</v>
      </c>
      <c r="FK53" s="203">
        <v>0</v>
      </c>
      <c r="FL53" s="203">
        <v>0</v>
      </c>
      <c r="FM53" s="203">
        <v>0</v>
      </c>
      <c r="FN53" s="203">
        <v>0</v>
      </c>
      <c r="FO53" s="203">
        <v>0</v>
      </c>
      <c r="FP53" s="203">
        <v>0</v>
      </c>
      <c r="FQ53" s="203">
        <v>0</v>
      </c>
      <c r="FR53" s="203">
        <v>0</v>
      </c>
      <c r="FS53" s="203">
        <v>0</v>
      </c>
      <c r="FT53" s="203">
        <v>0</v>
      </c>
      <c r="FU53" s="203">
        <v>0</v>
      </c>
      <c r="FV53" s="203">
        <v>0</v>
      </c>
      <c r="FW53" s="203">
        <v>0</v>
      </c>
      <c r="FX53" s="203">
        <v>0</v>
      </c>
      <c r="FY53" s="203">
        <v>0</v>
      </c>
      <c r="FZ53" s="203">
        <v>0</v>
      </c>
      <c r="GA53" s="203">
        <v>0</v>
      </c>
      <c r="GB53" s="203">
        <v>0</v>
      </c>
      <c r="GC53" s="203">
        <v>0</v>
      </c>
      <c r="GD53" s="203">
        <v>0</v>
      </c>
      <c r="GE53" s="203">
        <v>0</v>
      </c>
      <c r="GF53" s="203">
        <v>0</v>
      </c>
      <c r="GG53" s="203">
        <v>0</v>
      </c>
      <c r="GH53" s="203">
        <v>114</v>
      </c>
      <c r="GI53" s="203">
        <v>0</v>
      </c>
      <c r="GJ53" s="203">
        <v>0</v>
      </c>
      <c r="GK53" s="203">
        <v>0</v>
      </c>
      <c r="GL53" s="203">
        <v>0</v>
      </c>
      <c r="GM53" s="203">
        <v>0</v>
      </c>
      <c r="GN53" s="203">
        <v>0</v>
      </c>
      <c r="GO53" s="203">
        <v>0</v>
      </c>
      <c r="GP53" s="203">
        <v>0</v>
      </c>
      <c r="GQ53" s="203">
        <v>0</v>
      </c>
      <c r="GR53" s="203">
        <v>0</v>
      </c>
      <c r="GS53" s="203">
        <v>0</v>
      </c>
      <c r="GT53" s="203">
        <v>0</v>
      </c>
      <c r="GU53" s="203">
        <v>0</v>
      </c>
      <c r="GV53" s="203">
        <v>0</v>
      </c>
      <c r="GW53" s="203"/>
      <c r="GX53" s="203"/>
      <c r="GY53" s="203"/>
      <c r="GZ53" s="203"/>
    </row>
    <row r="54" spans="1:208" ht="14.45">
      <c r="A54" s="175" t="s">
        <v>329</v>
      </c>
      <c r="B54" s="45">
        <v>1.25</v>
      </c>
      <c r="C54" s="96"/>
      <c r="D54" s="146"/>
      <c r="E54" s="96"/>
      <c r="F54" s="146"/>
      <c r="G54" s="173">
        <f t="shared" si="14"/>
        <v>613</v>
      </c>
      <c r="H54" s="203">
        <v>0</v>
      </c>
      <c r="I54" s="203">
        <v>55</v>
      </c>
      <c r="J54" s="203">
        <v>0</v>
      </c>
      <c r="K54" s="203">
        <v>0</v>
      </c>
      <c r="L54" s="203">
        <v>0</v>
      </c>
      <c r="M54" s="203">
        <v>29</v>
      </c>
      <c r="N54" s="203">
        <v>0</v>
      </c>
      <c r="O54" s="203">
        <v>0</v>
      </c>
      <c r="P54" s="203">
        <v>0</v>
      </c>
      <c r="Q54" s="203">
        <v>0</v>
      </c>
      <c r="R54" s="203">
        <v>0</v>
      </c>
      <c r="S54" s="203">
        <v>0</v>
      </c>
      <c r="T54" s="203">
        <v>0</v>
      </c>
      <c r="U54" s="203">
        <v>0</v>
      </c>
      <c r="V54" s="203">
        <v>0</v>
      </c>
      <c r="W54" s="203">
        <v>0</v>
      </c>
      <c r="X54" s="203">
        <v>0</v>
      </c>
      <c r="Y54" s="203">
        <v>0</v>
      </c>
      <c r="Z54" s="203">
        <v>0</v>
      </c>
      <c r="AA54" s="203">
        <v>69</v>
      </c>
      <c r="AB54" s="203">
        <v>0</v>
      </c>
      <c r="AC54" s="203">
        <v>0</v>
      </c>
      <c r="AD54" s="203">
        <v>0</v>
      </c>
      <c r="AE54" s="203">
        <v>0</v>
      </c>
      <c r="AF54" s="203">
        <v>0</v>
      </c>
      <c r="AG54" s="203">
        <v>0</v>
      </c>
      <c r="AH54" s="203">
        <v>0</v>
      </c>
      <c r="AI54" s="203">
        <v>0</v>
      </c>
      <c r="AJ54" s="203">
        <v>0</v>
      </c>
      <c r="AK54" s="203">
        <v>0</v>
      </c>
      <c r="AL54" s="203">
        <v>0</v>
      </c>
      <c r="AM54" s="203">
        <v>0</v>
      </c>
      <c r="AN54" s="203">
        <v>0</v>
      </c>
      <c r="AO54" s="203">
        <v>0</v>
      </c>
      <c r="AP54" s="203">
        <v>0</v>
      </c>
      <c r="AQ54" s="203">
        <v>0</v>
      </c>
      <c r="AR54" s="203">
        <v>0</v>
      </c>
      <c r="AS54" s="203">
        <v>0</v>
      </c>
      <c r="AT54" s="203">
        <v>0</v>
      </c>
      <c r="AU54" s="203">
        <v>0</v>
      </c>
      <c r="AV54" s="203">
        <v>0</v>
      </c>
      <c r="AW54" s="203">
        <v>0</v>
      </c>
      <c r="AX54" s="203">
        <v>0</v>
      </c>
      <c r="AY54" s="203">
        <v>0</v>
      </c>
      <c r="AZ54" s="203">
        <v>0</v>
      </c>
      <c r="BA54" s="203">
        <v>0</v>
      </c>
      <c r="BB54" s="203">
        <v>0</v>
      </c>
      <c r="BC54" s="203">
        <v>0</v>
      </c>
      <c r="BD54" s="203">
        <v>0</v>
      </c>
      <c r="BE54" s="203">
        <v>0</v>
      </c>
      <c r="BF54" s="203">
        <v>37</v>
      </c>
      <c r="BG54" s="203">
        <v>0</v>
      </c>
      <c r="BH54" s="203">
        <v>0</v>
      </c>
      <c r="BI54" s="203">
        <v>0</v>
      </c>
      <c r="BJ54" s="203">
        <v>0</v>
      </c>
      <c r="BK54" s="203">
        <v>0</v>
      </c>
      <c r="BL54" s="203">
        <v>0</v>
      </c>
      <c r="BM54" s="203">
        <v>0</v>
      </c>
      <c r="BN54" s="203">
        <v>0</v>
      </c>
      <c r="BO54" s="203">
        <v>0</v>
      </c>
      <c r="BP54" s="203">
        <v>0</v>
      </c>
      <c r="BQ54" s="203">
        <v>0</v>
      </c>
      <c r="BR54" s="203">
        <v>0</v>
      </c>
      <c r="BS54" s="203">
        <v>0</v>
      </c>
      <c r="BT54" s="203">
        <v>0</v>
      </c>
      <c r="BU54" s="203">
        <v>0</v>
      </c>
      <c r="BV54" s="203">
        <v>0</v>
      </c>
      <c r="BW54" s="203">
        <v>0</v>
      </c>
      <c r="BX54" s="203">
        <v>0</v>
      </c>
      <c r="BY54" s="203">
        <v>0</v>
      </c>
      <c r="BZ54" s="203">
        <v>0</v>
      </c>
      <c r="CA54" s="203">
        <v>0</v>
      </c>
      <c r="CB54" s="203">
        <v>121</v>
      </c>
      <c r="CC54" s="203">
        <v>0</v>
      </c>
      <c r="CD54" s="203">
        <v>0</v>
      </c>
      <c r="CE54" s="203">
        <v>0</v>
      </c>
      <c r="CF54" s="203">
        <v>0</v>
      </c>
      <c r="CG54" s="203">
        <v>0</v>
      </c>
      <c r="CH54" s="203">
        <v>0</v>
      </c>
      <c r="CI54" s="203">
        <v>0</v>
      </c>
      <c r="CJ54" s="203">
        <v>0</v>
      </c>
      <c r="CK54" s="203">
        <v>0</v>
      </c>
      <c r="CL54" s="203">
        <v>0</v>
      </c>
      <c r="CM54" s="203">
        <v>0</v>
      </c>
      <c r="CN54" s="203">
        <v>0</v>
      </c>
      <c r="CO54" s="203">
        <v>0</v>
      </c>
      <c r="CP54" s="203">
        <v>0</v>
      </c>
      <c r="CQ54" s="203">
        <v>0</v>
      </c>
      <c r="CR54" s="203">
        <v>0</v>
      </c>
      <c r="CS54" s="203">
        <v>48</v>
      </c>
      <c r="CT54" s="203">
        <v>0</v>
      </c>
      <c r="CU54" s="203">
        <v>0</v>
      </c>
      <c r="CV54" s="203">
        <v>0</v>
      </c>
      <c r="CW54" s="203">
        <v>0</v>
      </c>
      <c r="CX54" s="203">
        <v>0</v>
      </c>
      <c r="CY54" s="203">
        <v>0</v>
      </c>
      <c r="CZ54" s="203">
        <v>0</v>
      </c>
      <c r="DA54" s="203">
        <v>0</v>
      </c>
      <c r="DB54" s="203">
        <v>0</v>
      </c>
      <c r="DC54" s="203">
        <v>48</v>
      </c>
      <c r="DD54" s="203">
        <v>0</v>
      </c>
      <c r="DE54" s="203">
        <v>0</v>
      </c>
      <c r="DF54" s="203">
        <v>0</v>
      </c>
      <c r="DG54" s="203">
        <v>0</v>
      </c>
      <c r="DH54" s="203">
        <v>0</v>
      </c>
      <c r="DI54" s="203">
        <v>0</v>
      </c>
      <c r="DJ54" s="203">
        <v>0</v>
      </c>
      <c r="DK54" s="203">
        <v>0</v>
      </c>
      <c r="DL54" s="203">
        <v>0</v>
      </c>
      <c r="DM54" s="203">
        <v>0</v>
      </c>
      <c r="DN54" s="203">
        <v>0</v>
      </c>
      <c r="DO54" s="203">
        <v>0</v>
      </c>
      <c r="DP54" s="203">
        <v>0</v>
      </c>
      <c r="DQ54" s="203">
        <v>0</v>
      </c>
      <c r="DR54" s="203">
        <v>0</v>
      </c>
      <c r="DS54" s="203">
        <v>0</v>
      </c>
      <c r="DT54" s="203">
        <v>0</v>
      </c>
      <c r="DU54" s="203">
        <v>0</v>
      </c>
      <c r="DV54" s="203">
        <v>0</v>
      </c>
      <c r="DW54" s="203">
        <v>0</v>
      </c>
      <c r="DX54" s="203">
        <v>0</v>
      </c>
      <c r="DY54" s="203">
        <v>0</v>
      </c>
      <c r="DZ54" s="203">
        <v>0</v>
      </c>
      <c r="EA54" s="203">
        <v>0</v>
      </c>
      <c r="EB54" s="203">
        <v>0</v>
      </c>
      <c r="EC54" s="203">
        <v>0</v>
      </c>
      <c r="ED54" s="203">
        <v>0</v>
      </c>
      <c r="EE54" s="203">
        <v>0</v>
      </c>
      <c r="EF54" s="203">
        <v>0</v>
      </c>
      <c r="EG54" s="203">
        <v>0</v>
      </c>
      <c r="EH54" s="203">
        <v>147</v>
      </c>
      <c r="EI54" s="203">
        <v>0</v>
      </c>
      <c r="EJ54" s="203">
        <v>0</v>
      </c>
      <c r="EK54" s="203">
        <v>0</v>
      </c>
      <c r="EL54" s="203">
        <v>0</v>
      </c>
      <c r="EM54" s="203">
        <v>0</v>
      </c>
      <c r="EN54" s="203">
        <v>0</v>
      </c>
      <c r="EO54" s="203">
        <v>0</v>
      </c>
      <c r="EP54" s="203">
        <v>0</v>
      </c>
      <c r="EQ54" s="203">
        <v>0</v>
      </c>
      <c r="ER54" s="203">
        <v>0</v>
      </c>
      <c r="ES54" s="203">
        <v>0</v>
      </c>
      <c r="ET54" s="203">
        <v>0</v>
      </c>
      <c r="EU54" s="203">
        <v>0</v>
      </c>
      <c r="EV54" s="203">
        <v>0</v>
      </c>
      <c r="EW54" s="203">
        <v>0</v>
      </c>
      <c r="EX54" s="203">
        <v>0</v>
      </c>
      <c r="EY54" s="203">
        <v>0</v>
      </c>
      <c r="EZ54" s="203">
        <v>0</v>
      </c>
      <c r="FA54" s="203">
        <v>0</v>
      </c>
      <c r="FB54" s="203">
        <v>0</v>
      </c>
      <c r="FC54" s="203">
        <v>0</v>
      </c>
      <c r="FD54" s="203">
        <v>0</v>
      </c>
      <c r="FE54" s="203">
        <v>0</v>
      </c>
      <c r="FF54" s="203">
        <v>0</v>
      </c>
      <c r="FG54" s="203">
        <v>0</v>
      </c>
      <c r="FH54" s="203">
        <v>0</v>
      </c>
      <c r="FI54" s="203">
        <v>0</v>
      </c>
      <c r="FJ54" s="203">
        <v>0</v>
      </c>
      <c r="FK54" s="203">
        <v>0</v>
      </c>
      <c r="FL54" s="203">
        <v>0</v>
      </c>
      <c r="FM54" s="203">
        <v>0</v>
      </c>
      <c r="FN54" s="203">
        <v>0</v>
      </c>
      <c r="FO54" s="203">
        <v>0</v>
      </c>
      <c r="FP54" s="203">
        <v>0</v>
      </c>
      <c r="FQ54" s="203">
        <v>0</v>
      </c>
      <c r="FR54" s="203">
        <v>0</v>
      </c>
      <c r="FS54" s="203">
        <v>0</v>
      </c>
      <c r="FT54" s="203">
        <v>0</v>
      </c>
      <c r="FU54" s="203">
        <v>0</v>
      </c>
      <c r="FV54" s="203">
        <v>0</v>
      </c>
      <c r="FW54" s="203">
        <v>0</v>
      </c>
      <c r="FX54" s="203">
        <v>0</v>
      </c>
      <c r="FY54" s="203">
        <v>0</v>
      </c>
      <c r="FZ54" s="203">
        <v>59</v>
      </c>
      <c r="GA54" s="203">
        <v>0</v>
      </c>
      <c r="GB54" s="203">
        <v>0</v>
      </c>
      <c r="GC54" s="203">
        <v>0</v>
      </c>
      <c r="GD54" s="203">
        <v>0</v>
      </c>
      <c r="GE54" s="203">
        <v>0</v>
      </c>
      <c r="GF54" s="203">
        <v>0</v>
      </c>
      <c r="GG54" s="203">
        <v>0</v>
      </c>
      <c r="GH54" s="203">
        <v>0</v>
      </c>
      <c r="GI54" s="203">
        <v>0</v>
      </c>
      <c r="GJ54" s="203">
        <v>0</v>
      </c>
      <c r="GK54" s="203">
        <v>0</v>
      </c>
      <c r="GL54" s="203">
        <v>0</v>
      </c>
      <c r="GM54" s="203">
        <v>0</v>
      </c>
      <c r="GN54" s="203">
        <v>0</v>
      </c>
      <c r="GO54" s="203">
        <v>0</v>
      </c>
      <c r="GP54" s="203">
        <v>0</v>
      </c>
      <c r="GQ54" s="203">
        <v>0</v>
      </c>
      <c r="GR54" s="203">
        <v>0</v>
      </c>
      <c r="GS54" s="203">
        <v>0</v>
      </c>
      <c r="GT54" s="203">
        <v>0</v>
      </c>
      <c r="GU54" s="203">
        <v>0</v>
      </c>
      <c r="GV54" s="203">
        <v>0</v>
      </c>
      <c r="GW54" s="203"/>
      <c r="GX54" s="203"/>
      <c r="GY54" s="203"/>
      <c r="GZ54" s="203"/>
    </row>
    <row r="55" spans="1:208" ht="14.45">
      <c r="A55" s="175" t="s">
        <v>330</v>
      </c>
      <c r="B55" s="45">
        <v>1.25</v>
      </c>
      <c r="C55" s="96"/>
      <c r="D55" s="146"/>
      <c r="E55" s="96"/>
      <c r="F55" s="146"/>
      <c r="G55" s="173">
        <f t="shared" si="14"/>
        <v>0</v>
      </c>
      <c r="H55" s="203">
        <v>0</v>
      </c>
      <c r="I55" s="203">
        <v>0</v>
      </c>
      <c r="J55" s="203">
        <v>0</v>
      </c>
      <c r="K55" s="203">
        <v>0</v>
      </c>
      <c r="L55" s="203">
        <v>0</v>
      </c>
      <c r="M55" s="203">
        <v>0</v>
      </c>
      <c r="N55" s="203">
        <v>0</v>
      </c>
      <c r="O55" s="203">
        <v>0</v>
      </c>
      <c r="P55" s="203">
        <v>0</v>
      </c>
      <c r="Q55" s="203">
        <v>0</v>
      </c>
      <c r="R55" s="203">
        <v>0</v>
      </c>
      <c r="S55" s="203">
        <v>0</v>
      </c>
      <c r="T55" s="203">
        <v>0</v>
      </c>
      <c r="U55" s="203">
        <v>0</v>
      </c>
      <c r="V55" s="203">
        <v>0</v>
      </c>
      <c r="W55" s="203">
        <v>0</v>
      </c>
      <c r="X55" s="203">
        <v>0</v>
      </c>
      <c r="Y55" s="203">
        <v>0</v>
      </c>
      <c r="Z55" s="203">
        <v>0</v>
      </c>
      <c r="AA55" s="203">
        <v>0</v>
      </c>
      <c r="AB55" s="203">
        <v>0</v>
      </c>
      <c r="AC55" s="203">
        <v>0</v>
      </c>
      <c r="AD55" s="203">
        <v>0</v>
      </c>
      <c r="AE55" s="203">
        <v>0</v>
      </c>
      <c r="AF55" s="203">
        <v>0</v>
      </c>
      <c r="AG55" s="203">
        <v>0</v>
      </c>
      <c r="AH55" s="203">
        <v>0</v>
      </c>
      <c r="AI55" s="203">
        <v>0</v>
      </c>
      <c r="AJ55" s="203">
        <v>0</v>
      </c>
      <c r="AK55" s="203">
        <v>0</v>
      </c>
      <c r="AL55" s="203">
        <v>0</v>
      </c>
      <c r="AM55" s="203">
        <v>0</v>
      </c>
      <c r="AN55" s="203">
        <v>0</v>
      </c>
      <c r="AO55" s="203">
        <v>0</v>
      </c>
      <c r="AP55" s="203">
        <v>0</v>
      </c>
      <c r="AQ55" s="203">
        <v>0</v>
      </c>
      <c r="AR55" s="203">
        <v>0</v>
      </c>
      <c r="AS55" s="203">
        <v>0</v>
      </c>
      <c r="AT55" s="203">
        <v>0</v>
      </c>
      <c r="AU55" s="203">
        <v>0</v>
      </c>
      <c r="AV55" s="203">
        <v>0</v>
      </c>
      <c r="AW55" s="203">
        <v>0</v>
      </c>
      <c r="AX55" s="203">
        <v>0</v>
      </c>
      <c r="AY55" s="203">
        <v>0</v>
      </c>
      <c r="AZ55" s="203">
        <v>0</v>
      </c>
      <c r="BA55" s="203">
        <v>0</v>
      </c>
      <c r="BB55" s="203">
        <v>0</v>
      </c>
      <c r="BC55" s="203">
        <v>0</v>
      </c>
      <c r="BD55" s="203">
        <v>0</v>
      </c>
      <c r="BE55" s="203">
        <v>0</v>
      </c>
      <c r="BF55" s="203">
        <v>0</v>
      </c>
      <c r="BG55" s="203">
        <v>0</v>
      </c>
      <c r="BH55" s="203">
        <v>0</v>
      </c>
      <c r="BI55" s="203">
        <v>0</v>
      </c>
      <c r="BJ55" s="203">
        <v>0</v>
      </c>
      <c r="BK55" s="203">
        <v>0</v>
      </c>
      <c r="BL55" s="203">
        <v>0</v>
      </c>
      <c r="BM55" s="203">
        <v>0</v>
      </c>
      <c r="BN55" s="203">
        <v>0</v>
      </c>
      <c r="BO55" s="203">
        <v>0</v>
      </c>
      <c r="BP55" s="203">
        <v>0</v>
      </c>
      <c r="BQ55" s="203">
        <v>0</v>
      </c>
      <c r="BR55" s="203">
        <v>0</v>
      </c>
      <c r="BS55" s="203">
        <v>0</v>
      </c>
      <c r="BT55" s="203">
        <v>0</v>
      </c>
      <c r="BU55" s="203">
        <v>0</v>
      </c>
      <c r="BV55" s="203">
        <v>0</v>
      </c>
      <c r="BW55" s="203">
        <v>0</v>
      </c>
      <c r="BX55" s="203">
        <v>0</v>
      </c>
      <c r="BY55" s="203">
        <v>0</v>
      </c>
      <c r="BZ55" s="203">
        <v>0</v>
      </c>
      <c r="CA55" s="203">
        <v>0</v>
      </c>
      <c r="CB55" s="203">
        <v>0</v>
      </c>
      <c r="CC55" s="203">
        <v>0</v>
      </c>
      <c r="CD55" s="203">
        <v>0</v>
      </c>
      <c r="CE55" s="203">
        <v>0</v>
      </c>
      <c r="CF55" s="203">
        <v>0</v>
      </c>
      <c r="CG55" s="203">
        <v>0</v>
      </c>
      <c r="CH55" s="203">
        <v>0</v>
      </c>
      <c r="CI55" s="203">
        <v>0</v>
      </c>
      <c r="CJ55" s="203">
        <v>0</v>
      </c>
      <c r="CK55" s="203">
        <v>0</v>
      </c>
      <c r="CL55" s="203">
        <v>0</v>
      </c>
      <c r="CM55" s="203">
        <v>0</v>
      </c>
      <c r="CN55" s="203">
        <v>0</v>
      </c>
      <c r="CO55" s="203">
        <v>0</v>
      </c>
      <c r="CP55" s="203">
        <v>0</v>
      </c>
      <c r="CQ55" s="203">
        <v>0</v>
      </c>
      <c r="CR55" s="203">
        <v>0</v>
      </c>
      <c r="CS55" s="203">
        <v>0</v>
      </c>
      <c r="CT55" s="203">
        <v>0</v>
      </c>
      <c r="CU55" s="203">
        <v>0</v>
      </c>
      <c r="CV55" s="203">
        <v>0</v>
      </c>
      <c r="CW55" s="203">
        <v>0</v>
      </c>
      <c r="CX55" s="203">
        <v>0</v>
      </c>
      <c r="CY55" s="203">
        <v>0</v>
      </c>
      <c r="CZ55" s="203">
        <v>0</v>
      </c>
      <c r="DA55" s="203">
        <v>0</v>
      </c>
      <c r="DB55" s="203">
        <v>0</v>
      </c>
      <c r="DC55" s="203">
        <v>0</v>
      </c>
      <c r="DD55" s="203">
        <v>0</v>
      </c>
      <c r="DE55" s="203">
        <v>0</v>
      </c>
      <c r="DF55" s="203">
        <v>0</v>
      </c>
      <c r="DG55" s="203">
        <v>0</v>
      </c>
      <c r="DH55" s="203">
        <v>0</v>
      </c>
      <c r="DI55" s="203">
        <v>0</v>
      </c>
      <c r="DJ55" s="203">
        <v>0</v>
      </c>
      <c r="DK55" s="203">
        <v>0</v>
      </c>
      <c r="DL55" s="203">
        <v>0</v>
      </c>
      <c r="DM55" s="203">
        <v>0</v>
      </c>
      <c r="DN55" s="203">
        <v>0</v>
      </c>
      <c r="DO55" s="203">
        <v>0</v>
      </c>
      <c r="DP55" s="203">
        <v>0</v>
      </c>
      <c r="DQ55" s="203">
        <v>0</v>
      </c>
      <c r="DR55" s="203">
        <v>0</v>
      </c>
      <c r="DS55" s="203">
        <v>0</v>
      </c>
      <c r="DT55" s="203">
        <v>0</v>
      </c>
      <c r="DU55" s="203">
        <v>0</v>
      </c>
      <c r="DV55" s="203">
        <v>0</v>
      </c>
      <c r="DW55" s="203">
        <v>0</v>
      </c>
      <c r="DX55" s="203">
        <v>0</v>
      </c>
      <c r="DY55" s="203">
        <v>0</v>
      </c>
      <c r="DZ55" s="203">
        <v>0</v>
      </c>
      <c r="EA55" s="203">
        <v>0</v>
      </c>
      <c r="EB55" s="203">
        <v>0</v>
      </c>
      <c r="EC55" s="203">
        <v>0</v>
      </c>
      <c r="ED55" s="203">
        <v>0</v>
      </c>
      <c r="EE55" s="203">
        <v>0</v>
      </c>
      <c r="EF55" s="203">
        <v>0</v>
      </c>
      <c r="EG55" s="203">
        <v>0</v>
      </c>
      <c r="EH55" s="203">
        <v>0</v>
      </c>
      <c r="EI55" s="203">
        <v>0</v>
      </c>
      <c r="EJ55" s="203">
        <v>0</v>
      </c>
      <c r="EK55" s="203">
        <v>0</v>
      </c>
      <c r="EL55" s="203">
        <v>0</v>
      </c>
      <c r="EM55" s="203">
        <v>0</v>
      </c>
      <c r="EN55" s="203">
        <v>0</v>
      </c>
      <c r="EO55" s="203">
        <v>0</v>
      </c>
      <c r="EP55" s="203">
        <v>0</v>
      </c>
      <c r="EQ55" s="203">
        <v>0</v>
      </c>
      <c r="ER55" s="203">
        <v>0</v>
      </c>
      <c r="ES55" s="203">
        <v>0</v>
      </c>
      <c r="ET55" s="203">
        <v>0</v>
      </c>
      <c r="EU55" s="203">
        <v>0</v>
      </c>
      <c r="EV55" s="203">
        <v>0</v>
      </c>
      <c r="EW55" s="203">
        <v>0</v>
      </c>
      <c r="EX55" s="203">
        <v>0</v>
      </c>
      <c r="EY55" s="203">
        <v>0</v>
      </c>
      <c r="EZ55" s="203">
        <v>0</v>
      </c>
      <c r="FA55" s="203">
        <v>0</v>
      </c>
      <c r="FB55" s="203">
        <v>0</v>
      </c>
      <c r="FC55" s="203">
        <v>0</v>
      </c>
      <c r="FD55" s="203">
        <v>0</v>
      </c>
      <c r="FE55" s="203">
        <v>0</v>
      </c>
      <c r="FF55" s="203">
        <v>0</v>
      </c>
      <c r="FG55" s="203">
        <v>0</v>
      </c>
      <c r="FH55" s="203">
        <v>0</v>
      </c>
      <c r="FI55" s="203">
        <v>0</v>
      </c>
      <c r="FJ55" s="203">
        <v>0</v>
      </c>
      <c r="FK55" s="203">
        <v>0</v>
      </c>
      <c r="FL55" s="203">
        <v>0</v>
      </c>
      <c r="FM55" s="203">
        <v>0</v>
      </c>
      <c r="FN55" s="203">
        <v>0</v>
      </c>
      <c r="FO55" s="203">
        <v>0</v>
      </c>
      <c r="FP55" s="203">
        <v>0</v>
      </c>
      <c r="FQ55" s="203">
        <v>0</v>
      </c>
      <c r="FR55" s="203">
        <v>0</v>
      </c>
      <c r="FS55" s="203">
        <v>0</v>
      </c>
      <c r="FT55" s="203">
        <v>0</v>
      </c>
      <c r="FU55" s="203">
        <v>0</v>
      </c>
      <c r="FV55" s="203">
        <v>0</v>
      </c>
      <c r="FW55" s="203">
        <v>0</v>
      </c>
      <c r="FX55" s="203">
        <v>0</v>
      </c>
      <c r="FY55" s="203">
        <v>0</v>
      </c>
      <c r="FZ55" s="203">
        <v>0</v>
      </c>
      <c r="GA55" s="203">
        <v>0</v>
      </c>
      <c r="GB55" s="203">
        <v>0</v>
      </c>
      <c r="GC55" s="203">
        <v>0</v>
      </c>
      <c r="GD55" s="203">
        <v>0</v>
      </c>
      <c r="GE55" s="203">
        <v>0</v>
      </c>
      <c r="GF55" s="203">
        <v>0</v>
      </c>
      <c r="GG55" s="203">
        <v>0</v>
      </c>
      <c r="GH55" s="203">
        <v>0</v>
      </c>
      <c r="GI55" s="203">
        <v>0</v>
      </c>
      <c r="GJ55" s="203">
        <v>0</v>
      </c>
      <c r="GK55" s="203">
        <v>0</v>
      </c>
      <c r="GL55" s="203">
        <v>0</v>
      </c>
      <c r="GM55" s="203">
        <v>0</v>
      </c>
      <c r="GN55" s="203">
        <v>0</v>
      </c>
      <c r="GO55" s="203">
        <v>0</v>
      </c>
      <c r="GP55" s="203">
        <v>0</v>
      </c>
      <c r="GQ55" s="203">
        <v>0</v>
      </c>
      <c r="GR55" s="203">
        <v>0</v>
      </c>
      <c r="GS55" s="203">
        <v>0</v>
      </c>
      <c r="GT55" s="203">
        <v>0</v>
      </c>
      <c r="GU55" s="203">
        <v>0</v>
      </c>
      <c r="GV55" s="203">
        <v>0</v>
      </c>
      <c r="GW55" s="203"/>
      <c r="GX55" s="203"/>
      <c r="GY55" s="203"/>
      <c r="GZ55" s="203"/>
    </row>
    <row r="56" spans="1:208" ht="14.45">
      <c r="A56" s="175" t="s">
        <v>331</v>
      </c>
      <c r="B56" s="45">
        <v>1.25</v>
      </c>
      <c r="C56" s="96"/>
      <c r="D56" s="146"/>
      <c r="E56" s="96"/>
      <c r="F56" s="146"/>
      <c r="G56" s="173">
        <f t="shared" si="14"/>
        <v>0</v>
      </c>
      <c r="H56" s="203">
        <v>0</v>
      </c>
      <c r="I56" s="203">
        <v>0</v>
      </c>
      <c r="J56" s="203">
        <v>0</v>
      </c>
      <c r="K56" s="203">
        <v>0</v>
      </c>
      <c r="L56" s="203">
        <v>0</v>
      </c>
      <c r="M56" s="203">
        <v>0</v>
      </c>
      <c r="N56" s="203">
        <v>0</v>
      </c>
      <c r="O56" s="203">
        <v>0</v>
      </c>
      <c r="P56" s="203">
        <v>0</v>
      </c>
      <c r="Q56" s="203">
        <v>0</v>
      </c>
      <c r="R56" s="203">
        <v>0</v>
      </c>
      <c r="S56" s="203">
        <v>0</v>
      </c>
      <c r="T56" s="203">
        <v>0</v>
      </c>
      <c r="U56" s="203">
        <v>0</v>
      </c>
      <c r="V56" s="203">
        <v>0</v>
      </c>
      <c r="W56" s="203">
        <v>0</v>
      </c>
      <c r="X56" s="203">
        <v>0</v>
      </c>
      <c r="Y56" s="203">
        <v>0</v>
      </c>
      <c r="Z56" s="203">
        <v>0</v>
      </c>
      <c r="AA56" s="203">
        <v>0</v>
      </c>
      <c r="AB56" s="203">
        <v>0</v>
      </c>
      <c r="AC56" s="203">
        <v>0</v>
      </c>
      <c r="AD56" s="203">
        <v>0</v>
      </c>
      <c r="AE56" s="203">
        <v>0</v>
      </c>
      <c r="AF56" s="203">
        <v>0</v>
      </c>
      <c r="AG56" s="203">
        <v>0</v>
      </c>
      <c r="AH56" s="203">
        <v>0</v>
      </c>
      <c r="AI56" s="203">
        <v>0</v>
      </c>
      <c r="AJ56" s="203">
        <v>0</v>
      </c>
      <c r="AK56" s="203">
        <v>0</v>
      </c>
      <c r="AL56" s="203">
        <v>0</v>
      </c>
      <c r="AM56" s="203">
        <v>0</v>
      </c>
      <c r="AN56" s="203">
        <v>0</v>
      </c>
      <c r="AO56" s="203">
        <v>0</v>
      </c>
      <c r="AP56" s="203">
        <v>0</v>
      </c>
      <c r="AQ56" s="203">
        <v>0</v>
      </c>
      <c r="AR56" s="203">
        <v>0</v>
      </c>
      <c r="AS56" s="203">
        <v>0</v>
      </c>
      <c r="AT56" s="203">
        <v>0</v>
      </c>
      <c r="AU56" s="203">
        <v>0</v>
      </c>
      <c r="AV56" s="203">
        <v>0</v>
      </c>
      <c r="AW56" s="203">
        <v>0</v>
      </c>
      <c r="AX56" s="203">
        <v>0</v>
      </c>
      <c r="AY56" s="203">
        <v>0</v>
      </c>
      <c r="AZ56" s="203">
        <v>0</v>
      </c>
      <c r="BA56" s="203">
        <v>0</v>
      </c>
      <c r="BB56" s="203">
        <v>0</v>
      </c>
      <c r="BC56" s="203">
        <v>0</v>
      </c>
      <c r="BD56" s="203">
        <v>0</v>
      </c>
      <c r="BE56" s="203">
        <v>0</v>
      </c>
      <c r="BF56" s="203">
        <v>0</v>
      </c>
      <c r="BG56" s="203">
        <v>0</v>
      </c>
      <c r="BH56" s="203">
        <v>0</v>
      </c>
      <c r="BI56" s="203">
        <v>0</v>
      </c>
      <c r="BJ56" s="203">
        <v>0</v>
      </c>
      <c r="BK56" s="203">
        <v>0</v>
      </c>
      <c r="BL56" s="203">
        <v>0</v>
      </c>
      <c r="BM56" s="203">
        <v>0</v>
      </c>
      <c r="BN56" s="203">
        <v>0</v>
      </c>
      <c r="BO56" s="203">
        <v>0</v>
      </c>
      <c r="BP56" s="203">
        <v>0</v>
      </c>
      <c r="BQ56" s="203">
        <v>0</v>
      </c>
      <c r="BR56" s="203">
        <v>0</v>
      </c>
      <c r="BS56" s="203">
        <v>0</v>
      </c>
      <c r="BT56" s="203">
        <v>0</v>
      </c>
      <c r="BU56" s="203">
        <v>0</v>
      </c>
      <c r="BV56" s="203">
        <v>0</v>
      </c>
      <c r="BW56" s="203">
        <v>0</v>
      </c>
      <c r="BX56" s="203">
        <v>0</v>
      </c>
      <c r="BY56" s="203">
        <v>0</v>
      </c>
      <c r="BZ56" s="203">
        <v>0</v>
      </c>
      <c r="CA56" s="203">
        <v>0</v>
      </c>
      <c r="CB56" s="203">
        <v>0</v>
      </c>
      <c r="CC56" s="203">
        <v>0</v>
      </c>
      <c r="CD56" s="203">
        <v>0</v>
      </c>
      <c r="CE56" s="203">
        <v>0</v>
      </c>
      <c r="CF56" s="203">
        <v>0</v>
      </c>
      <c r="CG56" s="203">
        <v>0</v>
      </c>
      <c r="CH56" s="203">
        <v>0</v>
      </c>
      <c r="CI56" s="203">
        <v>0</v>
      </c>
      <c r="CJ56" s="203">
        <v>0</v>
      </c>
      <c r="CK56" s="203">
        <v>0</v>
      </c>
      <c r="CL56" s="203">
        <v>0</v>
      </c>
      <c r="CM56" s="203">
        <v>0</v>
      </c>
      <c r="CN56" s="203">
        <v>0</v>
      </c>
      <c r="CO56" s="203">
        <v>0</v>
      </c>
      <c r="CP56" s="203">
        <v>0</v>
      </c>
      <c r="CQ56" s="203">
        <v>0</v>
      </c>
      <c r="CR56" s="203">
        <v>0</v>
      </c>
      <c r="CS56" s="203">
        <v>0</v>
      </c>
      <c r="CT56" s="203">
        <v>0</v>
      </c>
      <c r="CU56" s="203">
        <v>0</v>
      </c>
      <c r="CV56" s="203">
        <v>0</v>
      </c>
      <c r="CW56" s="203">
        <v>0</v>
      </c>
      <c r="CX56" s="203">
        <v>0</v>
      </c>
      <c r="CY56" s="203">
        <v>0</v>
      </c>
      <c r="CZ56" s="203">
        <v>0</v>
      </c>
      <c r="DA56" s="203">
        <v>0</v>
      </c>
      <c r="DB56" s="203">
        <v>0</v>
      </c>
      <c r="DC56" s="203">
        <v>0</v>
      </c>
      <c r="DD56" s="203">
        <v>0</v>
      </c>
      <c r="DE56" s="203">
        <v>0</v>
      </c>
      <c r="DF56" s="203">
        <v>0</v>
      </c>
      <c r="DG56" s="203">
        <v>0</v>
      </c>
      <c r="DH56" s="203">
        <v>0</v>
      </c>
      <c r="DI56" s="203">
        <v>0</v>
      </c>
      <c r="DJ56" s="203">
        <v>0</v>
      </c>
      <c r="DK56" s="203">
        <v>0</v>
      </c>
      <c r="DL56" s="203">
        <v>0</v>
      </c>
      <c r="DM56" s="203">
        <v>0</v>
      </c>
      <c r="DN56" s="203">
        <v>0</v>
      </c>
      <c r="DO56" s="203">
        <v>0</v>
      </c>
      <c r="DP56" s="203">
        <v>0</v>
      </c>
      <c r="DQ56" s="203">
        <v>0</v>
      </c>
      <c r="DR56" s="203">
        <v>0</v>
      </c>
      <c r="DS56" s="203">
        <v>0</v>
      </c>
      <c r="DT56" s="203">
        <v>0</v>
      </c>
      <c r="DU56" s="203">
        <v>0</v>
      </c>
      <c r="DV56" s="203">
        <v>0</v>
      </c>
      <c r="DW56" s="203">
        <v>0</v>
      </c>
      <c r="DX56" s="203">
        <v>0</v>
      </c>
      <c r="DY56" s="203">
        <v>0</v>
      </c>
      <c r="DZ56" s="203">
        <v>0</v>
      </c>
      <c r="EA56" s="203">
        <v>0</v>
      </c>
      <c r="EB56" s="203">
        <v>0</v>
      </c>
      <c r="EC56" s="203">
        <v>0</v>
      </c>
      <c r="ED56" s="203">
        <v>0</v>
      </c>
      <c r="EE56" s="203">
        <v>0</v>
      </c>
      <c r="EF56" s="203">
        <v>0</v>
      </c>
      <c r="EG56" s="203">
        <v>0</v>
      </c>
      <c r="EH56" s="203">
        <v>0</v>
      </c>
      <c r="EI56" s="203">
        <v>0</v>
      </c>
      <c r="EJ56" s="203">
        <v>0</v>
      </c>
      <c r="EK56" s="203">
        <v>0</v>
      </c>
      <c r="EL56" s="203">
        <v>0</v>
      </c>
      <c r="EM56" s="203">
        <v>0</v>
      </c>
      <c r="EN56" s="203">
        <v>0</v>
      </c>
      <c r="EO56" s="203">
        <v>0</v>
      </c>
      <c r="EP56" s="203">
        <v>0</v>
      </c>
      <c r="EQ56" s="203">
        <v>0</v>
      </c>
      <c r="ER56" s="203">
        <v>0</v>
      </c>
      <c r="ES56" s="203">
        <v>0</v>
      </c>
      <c r="ET56" s="203">
        <v>0</v>
      </c>
      <c r="EU56" s="203">
        <v>0</v>
      </c>
      <c r="EV56" s="203">
        <v>0</v>
      </c>
      <c r="EW56" s="203">
        <v>0</v>
      </c>
      <c r="EX56" s="203">
        <v>0</v>
      </c>
      <c r="EY56" s="203">
        <v>0</v>
      </c>
      <c r="EZ56" s="203">
        <v>0</v>
      </c>
      <c r="FA56" s="203">
        <v>0</v>
      </c>
      <c r="FB56" s="203">
        <v>0</v>
      </c>
      <c r="FC56" s="203">
        <v>0</v>
      </c>
      <c r="FD56" s="203">
        <v>0</v>
      </c>
      <c r="FE56" s="203">
        <v>0</v>
      </c>
      <c r="FF56" s="203">
        <v>0</v>
      </c>
      <c r="FG56" s="203">
        <v>0</v>
      </c>
      <c r="FH56" s="203">
        <v>0</v>
      </c>
      <c r="FI56" s="203">
        <v>0</v>
      </c>
      <c r="FJ56" s="203">
        <v>0</v>
      </c>
      <c r="FK56" s="203">
        <v>0</v>
      </c>
      <c r="FL56" s="203">
        <v>0</v>
      </c>
      <c r="FM56" s="203">
        <v>0</v>
      </c>
      <c r="FN56" s="203">
        <v>0</v>
      </c>
      <c r="FO56" s="203">
        <v>0</v>
      </c>
      <c r="FP56" s="203">
        <v>0</v>
      </c>
      <c r="FQ56" s="203">
        <v>0</v>
      </c>
      <c r="FR56" s="203">
        <v>0</v>
      </c>
      <c r="FS56" s="203">
        <v>0</v>
      </c>
      <c r="FT56" s="203">
        <v>0</v>
      </c>
      <c r="FU56" s="203">
        <v>0</v>
      </c>
      <c r="FV56" s="203">
        <v>0</v>
      </c>
      <c r="FW56" s="203">
        <v>0</v>
      </c>
      <c r="FX56" s="203">
        <v>0</v>
      </c>
      <c r="FY56" s="203">
        <v>0</v>
      </c>
      <c r="FZ56" s="203">
        <v>0</v>
      </c>
      <c r="GA56" s="203">
        <v>0</v>
      </c>
      <c r="GB56" s="203">
        <v>0</v>
      </c>
      <c r="GC56" s="203">
        <v>0</v>
      </c>
      <c r="GD56" s="203">
        <v>0</v>
      </c>
      <c r="GE56" s="203">
        <v>0</v>
      </c>
      <c r="GF56" s="203">
        <v>0</v>
      </c>
      <c r="GG56" s="203">
        <v>0</v>
      </c>
      <c r="GH56" s="203">
        <v>0</v>
      </c>
      <c r="GI56" s="203">
        <v>0</v>
      </c>
      <c r="GJ56" s="203">
        <v>0</v>
      </c>
      <c r="GK56" s="203">
        <v>0</v>
      </c>
      <c r="GL56" s="203">
        <v>0</v>
      </c>
      <c r="GM56" s="203">
        <v>0</v>
      </c>
      <c r="GN56" s="203">
        <v>0</v>
      </c>
      <c r="GO56" s="203">
        <v>0</v>
      </c>
      <c r="GP56" s="203">
        <v>0</v>
      </c>
      <c r="GQ56" s="203">
        <v>0</v>
      </c>
      <c r="GR56" s="203">
        <v>0</v>
      </c>
      <c r="GS56" s="203">
        <v>0</v>
      </c>
      <c r="GT56" s="203">
        <v>0</v>
      </c>
      <c r="GU56" s="203">
        <v>0</v>
      </c>
      <c r="GV56" s="203">
        <v>0</v>
      </c>
      <c r="GW56" s="203"/>
      <c r="GX56" s="203"/>
      <c r="GY56" s="203"/>
      <c r="GZ56" s="203"/>
    </row>
    <row r="57" spans="1:208" ht="28.9">
      <c r="A57" s="204" t="s">
        <v>332</v>
      </c>
      <c r="B57" s="45">
        <v>0.2</v>
      </c>
      <c r="C57" s="96"/>
      <c r="D57" s="146"/>
      <c r="E57" s="96"/>
      <c r="F57" s="146"/>
      <c r="G57" s="173">
        <f t="shared" si="14"/>
        <v>106</v>
      </c>
      <c r="H57" s="205">
        <v>0</v>
      </c>
      <c r="I57" s="205">
        <v>0</v>
      </c>
      <c r="J57" s="205">
        <v>0</v>
      </c>
      <c r="K57" s="205">
        <v>0</v>
      </c>
      <c r="L57" s="205">
        <v>0</v>
      </c>
      <c r="M57" s="205">
        <v>0</v>
      </c>
      <c r="N57" s="205">
        <v>0</v>
      </c>
      <c r="O57" s="205">
        <v>0</v>
      </c>
      <c r="P57" s="205">
        <v>0</v>
      </c>
      <c r="Q57" s="205">
        <v>0</v>
      </c>
      <c r="R57" s="205">
        <v>0</v>
      </c>
      <c r="S57" s="205">
        <v>0</v>
      </c>
      <c r="T57" s="205">
        <v>0</v>
      </c>
      <c r="U57" s="205">
        <v>0</v>
      </c>
      <c r="V57" s="205">
        <v>0</v>
      </c>
      <c r="W57" s="205">
        <v>0</v>
      </c>
      <c r="X57" s="205">
        <v>0</v>
      </c>
      <c r="Y57" s="205">
        <v>0</v>
      </c>
      <c r="Z57" s="205">
        <v>0</v>
      </c>
      <c r="AA57" s="205">
        <v>0</v>
      </c>
      <c r="AB57" s="205">
        <v>0</v>
      </c>
      <c r="AC57" s="205">
        <v>0</v>
      </c>
      <c r="AD57" s="205">
        <v>0</v>
      </c>
      <c r="AE57" s="205">
        <v>0</v>
      </c>
      <c r="AF57" s="205">
        <v>0</v>
      </c>
      <c r="AG57" s="205">
        <v>0</v>
      </c>
      <c r="AH57" s="205">
        <v>0</v>
      </c>
      <c r="AI57" s="205">
        <v>0</v>
      </c>
      <c r="AJ57" s="205">
        <v>0</v>
      </c>
      <c r="AK57" s="205">
        <v>0</v>
      </c>
      <c r="AL57" s="205">
        <v>0</v>
      </c>
      <c r="AM57" s="205">
        <v>0</v>
      </c>
      <c r="AN57" s="205">
        <v>0</v>
      </c>
      <c r="AO57" s="205">
        <v>0</v>
      </c>
      <c r="AP57" s="205">
        <v>0</v>
      </c>
      <c r="AQ57" s="205">
        <v>0</v>
      </c>
      <c r="AR57" s="205">
        <v>0</v>
      </c>
      <c r="AS57" s="205">
        <v>0</v>
      </c>
      <c r="AT57" s="205">
        <v>0</v>
      </c>
      <c r="AU57" s="205">
        <v>0</v>
      </c>
      <c r="AV57" s="205">
        <v>0</v>
      </c>
      <c r="AW57" s="205">
        <v>0</v>
      </c>
      <c r="AX57" s="205">
        <v>0</v>
      </c>
      <c r="AY57" s="205">
        <v>0</v>
      </c>
      <c r="AZ57" s="205">
        <v>0</v>
      </c>
      <c r="BA57" s="205">
        <v>0</v>
      </c>
      <c r="BB57" s="205">
        <v>0</v>
      </c>
      <c r="BC57" s="205">
        <v>0</v>
      </c>
      <c r="BD57" s="205">
        <v>0</v>
      </c>
      <c r="BE57" s="205">
        <v>0</v>
      </c>
      <c r="BF57" s="205">
        <v>0</v>
      </c>
      <c r="BG57" s="205">
        <v>0</v>
      </c>
      <c r="BH57" s="205">
        <v>0</v>
      </c>
      <c r="BI57" s="205">
        <v>0</v>
      </c>
      <c r="BJ57" s="205">
        <v>0</v>
      </c>
      <c r="BK57" s="205">
        <v>0</v>
      </c>
      <c r="BL57" s="205">
        <v>0</v>
      </c>
      <c r="BM57" s="205">
        <v>0</v>
      </c>
      <c r="BN57" s="205">
        <v>0</v>
      </c>
      <c r="BO57" s="205">
        <v>0</v>
      </c>
      <c r="BP57" s="205">
        <v>0</v>
      </c>
      <c r="BQ57" s="205">
        <v>0</v>
      </c>
      <c r="BR57" s="205">
        <v>0</v>
      </c>
      <c r="BS57" s="205">
        <v>0</v>
      </c>
      <c r="BT57" s="205">
        <v>0</v>
      </c>
      <c r="BU57" s="205">
        <v>0</v>
      </c>
      <c r="BV57" s="205">
        <v>0</v>
      </c>
      <c r="BW57" s="205">
        <v>0</v>
      </c>
      <c r="BX57" s="205">
        <v>0</v>
      </c>
      <c r="BY57" s="205">
        <v>0</v>
      </c>
      <c r="BZ57" s="205">
        <v>0</v>
      </c>
      <c r="CA57" s="205">
        <v>0</v>
      </c>
      <c r="CB57" s="205">
        <v>0</v>
      </c>
      <c r="CC57" s="205">
        <v>0</v>
      </c>
      <c r="CD57" s="205">
        <v>0</v>
      </c>
      <c r="CE57" s="205">
        <v>0</v>
      </c>
      <c r="CF57" s="205">
        <v>0</v>
      </c>
      <c r="CG57" s="205">
        <v>0</v>
      </c>
      <c r="CH57" s="205">
        <v>0</v>
      </c>
      <c r="CI57" s="205">
        <v>0</v>
      </c>
      <c r="CJ57" s="205">
        <v>0</v>
      </c>
      <c r="CK57" s="205">
        <v>0</v>
      </c>
      <c r="CL57" s="205">
        <v>0</v>
      </c>
      <c r="CM57" s="205">
        <v>0</v>
      </c>
      <c r="CN57" s="205">
        <v>0</v>
      </c>
      <c r="CO57" s="205">
        <v>0</v>
      </c>
      <c r="CP57" s="205">
        <v>0</v>
      </c>
      <c r="CQ57" s="205">
        <v>0</v>
      </c>
      <c r="CR57" s="205">
        <v>0</v>
      </c>
      <c r="CS57" s="205">
        <v>0</v>
      </c>
      <c r="CT57" s="205">
        <v>0</v>
      </c>
      <c r="CU57" s="205">
        <v>0</v>
      </c>
      <c r="CV57" s="205">
        <v>0</v>
      </c>
      <c r="CW57" s="205">
        <v>0</v>
      </c>
      <c r="CX57" s="205">
        <v>0</v>
      </c>
      <c r="CY57" s="205">
        <v>0</v>
      </c>
      <c r="CZ57" s="205">
        <v>0</v>
      </c>
      <c r="DA57" s="205">
        <v>0</v>
      </c>
      <c r="DB57" s="205">
        <v>0</v>
      </c>
      <c r="DC57" s="205">
        <v>14</v>
      </c>
      <c r="DD57" s="205">
        <v>0</v>
      </c>
      <c r="DE57" s="205">
        <v>0</v>
      </c>
      <c r="DF57" s="205">
        <v>0</v>
      </c>
      <c r="DG57" s="205">
        <v>0</v>
      </c>
      <c r="DH57" s="205">
        <v>0</v>
      </c>
      <c r="DI57" s="205">
        <v>25</v>
      </c>
      <c r="DJ57" s="205">
        <v>0</v>
      </c>
      <c r="DK57" s="205">
        <v>0</v>
      </c>
      <c r="DL57" s="205">
        <v>0</v>
      </c>
      <c r="DM57" s="205">
        <v>0</v>
      </c>
      <c r="DN57" s="205">
        <v>0</v>
      </c>
      <c r="DO57" s="205">
        <v>0</v>
      </c>
      <c r="DP57" s="205">
        <v>0</v>
      </c>
      <c r="DQ57" s="205">
        <v>0</v>
      </c>
      <c r="DR57" s="205">
        <v>0</v>
      </c>
      <c r="DS57" s="205">
        <v>0</v>
      </c>
      <c r="DT57" s="205">
        <v>0</v>
      </c>
      <c r="DU57" s="205">
        <v>0</v>
      </c>
      <c r="DV57" s="205">
        <v>0</v>
      </c>
      <c r="DW57" s="205">
        <v>0</v>
      </c>
      <c r="DX57" s="205">
        <v>0</v>
      </c>
      <c r="DY57" s="205">
        <v>0</v>
      </c>
      <c r="DZ57" s="205">
        <v>0</v>
      </c>
      <c r="EA57" s="205">
        <v>0</v>
      </c>
      <c r="EB57" s="205">
        <v>0</v>
      </c>
      <c r="EC57" s="205">
        <v>0</v>
      </c>
      <c r="ED57" s="205">
        <v>41</v>
      </c>
      <c r="EE57" s="205">
        <v>0</v>
      </c>
      <c r="EF57" s="205">
        <v>0</v>
      </c>
      <c r="EG57" s="205">
        <v>0</v>
      </c>
      <c r="EH57" s="205">
        <v>0</v>
      </c>
      <c r="EI57" s="205">
        <v>0</v>
      </c>
      <c r="EJ57" s="205">
        <v>0</v>
      </c>
      <c r="EK57" s="205">
        <v>0</v>
      </c>
      <c r="EL57" s="205">
        <v>0</v>
      </c>
      <c r="EM57" s="205">
        <v>0</v>
      </c>
      <c r="EN57" s="205">
        <v>0</v>
      </c>
      <c r="EO57" s="205">
        <v>0</v>
      </c>
      <c r="EP57" s="205">
        <v>0</v>
      </c>
      <c r="EQ57" s="205">
        <v>0</v>
      </c>
      <c r="ER57" s="205">
        <v>0</v>
      </c>
      <c r="ES57" s="205">
        <v>0</v>
      </c>
      <c r="ET57" s="205">
        <v>0</v>
      </c>
      <c r="EU57" s="205">
        <v>0</v>
      </c>
      <c r="EV57" s="205">
        <v>0</v>
      </c>
      <c r="EW57" s="205">
        <v>0</v>
      </c>
      <c r="EX57" s="205">
        <v>0</v>
      </c>
      <c r="EY57" s="205">
        <v>0</v>
      </c>
      <c r="EZ57" s="205">
        <v>0</v>
      </c>
      <c r="FA57" s="205">
        <v>0</v>
      </c>
      <c r="FB57" s="205">
        <v>0</v>
      </c>
      <c r="FC57" s="205">
        <v>0</v>
      </c>
      <c r="FD57" s="205">
        <v>0</v>
      </c>
      <c r="FE57" s="205">
        <v>0</v>
      </c>
      <c r="FF57" s="205">
        <v>0</v>
      </c>
      <c r="FG57" s="205">
        <v>0</v>
      </c>
      <c r="FH57" s="205">
        <v>0</v>
      </c>
      <c r="FI57" s="205">
        <v>0</v>
      </c>
      <c r="FJ57" s="205">
        <v>11</v>
      </c>
      <c r="FK57" s="205">
        <v>0</v>
      </c>
      <c r="FL57" s="205">
        <v>0</v>
      </c>
      <c r="FM57" s="205">
        <v>0</v>
      </c>
      <c r="FN57" s="205">
        <v>0</v>
      </c>
      <c r="FO57" s="205">
        <v>0</v>
      </c>
      <c r="FP57" s="205">
        <v>0</v>
      </c>
      <c r="FQ57" s="205">
        <v>0</v>
      </c>
      <c r="FR57" s="205">
        <v>0</v>
      </c>
      <c r="FS57" s="205">
        <v>0</v>
      </c>
      <c r="FT57" s="205">
        <v>0</v>
      </c>
      <c r="FU57" s="205">
        <v>0</v>
      </c>
      <c r="FV57" s="205">
        <v>0</v>
      </c>
      <c r="FW57" s="205">
        <v>0</v>
      </c>
      <c r="FX57" s="205">
        <v>0</v>
      </c>
      <c r="FY57" s="205">
        <v>0</v>
      </c>
      <c r="FZ57" s="205">
        <v>0</v>
      </c>
      <c r="GA57" s="205">
        <v>0</v>
      </c>
      <c r="GB57" s="205">
        <v>0</v>
      </c>
      <c r="GC57" s="205">
        <v>0</v>
      </c>
      <c r="GD57" s="205">
        <v>0</v>
      </c>
      <c r="GE57" s="205">
        <v>0</v>
      </c>
      <c r="GF57" s="205">
        <v>0</v>
      </c>
      <c r="GG57" s="205">
        <v>0</v>
      </c>
      <c r="GH57" s="205">
        <v>4</v>
      </c>
      <c r="GI57" s="205">
        <v>0</v>
      </c>
      <c r="GJ57" s="205">
        <v>0</v>
      </c>
      <c r="GK57" s="205">
        <v>0</v>
      </c>
      <c r="GL57" s="205">
        <v>0</v>
      </c>
      <c r="GM57" s="205">
        <v>0</v>
      </c>
      <c r="GN57" s="205">
        <v>0</v>
      </c>
      <c r="GO57" s="205">
        <v>0</v>
      </c>
      <c r="GP57" s="205">
        <v>0</v>
      </c>
      <c r="GQ57" s="205">
        <v>0</v>
      </c>
      <c r="GR57" s="205">
        <v>0</v>
      </c>
      <c r="GS57" s="205">
        <v>0</v>
      </c>
      <c r="GT57" s="205">
        <v>11</v>
      </c>
      <c r="GU57" s="205">
        <v>0</v>
      </c>
      <c r="GV57" s="205">
        <v>0</v>
      </c>
      <c r="GW57" s="205"/>
      <c r="GX57" s="205"/>
      <c r="GY57" s="205"/>
      <c r="GZ57" s="205"/>
    </row>
    <row r="58" spans="1:208" ht="14.45">
      <c r="A58" s="204" t="s">
        <v>333</v>
      </c>
      <c r="B58" s="45">
        <v>0.5</v>
      </c>
      <c r="C58" s="96"/>
      <c r="D58" s="146"/>
      <c r="E58" s="96"/>
      <c r="F58" s="146"/>
      <c r="G58" s="173">
        <f t="shared" si="14"/>
        <v>1222</v>
      </c>
      <c r="H58" s="205">
        <v>0</v>
      </c>
      <c r="I58" s="205">
        <v>17</v>
      </c>
      <c r="J58" s="205">
        <v>0</v>
      </c>
      <c r="K58" s="205">
        <v>0</v>
      </c>
      <c r="L58" s="205">
        <v>0</v>
      </c>
      <c r="M58" s="205">
        <v>18</v>
      </c>
      <c r="N58" s="205">
        <v>0</v>
      </c>
      <c r="O58" s="205">
        <v>0</v>
      </c>
      <c r="P58" s="205">
        <v>0</v>
      </c>
      <c r="Q58" s="205">
        <v>77</v>
      </c>
      <c r="R58" s="205">
        <v>0</v>
      </c>
      <c r="S58" s="205">
        <v>0</v>
      </c>
      <c r="T58" s="205">
        <v>2</v>
      </c>
      <c r="U58" s="205">
        <v>0</v>
      </c>
      <c r="V58" s="205">
        <v>0</v>
      </c>
      <c r="W58" s="205">
        <v>0</v>
      </c>
      <c r="X58" s="205">
        <v>0</v>
      </c>
      <c r="Y58" s="205">
        <v>0</v>
      </c>
      <c r="Z58" s="205">
        <v>0</v>
      </c>
      <c r="AA58" s="205">
        <v>20</v>
      </c>
      <c r="AB58" s="205">
        <v>0</v>
      </c>
      <c r="AC58" s="205">
        <v>6</v>
      </c>
      <c r="AD58" s="205">
        <v>0</v>
      </c>
      <c r="AE58" s="205">
        <v>0</v>
      </c>
      <c r="AF58" s="205">
        <v>0</v>
      </c>
      <c r="AG58" s="205">
        <v>0</v>
      </c>
      <c r="AH58" s="205">
        <v>0</v>
      </c>
      <c r="AI58" s="205">
        <v>0</v>
      </c>
      <c r="AJ58" s="205">
        <v>0</v>
      </c>
      <c r="AK58" s="205">
        <v>0</v>
      </c>
      <c r="AL58" s="205">
        <v>0</v>
      </c>
      <c r="AM58" s="205">
        <v>0</v>
      </c>
      <c r="AN58" s="205">
        <v>0</v>
      </c>
      <c r="AO58" s="205">
        <v>0</v>
      </c>
      <c r="AP58" s="205">
        <v>0</v>
      </c>
      <c r="AQ58" s="205">
        <v>208</v>
      </c>
      <c r="AR58" s="205">
        <v>78</v>
      </c>
      <c r="AS58" s="205">
        <v>0</v>
      </c>
      <c r="AT58" s="205">
        <v>0</v>
      </c>
      <c r="AU58" s="205">
        <v>0</v>
      </c>
      <c r="AV58" s="205">
        <v>8</v>
      </c>
      <c r="AW58" s="205">
        <v>0</v>
      </c>
      <c r="AX58" s="205">
        <v>0</v>
      </c>
      <c r="AY58" s="205">
        <v>0</v>
      </c>
      <c r="AZ58" s="205">
        <v>0</v>
      </c>
      <c r="BA58" s="205">
        <v>0</v>
      </c>
      <c r="BB58" s="205">
        <v>0</v>
      </c>
      <c r="BC58" s="205">
        <v>0</v>
      </c>
      <c r="BD58" s="205">
        <v>0</v>
      </c>
      <c r="BE58" s="205">
        <v>0</v>
      </c>
      <c r="BF58" s="205">
        <v>32</v>
      </c>
      <c r="BG58" s="205">
        <v>0</v>
      </c>
      <c r="BH58" s="205">
        <v>0</v>
      </c>
      <c r="BI58" s="205">
        <v>0</v>
      </c>
      <c r="BJ58" s="205">
        <v>124</v>
      </c>
      <c r="BK58" s="205">
        <v>0</v>
      </c>
      <c r="BL58" s="205">
        <v>0</v>
      </c>
      <c r="BM58" s="205">
        <v>9</v>
      </c>
      <c r="BN58" s="205">
        <v>0</v>
      </c>
      <c r="BO58" s="205">
        <v>0</v>
      </c>
      <c r="BP58" s="205">
        <v>0</v>
      </c>
      <c r="BQ58" s="205">
        <v>0</v>
      </c>
      <c r="BR58" s="205">
        <v>0</v>
      </c>
      <c r="BS58" s="205">
        <v>0</v>
      </c>
      <c r="BT58" s="205">
        <v>0</v>
      </c>
      <c r="BU58" s="205">
        <v>0</v>
      </c>
      <c r="BV58" s="205">
        <v>0</v>
      </c>
      <c r="BW58" s="205">
        <v>0</v>
      </c>
      <c r="BX58" s="205">
        <v>0</v>
      </c>
      <c r="BY58" s="205">
        <v>21</v>
      </c>
      <c r="BZ58" s="205">
        <v>0</v>
      </c>
      <c r="CA58" s="205">
        <v>0</v>
      </c>
      <c r="CB58" s="205">
        <v>18</v>
      </c>
      <c r="CC58" s="205">
        <v>0</v>
      </c>
      <c r="CD58" s="205">
        <v>60</v>
      </c>
      <c r="CE58" s="205">
        <v>0</v>
      </c>
      <c r="CF58" s="205">
        <v>0</v>
      </c>
      <c r="CG58" s="205">
        <v>0</v>
      </c>
      <c r="CH58" s="205">
        <v>0</v>
      </c>
      <c r="CI58" s="205">
        <v>5</v>
      </c>
      <c r="CJ58" s="205">
        <v>0</v>
      </c>
      <c r="CK58" s="205">
        <v>0</v>
      </c>
      <c r="CL58" s="205">
        <v>0</v>
      </c>
      <c r="CM58" s="205">
        <v>0</v>
      </c>
      <c r="CN58" s="205">
        <v>0</v>
      </c>
      <c r="CO58" s="205">
        <v>0</v>
      </c>
      <c r="CP58" s="205">
        <v>7</v>
      </c>
      <c r="CQ58" s="205">
        <v>0</v>
      </c>
      <c r="CR58" s="205">
        <v>0</v>
      </c>
      <c r="CS58" s="205">
        <v>28</v>
      </c>
      <c r="CT58" s="205">
        <v>0</v>
      </c>
      <c r="CU58" s="205">
        <v>0</v>
      </c>
      <c r="CV58" s="205">
        <v>0</v>
      </c>
      <c r="CW58" s="205">
        <v>0</v>
      </c>
      <c r="CX58" s="205">
        <v>0</v>
      </c>
      <c r="CY58" s="205">
        <v>84</v>
      </c>
      <c r="CZ58" s="205">
        <v>4</v>
      </c>
      <c r="DA58" s="205">
        <v>0</v>
      </c>
      <c r="DB58" s="205">
        <v>0</v>
      </c>
      <c r="DC58" s="205">
        <v>11</v>
      </c>
      <c r="DD58" s="205">
        <v>6</v>
      </c>
      <c r="DE58" s="205">
        <v>0</v>
      </c>
      <c r="DF58" s="205">
        <v>0</v>
      </c>
      <c r="DG58" s="205">
        <v>0</v>
      </c>
      <c r="DH58" s="205">
        <v>28</v>
      </c>
      <c r="DI58" s="205">
        <v>18</v>
      </c>
      <c r="DJ58" s="205">
        <v>0</v>
      </c>
      <c r="DK58" s="205">
        <v>0</v>
      </c>
      <c r="DL58" s="205">
        <v>0</v>
      </c>
      <c r="DM58" s="205">
        <v>0</v>
      </c>
      <c r="DN58" s="205">
        <v>0</v>
      </c>
      <c r="DO58" s="205">
        <v>0</v>
      </c>
      <c r="DP58" s="205">
        <v>0</v>
      </c>
      <c r="DQ58" s="205">
        <v>4</v>
      </c>
      <c r="DR58" s="205">
        <v>0</v>
      </c>
      <c r="DS58" s="205">
        <v>11</v>
      </c>
      <c r="DT58" s="205">
        <v>0</v>
      </c>
      <c r="DU58" s="205">
        <v>0</v>
      </c>
      <c r="DV58" s="205">
        <v>0</v>
      </c>
      <c r="DW58" s="205">
        <v>0</v>
      </c>
      <c r="DX58" s="205">
        <v>0</v>
      </c>
      <c r="DY58" s="205">
        <v>0</v>
      </c>
      <c r="DZ58" s="205">
        <v>0</v>
      </c>
      <c r="EA58" s="205">
        <v>0</v>
      </c>
      <c r="EB58" s="205">
        <v>0</v>
      </c>
      <c r="EC58" s="205">
        <v>0</v>
      </c>
      <c r="ED58" s="205">
        <v>118</v>
      </c>
      <c r="EE58" s="205">
        <v>0</v>
      </c>
      <c r="EF58" s="205">
        <v>0</v>
      </c>
      <c r="EG58" s="205">
        <v>0</v>
      </c>
      <c r="EH58" s="205">
        <v>46</v>
      </c>
      <c r="EI58" s="205">
        <v>2</v>
      </c>
      <c r="EJ58" s="205">
        <v>0</v>
      </c>
      <c r="EK58" s="205">
        <v>0</v>
      </c>
      <c r="EL58" s="205">
        <v>0</v>
      </c>
      <c r="EM58" s="205">
        <v>0</v>
      </c>
      <c r="EN58" s="205">
        <v>0</v>
      </c>
      <c r="EO58" s="205">
        <v>0</v>
      </c>
      <c r="EP58" s="205">
        <v>0</v>
      </c>
      <c r="EQ58" s="205">
        <v>0</v>
      </c>
      <c r="ER58" s="205">
        <v>2</v>
      </c>
      <c r="ES58" s="205">
        <v>0</v>
      </c>
      <c r="ET58" s="205">
        <v>0</v>
      </c>
      <c r="EU58" s="205">
        <v>0</v>
      </c>
      <c r="EV58" s="205">
        <v>0</v>
      </c>
      <c r="EW58" s="205">
        <v>0</v>
      </c>
      <c r="EX58" s="205">
        <v>88</v>
      </c>
      <c r="EY58" s="205">
        <v>0</v>
      </c>
      <c r="EZ58" s="205">
        <v>0</v>
      </c>
      <c r="FA58" s="205">
        <v>0</v>
      </c>
      <c r="FB58" s="205">
        <v>0</v>
      </c>
      <c r="FC58" s="205">
        <v>0</v>
      </c>
      <c r="FD58" s="205">
        <v>0</v>
      </c>
      <c r="FE58" s="205">
        <v>0</v>
      </c>
      <c r="FF58" s="205">
        <v>0</v>
      </c>
      <c r="FG58" s="205">
        <v>0</v>
      </c>
      <c r="FH58" s="205">
        <v>0</v>
      </c>
      <c r="FI58" s="205">
        <v>2</v>
      </c>
      <c r="FJ58" s="205">
        <v>8</v>
      </c>
      <c r="FK58" s="205">
        <v>0</v>
      </c>
      <c r="FL58" s="205">
        <v>0</v>
      </c>
      <c r="FM58" s="205">
        <v>0</v>
      </c>
      <c r="FN58" s="205">
        <v>0</v>
      </c>
      <c r="FO58" s="205">
        <v>0</v>
      </c>
      <c r="FP58" s="205">
        <v>0</v>
      </c>
      <c r="FQ58" s="205">
        <v>0</v>
      </c>
      <c r="FR58" s="205">
        <v>0</v>
      </c>
      <c r="FS58" s="205">
        <v>0</v>
      </c>
      <c r="FT58" s="205">
        <v>0</v>
      </c>
      <c r="FU58" s="205">
        <v>0</v>
      </c>
      <c r="FV58" s="205">
        <v>8</v>
      </c>
      <c r="FW58" s="205">
        <v>0</v>
      </c>
      <c r="FX58" s="205">
        <v>0</v>
      </c>
      <c r="FY58" s="205">
        <v>0</v>
      </c>
      <c r="FZ58" s="205">
        <v>11</v>
      </c>
      <c r="GA58" s="205">
        <v>0</v>
      </c>
      <c r="GB58" s="205">
        <v>0</v>
      </c>
      <c r="GC58" s="205">
        <v>0</v>
      </c>
      <c r="GD58" s="205">
        <v>0</v>
      </c>
      <c r="GE58" s="205">
        <v>0</v>
      </c>
      <c r="GF58" s="205">
        <v>18</v>
      </c>
      <c r="GG58" s="205">
        <v>0</v>
      </c>
      <c r="GH58" s="205">
        <v>4</v>
      </c>
      <c r="GI58" s="205">
        <v>0</v>
      </c>
      <c r="GJ58" s="205">
        <v>0</v>
      </c>
      <c r="GK58" s="205">
        <v>0</v>
      </c>
      <c r="GL58" s="205">
        <v>0</v>
      </c>
      <c r="GM58" s="205">
        <v>0</v>
      </c>
      <c r="GN58" s="205">
        <v>0</v>
      </c>
      <c r="GO58" s="205">
        <v>0</v>
      </c>
      <c r="GP58" s="205">
        <v>0</v>
      </c>
      <c r="GQ58" s="205">
        <v>0</v>
      </c>
      <c r="GR58" s="205">
        <v>9</v>
      </c>
      <c r="GS58" s="205">
        <v>0</v>
      </c>
      <c r="GT58" s="205">
        <v>2</v>
      </c>
      <c r="GU58" s="205">
        <v>0</v>
      </c>
      <c r="GV58" s="205">
        <v>0</v>
      </c>
      <c r="GW58" s="205"/>
      <c r="GX58" s="205"/>
      <c r="GY58" s="205"/>
      <c r="GZ58" s="205"/>
    </row>
    <row r="59" spans="1:208" ht="14.45">
      <c r="A59" s="237" t="s">
        <v>334</v>
      </c>
      <c r="B59" s="237"/>
      <c r="C59" s="237"/>
      <c r="D59" s="237"/>
      <c r="E59" s="20">
        <f>G24+G59</f>
        <v>17367</v>
      </c>
      <c r="F59" s="20"/>
      <c r="G59" s="90">
        <f>SUM(G28:G58)</f>
        <v>15147</v>
      </c>
      <c r="H59" s="174">
        <f>SUM(H28:H58)</f>
        <v>0</v>
      </c>
      <c r="I59" s="174">
        <f t="shared" ref="I59:BT59" si="16">SUM(I28:I58)</f>
        <v>72</v>
      </c>
      <c r="J59" s="174">
        <f t="shared" si="16"/>
        <v>0</v>
      </c>
      <c r="K59" s="174">
        <f t="shared" si="16"/>
        <v>0</v>
      </c>
      <c r="L59" s="174">
        <f t="shared" si="16"/>
        <v>0</v>
      </c>
      <c r="M59" s="174">
        <f t="shared" si="16"/>
        <v>469</v>
      </c>
      <c r="N59" s="174">
        <f t="shared" si="16"/>
        <v>0</v>
      </c>
      <c r="O59" s="174">
        <f t="shared" si="16"/>
        <v>0</v>
      </c>
      <c r="P59" s="174">
        <f t="shared" si="16"/>
        <v>0</v>
      </c>
      <c r="Q59" s="174">
        <f t="shared" si="16"/>
        <v>186</v>
      </c>
      <c r="R59" s="174">
        <f t="shared" si="16"/>
        <v>0</v>
      </c>
      <c r="S59" s="174">
        <f t="shared" si="16"/>
        <v>0</v>
      </c>
      <c r="T59" s="174">
        <f t="shared" si="16"/>
        <v>714</v>
      </c>
      <c r="U59" s="174">
        <f t="shared" si="16"/>
        <v>0</v>
      </c>
      <c r="V59" s="174">
        <f t="shared" si="16"/>
        <v>0</v>
      </c>
      <c r="W59" s="174">
        <f t="shared" si="16"/>
        <v>0</v>
      </c>
      <c r="X59" s="174">
        <f t="shared" si="16"/>
        <v>0</v>
      </c>
      <c r="Y59" s="174">
        <f t="shared" si="16"/>
        <v>0</v>
      </c>
      <c r="Z59" s="174">
        <f t="shared" si="16"/>
        <v>0</v>
      </c>
      <c r="AA59" s="174">
        <f t="shared" si="16"/>
        <v>174</v>
      </c>
      <c r="AB59" s="174">
        <f t="shared" si="16"/>
        <v>0</v>
      </c>
      <c r="AC59" s="174">
        <f t="shared" si="16"/>
        <v>1185</v>
      </c>
      <c r="AD59" s="174">
        <f t="shared" si="16"/>
        <v>0</v>
      </c>
      <c r="AE59" s="174">
        <f t="shared" si="16"/>
        <v>0</v>
      </c>
      <c r="AF59" s="174">
        <f t="shared" si="16"/>
        <v>0</v>
      </c>
      <c r="AG59" s="174">
        <f t="shared" si="16"/>
        <v>0</v>
      </c>
      <c r="AH59" s="174">
        <f t="shared" si="16"/>
        <v>0</v>
      </c>
      <c r="AI59" s="174">
        <f t="shared" si="16"/>
        <v>0</v>
      </c>
      <c r="AJ59" s="174">
        <f t="shared" si="16"/>
        <v>0</v>
      </c>
      <c r="AK59" s="174">
        <f t="shared" si="16"/>
        <v>0</v>
      </c>
      <c r="AL59" s="174">
        <f t="shared" si="16"/>
        <v>0</v>
      </c>
      <c r="AM59" s="174">
        <f t="shared" si="16"/>
        <v>0</v>
      </c>
      <c r="AN59" s="174">
        <f t="shared" si="16"/>
        <v>0</v>
      </c>
      <c r="AO59" s="174">
        <f t="shared" si="16"/>
        <v>0</v>
      </c>
      <c r="AP59" s="174">
        <f t="shared" si="16"/>
        <v>155</v>
      </c>
      <c r="AQ59" s="174">
        <f t="shared" si="16"/>
        <v>441</v>
      </c>
      <c r="AR59" s="174">
        <f t="shared" si="16"/>
        <v>120</v>
      </c>
      <c r="AS59" s="174">
        <f t="shared" si="16"/>
        <v>0</v>
      </c>
      <c r="AT59" s="174">
        <f t="shared" si="16"/>
        <v>0</v>
      </c>
      <c r="AU59" s="174">
        <f t="shared" si="16"/>
        <v>0</v>
      </c>
      <c r="AV59" s="174">
        <f t="shared" si="16"/>
        <v>131</v>
      </c>
      <c r="AW59" s="174">
        <f t="shared" si="16"/>
        <v>0</v>
      </c>
      <c r="AX59" s="174">
        <f t="shared" si="16"/>
        <v>0</v>
      </c>
      <c r="AY59" s="174">
        <f t="shared" si="16"/>
        <v>0</v>
      </c>
      <c r="AZ59" s="174">
        <f t="shared" si="16"/>
        <v>0</v>
      </c>
      <c r="BA59" s="174">
        <f t="shared" si="16"/>
        <v>0</v>
      </c>
      <c r="BB59" s="174">
        <f t="shared" si="16"/>
        <v>0</v>
      </c>
      <c r="BC59" s="174">
        <f t="shared" si="16"/>
        <v>0</v>
      </c>
      <c r="BD59" s="174">
        <f t="shared" si="16"/>
        <v>0</v>
      </c>
      <c r="BE59" s="174">
        <f t="shared" si="16"/>
        <v>0</v>
      </c>
      <c r="BF59" s="174">
        <f t="shared" si="16"/>
        <v>250</v>
      </c>
      <c r="BG59" s="174">
        <f t="shared" si="16"/>
        <v>0</v>
      </c>
      <c r="BH59" s="174">
        <f t="shared" si="16"/>
        <v>0</v>
      </c>
      <c r="BI59" s="174">
        <f t="shared" si="16"/>
        <v>0</v>
      </c>
      <c r="BJ59" s="174">
        <f t="shared" si="16"/>
        <v>207</v>
      </c>
      <c r="BK59" s="174">
        <f t="shared" si="16"/>
        <v>0</v>
      </c>
      <c r="BL59" s="174">
        <f t="shared" si="16"/>
        <v>0</v>
      </c>
      <c r="BM59" s="174">
        <f t="shared" si="16"/>
        <v>66</v>
      </c>
      <c r="BN59" s="174">
        <f t="shared" si="16"/>
        <v>0</v>
      </c>
      <c r="BO59" s="174">
        <f t="shared" si="16"/>
        <v>0</v>
      </c>
      <c r="BP59" s="174">
        <f t="shared" si="16"/>
        <v>0</v>
      </c>
      <c r="BQ59" s="174">
        <f t="shared" si="16"/>
        <v>0</v>
      </c>
      <c r="BR59" s="174">
        <f t="shared" si="16"/>
        <v>0</v>
      </c>
      <c r="BS59" s="174">
        <f t="shared" si="16"/>
        <v>0</v>
      </c>
      <c r="BT59" s="174">
        <f t="shared" si="16"/>
        <v>0</v>
      </c>
      <c r="BU59" s="174">
        <f t="shared" ref="BU59:EF59" si="17">SUM(BU28:BU58)</f>
        <v>0</v>
      </c>
      <c r="BV59" s="174">
        <f t="shared" si="17"/>
        <v>0</v>
      </c>
      <c r="BW59" s="174">
        <f t="shared" si="17"/>
        <v>0</v>
      </c>
      <c r="BX59" s="174">
        <f t="shared" si="17"/>
        <v>0</v>
      </c>
      <c r="BY59" s="174">
        <f t="shared" si="17"/>
        <v>150</v>
      </c>
      <c r="BZ59" s="174">
        <f t="shared" si="17"/>
        <v>0</v>
      </c>
      <c r="CA59" s="174">
        <f t="shared" si="17"/>
        <v>0</v>
      </c>
      <c r="CB59" s="174">
        <f t="shared" si="17"/>
        <v>411</v>
      </c>
      <c r="CC59" s="174">
        <f t="shared" si="17"/>
        <v>0</v>
      </c>
      <c r="CD59" s="174">
        <f t="shared" si="17"/>
        <v>1244</v>
      </c>
      <c r="CE59" s="174">
        <f t="shared" si="17"/>
        <v>0</v>
      </c>
      <c r="CF59" s="174">
        <f t="shared" si="17"/>
        <v>0</v>
      </c>
      <c r="CG59" s="174">
        <f t="shared" si="17"/>
        <v>0</v>
      </c>
      <c r="CH59" s="174">
        <f t="shared" si="17"/>
        <v>0</v>
      </c>
      <c r="CI59" s="174">
        <f t="shared" si="17"/>
        <v>250</v>
      </c>
      <c r="CJ59" s="174">
        <f t="shared" si="17"/>
        <v>0</v>
      </c>
      <c r="CK59" s="174">
        <f t="shared" si="17"/>
        <v>0</v>
      </c>
      <c r="CL59" s="174">
        <f t="shared" si="17"/>
        <v>0</v>
      </c>
      <c r="CM59" s="174">
        <f t="shared" si="17"/>
        <v>0</v>
      </c>
      <c r="CN59" s="174">
        <f t="shared" si="17"/>
        <v>0</v>
      </c>
      <c r="CO59" s="174">
        <f t="shared" si="17"/>
        <v>0</v>
      </c>
      <c r="CP59" s="174">
        <f t="shared" si="17"/>
        <v>800</v>
      </c>
      <c r="CQ59" s="174">
        <f t="shared" si="17"/>
        <v>0</v>
      </c>
      <c r="CR59" s="174">
        <f t="shared" si="17"/>
        <v>0</v>
      </c>
      <c r="CS59" s="174">
        <f t="shared" si="17"/>
        <v>115</v>
      </c>
      <c r="CT59" s="174">
        <f t="shared" si="17"/>
        <v>0</v>
      </c>
      <c r="CU59" s="174">
        <f t="shared" si="17"/>
        <v>0</v>
      </c>
      <c r="CV59" s="174">
        <f t="shared" si="17"/>
        <v>0</v>
      </c>
      <c r="CW59" s="174">
        <f t="shared" si="17"/>
        <v>0</v>
      </c>
      <c r="CX59" s="174">
        <f t="shared" si="17"/>
        <v>0</v>
      </c>
      <c r="CY59" s="174">
        <f t="shared" si="17"/>
        <v>1152</v>
      </c>
      <c r="CZ59" s="174">
        <f t="shared" si="17"/>
        <v>10</v>
      </c>
      <c r="DA59" s="174">
        <f t="shared" si="17"/>
        <v>0</v>
      </c>
      <c r="DB59" s="174">
        <f t="shared" si="17"/>
        <v>0</v>
      </c>
      <c r="DC59" s="174">
        <f t="shared" si="17"/>
        <v>1328</v>
      </c>
      <c r="DD59" s="174">
        <f t="shared" si="17"/>
        <v>170</v>
      </c>
      <c r="DE59" s="174">
        <f t="shared" si="17"/>
        <v>0</v>
      </c>
      <c r="DF59" s="174">
        <f t="shared" si="17"/>
        <v>0</v>
      </c>
      <c r="DG59" s="174">
        <f t="shared" si="17"/>
        <v>0</v>
      </c>
      <c r="DH59" s="174">
        <f t="shared" si="17"/>
        <v>100</v>
      </c>
      <c r="DI59" s="174">
        <f t="shared" si="17"/>
        <v>720</v>
      </c>
      <c r="DJ59" s="174">
        <f t="shared" si="17"/>
        <v>0</v>
      </c>
      <c r="DK59" s="174">
        <f t="shared" si="17"/>
        <v>0</v>
      </c>
      <c r="DL59" s="174">
        <f t="shared" si="17"/>
        <v>0</v>
      </c>
      <c r="DM59" s="174">
        <f t="shared" si="17"/>
        <v>0</v>
      </c>
      <c r="DN59" s="174">
        <f t="shared" si="17"/>
        <v>0</v>
      </c>
      <c r="DO59" s="174">
        <f t="shared" si="17"/>
        <v>0</v>
      </c>
      <c r="DP59" s="174">
        <f t="shared" si="17"/>
        <v>0</v>
      </c>
      <c r="DQ59" s="174">
        <f t="shared" si="17"/>
        <v>21</v>
      </c>
      <c r="DR59" s="174">
        <f t="shared" si="17"/>
        <v>0</v>
      </c>
      <c r="DS59" s="174">
        <f t="shared" si="17"/>
        <v>100</v>
      </c>
      <c r="DT59" s="174">
        <f t="shared" si="17"/>
        <v>0</v>
      </c>
      <c r="DU59" s="174">
        <f t="shared" si="17"/>
        <v>0</v>
      </c>
      <c r="DV59" s="174">
        <f t="shared" si="17"/>
        <v>0</v>
      </c>
      <c r="DW59" s="174">
        <f t="shared" si="17"/>
        <v>0</v>
      </c>
      <c r="DX59" s="174">
        <f t="shared" si="17"/>
        <v>0</v>
      </c>
      <c r="DY59" s="174">
        <f t="shared" si="17"/>
        <v>0</v>
      </c>
      <c r="DZ59" s="174">
        <f t="shared" si="17"/>
        <v>0</v>
      </c>
      <c r="EA59" s="174">
        <f t="shared" si="17"/>
        <v>0</v>
      </c>
      <c r="EB59" s="174">
        <f t="shared" si="17"/>
        <v>0</v>
      </c>
      <c r="EC59" s="174">
        <f t="shared" si="17"/>
        <v>0</v>
      </c>
      <c r="ED59" s="174">
        <f t="shared" si="17"/>
        <v>438</v>
      </c>
      <c r="EE59" s="174">
        <f t="shared" si="17"/>
        <v>0</v>
      </c>
      <c r="EF59" s="174">
        <f t="shared" si="17"/>
        <v>0</v>
      </c>
      <c r="EG59" s="174">
        <f t="shared" ref="EG59:GR59" si="18">SUM(EG28:EG58)</f>
        <v>0</v>
      </c>
      <c r="EH59" s="174">
        <f t="shared" si="18"/>
        <v>193</v>
      </c>
      <c r="EI59" s="174">
        <f t="shared" si="18"/>
        <v>27</v>
      </c>
      <c r="EJ59" s="174">
        <f t="shared" si="18"/>
        <v>0</v>
      </c>
      <c r="EK59" s="174">
        <f t="shared" si="18"/>
        <v>0</v>
      </c>
      <c r="EL59" s="174">
        <f t="shared" si="18"/>
        <v>0</v>
      </c>
      <c r="EM59" s="174">
        <f t="shared" si="18"/>
        <v>0</v>
      </c>
      <c r="EN59" s="174">
        <f t="shared" si="18"/>
        <v>0</v>
      </c>
      <c r="EO59" s="174">
        <f t="shared" si="18"/>
        <v>0</v>
      </c>
      <c r="EP59" s="174">
        <f t="shared" si="18"/>
        <v>0</v>
      </c>
      <c r="EQ59" s="174">
        <f t="shared" si="18"/>
        <v>0</v>
      </c>
      <c r="ER59" s="174">
        <f t="shared" si="18"/>
        <v>299</v>
      </c>
      <c r="ES59" s="174">
        <f t="shared" si="18"/>
        <v>0</v>
      </c>
      <c r="ET59" s="174">
        <f t="shared" si="18"/>
        <v>0</v>
      </c>
      <c r="EU59" s="174">
        <f t="shared" si="18"/>
        <v>0</v>
      </c>
      <c r="EV59" s="174">
        <f t="shared" si="18"/>
        <v>0</v>
      </c>
      <c r="EW59" s="174">
        <f t="shared" si="18"/>
        <v>0</v>
      </c>
      <c r="EX59" s="174">
        <f t="shared" si="18"/>
        <v>342</v>
      </c>
      <c r="EY59" s="174">
        <f t="shared" si="18"/>
        <v>0</v>
      </c>
      <c r="EZ59" s="174">
        <f t="shared" si="18"/>
        <v>0</v>
      </c>
      <c r="FA59" s="174">
        <f t="shared" si="18"/>
        <v>0</v>
      </c>
      <c r="FB59" s="174">
        <f t="shared" si="18"/>
        <v>0</v>
      </c>
      <c r="FC59" s="174">
        <f t="shared" si="18"/>
        <v>0</v>
      </c>
      <c r="FD59" s="174">
        <f t="shared" si="18"/>
        <v>0</v>
      </c>
      <c r="FE59" s="174">
        <f t="shared" si="18"/>
        <v>0</v>
      </c>
      <c r="FF59" s="174">
        <f t="shared" si="18"/>
        <v>0</v>
      </c>
      <c r="FG59" s="174">
        <f t="shared" si="18"/>
        <v>0</v>
      </c>
      <c r="FH59" s="174">
        <f t="shared" si="18"/>
        <v>0</v>
      </c>
      <c r="FI59" s="174">
        <f t="shared" si="18"/>
        <v>110</v>
      </c>
      <c r="FJ59" s="174">
        <f t="shared" si="18"/>
        <v>637</v>
      </c>
      <c r="FK59" s="174">
        <f t="shared" si="18"/>
        <v>0</v>
      </c>
      <c r="FL59" s="174">
        <f t="shared" si="18"/>
        <v>0</v>
      </c>
      <c r="FM59" s="174">
        <f t="shared" si="18"/>
        <v>0</v>
      </c>
      <c r="FN59" s="174">
        <f t="shared" si="18"/>
        <v>0</v>
      </c>
      <c r="FO59" s="174">
        <f t="shared" si="18"/>
        <v>0</v>
      </c>
      <c r="FP59" s="174">
        <f t="shared" si="18"/>
        <v>0</v>
      </c>
      <c r="FQ59" s="174">
        <f t="shared" si="18"/>
        <v>0</v>
      </c>
      <c r="FR59" s="174">
        <f t="shared" si="18"/>
        <v>0</v>
      </c>
      <c r="FS59" s="174">
        <f t="shared" si="18"/>
        <v>0</v>
      </c>
      <c r="FT59" s="174">
        <f t="shared" si="18"/>
        <v>0</v>
      </c>
      <c r="FU59" s="174">
        <f t="shared" si="18"/>
        <v>0</v>
      </c>
      <c r="FV59" s="174">
        <f t="shared" si="18"/>
        <v>100</v>
      </c>
      <c r="FW59" s="174">
        <f t="shared" si="18"/>
        <v>0</v>
      </c>
      <c r="FX59" s="174">
        <f t="shared" si="18"/>
        <v>0</v>
      </c>
      <c r="FY59" s="174">
        <f t="shared" si="18"/>
        <v>0</v>
      </c>
      <c r="FZ59" s="174">
        <f t="shared" si="18"/>
        <v>70</v>
      </c>
      <c r="GA59" s="174">
        <f t="shared" si="18"/>
        <v>0</v>
      </c>
      <c r="GB59" s="174">
        <f t="shared" si="18"/>
        <v>0</v>
      </c>
      <c r="GC59" s="174">
        <f t="shared" si="18"/>
        <v>0</v>
      </c>
      <c r="GD59" s="174">
        <f t="shared" si="18"/>
        <v>0</v>
      </c>
      <c r="GE59" s="174">
        <f t="shared" si="18"/>
        <v>0</v>
      </c>
      <c r="GF59" s="174">
        <f t="shared" si="18"/>
        <v>700</v>
      </c>
      <c r="GG59" s="174">
        <f t="shared" si="18"/>
        <v>0</v>
      </c>
      <c r="GH59" s="174">
        <f t="shared" si="18"/>
        <v>122</v>
      </c>
      <c r="GI59" s="174">
        <f t="shared" si="18"/>
        <v>0</v>
      </c>
      <c r="GJ59" s="174">
        <f t="shared" si="18"/>
        <v>0</v>
      </c>
      <c r="GK59" s="174">
        <f t="shared" si="18"/>
        <v>0</v>
      </c>
      <c r="GL59" s="174">
        <f t="shared" si="18"/>
        <v>0</v>
      </c>
      <c r="GM59" s="174">
        <f t="shared" si="18"/>
        <v>0</v>
      </c>
      <c r="GN59" s="174">
        <f t="shared" si="18"/>
        <v>0</v>
      </c>
      <c r="GO59" s="174">
        <f t="shared" si="18"/>
        <v>0</v>
      </c>
      <c r="GP59" s="174">
        <f t="shared" si="18"/>
        <v>0</v>
      </c>
      <c r="GQ59" s="174">
        <f t="shared" si="18"/>
        <v>0</v>
      </c>
      <c r="GR59" s="174">
        <f t="shared" si="18"/>
        <v>621</v>
      </c>
      <c r="GS59" s="174">
        <f t="shared" ref="GS59:GZ59" si="19">SUM(GS28:GS58)</f>
        <v>0</v>
      </c>
      <c r="GT59" s="174">
        <f t="shared" si="19"/>
        <v>747</v>
      </c>
      <c r="GU59" s="174">
        <f t="shared" si="19"/>
        <v>0</v>
      </c>
      <c r="GV59" s="174">
        <f t="shared" si="19"/>
        <v>0</v>
      </c>
      <c r="GW59" s="174">
        <f t="shared" si="19"/>
        <v>0</v>
      </c>
      <c r="GX59" s="174">
        <f t="shared" si="19"/>
        <v>0</v>
      </c>
      <c r="GY59" s="174">
        <f t="shared" si="19"/>
        <v>0</v>
      </c>
      <c r="GZ59" s="174">
        <f t="shared" si="19"/>
        <v>0</v>
      </c>
    </row>
    <row r="60" spans="1:208">
      <c r="A60" s="199"/>
      <c r="B60" s="199"/>
      <c r="C60" s="199"/>
      <c r="D60" s="235" t="s">
        <v>1</v>
      </c>
      <c r="E60" s="235"/>
      <c r="F60" s="235"/>
      <c r="G60" s="159">
        <f>SUM(H60:GZ60)</f>
        <v>22361.7</v>
      </c>
      <c r="H60" s="86">
        <f>SUM(H28,H31,H32,H33,H34,H37,H38,H40,H39,H41,H43,H44,H45,H46,H47,H48,H49,H50,H51,H52,H53,H54,H55,H56,H35)*1.25+H29*1.5+H36*1.5+H42*2+H30*1.75+H57*0.2+H58*0.5</f>
        <v>0</v>
      </c>
      <c r="I60" s="86">
        <f t="shared" ref="I60:BT60" si="20">SUM(I28,I31,I32,I33,I34,I37,I38,I40,I39,I41,I43,I44,I45,I46,I47,I48,I49,I50,I51,I52,I53,I54,I55,I56,I35)*1.25+I29*1.5+I36*1.5+I42*2+I30*1.75+I57*0.2+I58*0.5</f>
        <v>77.25</v>
      </c>
      <c r="J60" s="86">
        <f t="shared" si="20"/>
        <v>0</v>
      </c>
      <c r="K60" s="86">
        <f t="shared" si="20"/>
        <v>0</v>
      </c>
      <c r="L60" s="86">
        <f t="shared" si="20"/>
        <v>0</v>
      </c>
      <c r="M60" s="86">
        <f t="shared" si="20"/>
        <v>814.25</v>
      </c>
      <c r="N60" s="86">
        <f t="shared" si="20"/>
        <v>0</v>
      </c>
      <c r="O60" s="86">
        <f t="shared" si="20"/>
        <v>0</v>
      </c>
      <c r="P60" s="86">
        <f t="shared" si="20"/>
        <v>0</v>
      </c>
      <c r="Q60" s="86">
        <f t="shared" si="20"/>
        <v>238.5</v>
      </c>
      <c r="R60" s="86">
        <f t="shared" si="20"/>
        <v>0</v>
      </c>
      <c r="S60" s="86">
        <f t="shared" si="20"/>
        <v>0</v>
      </c>
      <c r="T60" s="86">
        <f t="shared" si="20"/>
        <v>1247</v>
      </c>
      <c r="U60" s="86">
        <f t="shared" si="20"/>
        <v>0</v>
      </c>
      <c r="V60" s="86">
        <f t="shared" si="20"/>
        <v>0</v>
      </c>
      <c r="W60" s="86">
        <f t="shared" si="20"/>
        <v>0</v>
      </c>
      <c r="X60" s="86">
        <f t="shared" si="20"/>
        <v>0</v>
      </c>
      <c r="Y60" s="86">
        <f t="shared" si="20"/>
        <v>0</v>
      </c>
      <c r="Z60" s="86">
        <f t="shared" si="20"/>
        <v>0</v>
      </c>
      <c r="AA60" s="86">
        <f t="shared" si="20"/>
        <v>223.75</v>
      </c>
      <c r="AB60" s="86">
        <f t="shared" si="20"/>
        <v>0</v>
      </c>
      <c r="AC60" s="86">
        <f t="shared" si="20"/>
        <v>2066.25</v>
      </c>
      <c r="AD60" s="86">
        <f t="shared" si="20"/>
        <v>0</v>
      </c>
      <c r="AE60" s="86">
        <f t="shared" si="20"/>
        <v>0</v>
      </c>
      <c r="AF60" s="86">
        <f t="shared" si="20"/>
        <v>0</v>
      </c>
      <c r="AG60" s="86">
        <f t="shared" si="20"/>
        <v>0</v>
      </c>
      <c r="AH60" s="86">
        <f t="shared" si="20"/>
        <v>0</v>
      </c>
      <c r="AI60" s="86">
        <f t="shared" si="20"/>
        <v>0</v>
      </c>
      <c r="AJ60" s="86">
        <f t="shared" si="20"/>
        <v>0</v>
      </c>
      <c r="AK60" s="86">
        <f t="shared" si="20"/>
        <v>0</v>
      </c>
      <c r="AL60" s="86">
        <f t="shared" si="20"/>
        <v>0</v>
      </c>
      <c r="AM60" s="86">
        <f t="shared" si="20"/>
        <v>0</v>
      </c>
      <c r="AN60" s="86">
        <f t="shared" si="20"/>
        <v>0</v>
      </c>
      <c r="AO60" s="86">
        <f t="shared" si="20"/>
        <v>0</v>
      </c>
      <c r="AP60" s="86">
        <f t="shared" si="20"/>
        <v>271.25</v>
      </c>
      <c r="AQ60" s="86">
        <f t="shared" si="20"/>
        <v>405.75</v>
      </c>
      <c r="AR60" s="86">
        <f t="shared" si="20"/>
        <v>119.25</v>
      </c>
      <c r="AS60" s="86">
        <f t="shared" si="20"/>
        <v>0</v>
      </c>
      <c r="AT60" s="86">
        <f t="shared" si="20"/>
        <v>0</v>
      </c>
      <c r="AU60" s="86">
        <f t="shared" si="20"/>
        <v>0</v>
      </c>
      <c r="AV60" s="86">
        <f t="shared" si="20"/>
        <v>157.75</v>
      </c>
      <c r="AW60" s="86">
        <f t="shared" si="20"/>
        <v>0</v>
      </c>
      <c r="AX60" s="86">
        <f t="shared" si="20"/>
        <v>0</v>
      </c>
      <c r="AY60" s="86">
        <f t="shared" si="20"/>
        <v>0</v>
      </c>
      <c r="AZ60" s="86">
        <f t="shared" si="20"/>
        <v>0</v>
      </c>
      <c r="BA60" s="86">
        <f t="shared" si="20"/>
        <v>0</v>
      </c>
      <c r="BB60" s="86">
        <f t="shared" si="20"/>
        <v>0</v>
      </c>
      <c r="BC60" s="86">
        <f t="shared" si="20"/>
        <v>0</v>
      </c>
      <c r="BD60" s="86">
        <f t="shared" si="20"/>
        <v>0</v>
      </c>
      <c r="BE60" s="86">
        <f t="shared" si="20"/>
        <v>0</v>
      </c>
      <c r="BF60" s="86">
        <f t="shared" si="20"/>
        <v>333.75</v>
      </c>
      <c r="BG60" s="86">
        <f t="shared" si="20"/>
        <v>0</v>
      </c>
      <c r="BH60" s="86">
        <f t="shared" si="20"/>
        <v>0</v>
      </c>
      <c r="BI60" s="86">
        <f t="shared" si="20"/>
        <v>0</v>
      </c>
      <c r="BJ60" s="86">
        <f t="shared" si="20"/>
        <v>228</v>
      </c>
      <c r="BK60" s="86">
        <f t="shared" si="20"/>
        <v>0</v>
      </c>
      <c r="BL60" s="86">
        <f t="shared" si="20"/>
        <v>0</v>
      </c>
      <c r="BM60" s="86">
        <f t="shared" si="20"/>
        <v>75.75</v>
      </c>
      <c r="BN60" s="86">
        <f t="shared" si="20"/>
        <v>0</v>
      </c>
      <c r="BO60" s="86">
        <f t="shared" si="20"/>
        <v>0</v>
      </c>
      <c r="BP60" s="86">
        <f t="shared" si="20"/>
        <v>0</v>
      </c>
      <c r="BQ60" s="86">
        <f t="shared" si="20"/>
        <v>0</v>
      </c>
      <c r="BR60" s="86">
        <f t="shared" si="20"/>
        <v>0</v>
      </c>
      <c r="BS60" s="86">
        <f t="shared" si="20"/>
        <v>0</v>
      </c>
      <c r="BT60" s="86">
        <f t="shared" si="20"/>
        <v>0</v>
      </c>
      <c r="BU60" s="86">
        <f t="shared" ref="BU60:EF60" si="21">SUM(BU28,BU31,BU32,BU33,BU34,BU37,BU38,BU40,BU39,BU41,BU43,BU44,BU45,BU46,BU47,BU48,BU49,BU50,BU51,BU52,BU53,BU54,BU55,BU56,BU35)*1.25+BU29*1.5+BU36*1.5+BU42*2+BU30*1.75+BU57*0.2+BU58*0.5</f>
        <v>0</v>
      </c>
      <c r="BV60" s="86">
        <f t="shared" si="21"/>
        <v>0</v>
      </c>
      <c r="BW60" s="86">
        <f t="shared" si="21"/>
        <v>0</v>
      </c>
      <c r="BX60" s="86">
        <f t="shared" si="21"/>
        <v>0</v>
      </c>
      <c r="BY60" s="86">
        <f t="shared" si="21"/>
        <v>204</v>
      </c>
      <c r="BZ60" s="86">
        <f t="shared" si="21"/>
        <v>0</v>
      </c>
      <c r="CA60" s="86">
        <f t="shared" si="21"/>
        <v>0</v>
      </c>
      <c r="CB60" s="86">
        <f t="shared" si="21"/>
        <v>500.25</v>
      </c>
      <c r="CC60" s="86">
        <f t="shared" si="21"/>
        <v>0</v>
      </c>
      <c r="CD60" s="86">
        <f t="shared" si="21"/>
        <v>1510</v>
      </c>
      <c r="CE60" s="86">
        <f t="shared" si="21"/>
        <v>0</v>
      </c>
      <c r="CF60" s="86">
        <f t="shared" si="21"/>
        <v>0</v>
      </c>
      <c r="CG60" s="86">
        <f t="shared" si="21"/>
        <v>0</v>
      </c>
      <c r="CH60" s="86">
        <f t="shared" si="21"/>
        <v>0</v>
      </c>
      <c r="CI60" s="86">
        <f t="shared" si="21"/>
        <v>431.25</v>
      </c>
      <c r="CJ60" s="86">
        <f t="shared" si="21"/>
        <v>0</v>
      </c>
      <c r="CK60" s="86">
        <f t="shared" si="21"/>
        <v>0</v>
      </c>
      <c r="CL60" s="86">
        <f t="shared" si="21"/>
        <v>0</v>
      </c>
      <c r="CM60" s="86">
        <f t="shared" si="21"/>
        <v>0</v>
      </c>
      <c r="CN60" s="86">
        <f t="shared" si="21"/>
        <v>0</v>
      </c>
      <c r="CO60" s="86">
        <f t="shared" si="21"/>
        <v>0</v>
      </c>
      <c r="CP60" s="86">
        <f t="shared" si="21"/>
        <v>1391.25</v>
      </c>
      <c r="CQ60" s="86">
        <f t="shared" si="21"/>
        <v>0</v>
      </c>
      <c r="CR60" s="86">
        <f t="shared" si="21"/>
        <v>0</v>
      </c>
      <c r="CS60" s="86">
        <f t="shared" si="21"/>
        <v>122.75</v>
      </c>
      <c r="CT60" s="86">
        <f t="shared" si="21"/>
        <v>0</v>
      </c>
      <c r="CU60" s="86">
        <f t="shared" si="21"/>
        <v>0</v>
      </c>
      <c r="CV60" s="86">
        <f t="shared" si="21"/>
        <v>0</v>
      </c>
      <c r="CW60" s="86">
        <f t="shared" si="21"/>
        <v>0</v>
      </c>
      <c r="CX60" s="86">
        <f t="shared" si="21"/>
        <v>0</v>
      </c>
      <c r="CY60" s="86">
        <f t="shared" si="21"/>
        <v>1377</v>
      </c>
      <c r="CZ60" s="86">
        <f t="shared" si="21"/>
        <v>9.5</v>
      </c>
      <c r="DA60" s="86">
        <f t="shared" si="21"/>
        <v>0</v>
      </c>
      <c r="DB60" s="86">
        <f t="shared" si="21"/>
        <v>0</v>
      </c>
      <c r="DC60" s="86">
        <f t="shared" si="21"/>
        <v>2161.0500000000002</v>
      </c>
      <c r="DD60" s="86">
        <f t="shared" si="21"/>
        <v>208</v>
      </c>
      <c r="DE60" s="86">
        <f t="shared" si="21"/>
        <v>0</v>
      </c>
      <c r="DF60" s="86">
        <f t="shared" si="21"/>
        <v>0</v>
      </c>
      <c r="DG60" s="86">
        <f t="shared" si="21"/>
        <v>0</v>
      </c>
      <c r="DH60" s="86">
        <f t="shared" si="21"/>
        <v>122</v>
      </c>
      <c r="DI60" s="86">
        <f t="shared" si="21"/>
        <v>1121.25</v>
      </c>
      <c r="DJ60" s="86">
        <f t="shared" si="21"/>
        <v>0</v>
      </c>
      <c r="DK60" s="86">
        <f t="shared" si="21"/>
        <v>0</v>
      </c>
      <c r="DL60" s="86">
        <f t="shared" si="21"/>
        <v>0</v>
      </c>
      <c r="DM60" s="86">
        <f t="shared" si="21"/>
        <v>0</v>
      </c>
      <c r="DN60" s="86">
        <f t="shared" si="21"/>
        <v>0</v>
      </c>
      <c r="DO60" s="86">
        <f t="shared" si="21"/>
        <v>0</v>
      </c>
      <c r="DP60" s="86">
        <f t="shared" si="21"/>
        <v>0</v>
      </c>
      <c r="DQ60" s="86">
        <f t="shared" si="21"/>
        <v>36</v>
      </c>
      <c r="DR60" s="86">
        <f t="shared" si="21"/>
        <v>0</v>
      </c>
      <c r="DS60" s="86">
        <f t="shared" si="21"/>
        <v>139</v>
      </c>
      <c r="DT60" s="86">
        <f t="shared" si="21"/>
        <v>0</v>
      </c>
      <c r="DU60" s="86">
        <f t="shared" si="21"/>
        <v>0</v>
      </c>
      <c r="DV60" s="86">
        <f t="shared" si="21"/>
        <v>0</v>
      </c>
      <c r="DW60" s="86">
        <f t="shared" si="21"/>
        <v>0</v>
      </c>
      <c r="DX60" s="86">
        <f t="shared" si="21"/>
        <v>0</v>
      </c>
      <c r="DY60" s="86">
        <f t="shared" si="21"/>
        <v>0</v>
      </c>
      <c r="DZ60" s="86">
        <f t="shared" si="21"/>
        <v>0</v>
      </c>
      <c r="EA60" s="86">
        <f t="shared" si="21"/>
        <v>0</v>
      </c>
      <c r="EB60" s="86">
        <f t="shared" si="21"/>
        <v>0</v>
      </c>
      <c r="EC60" s="86">
        <f t="shared" si="21"/>
        <v>0</v>
      </c>
      <c r="ED60" s="86">
        <f t="shared" si="21"/>
        <v>600.70000000000005</v>
      </c>
      <c r="EE60" s="86">
        <f t="shared" si="21"/>
        <v>0</v>
      </c>
      <c r="EF60" s="86">
        <f t="shared" si="21"/>
        <v>0</v>
      </c>
      <c r="EG60" s="86">
        <f t="shared" ref="EG60:GR60" si="22">SUM(EG28,EG31,EG32,EG33,EG34,EG37,EG38,EG40,EG39,EG41,EG43,EG44,EG45,EG46,EG47,EG48,EG49,EG50,EG51,EG52,EG53,EG54,EG55,EG56,EG35)*1.25+EG29*1.5+EG36*1.5+EG42*2+EG30*1.75+EG57*0.2+EG58*0.5</f>
        <v>0</v>
      </c>
      <c r="EH60" s="86">
        <f t="shared" si="22"/>
        <v>206.75</v>
      </c>
      <c r="EI60" s="86">
        <f t="shared" si="22"/>
        <v>32.25</v>
      </c>
      <c r="EJ60" s="86">
        <f t="shared" si="22"/>
        <v>0</v>
      </c>
      <c r="EK60" s="86">
        <f t="shared" si="22"/>
        <v>0</v>
      </c>
      <c r="EL60" s="86">
        <f t="shared" si="22"/>
        <v>0</v>
      </c>
      <c r="EM60" s="86">
        <f t="shared" si="22"/>
        <v>0</v>
      </c>
      <c r="EN60" s="86">
        <f t="shared" si="22"/>
        <v>0</v>
      </c>
      <c r="EO60" s="86">
        <f t="shared" si="22"/>
        <v>0</v>
      </c>
      <c r="EP60" s="86">
        <f t="shared" si="22"/>
        <v>0</v>
      </c>
      <c r="EQ60" s="86">
        <f t="shared" si="22"/>
        <v>0</v>
      </c>
      <c r="ER60" s="86">
        <f t="shared" si="22"/>
        <v>446.5</v>
      </c>
      <c r="ES60" s="86">
        <f t="shared" si="22"/>
        <v>0</v>
      </c>
      <c r="ET60" s="86">
        <f t="shared" si="22"/>
        <v>0</v>
      </c>
      <c r="EU60" s="86">
        <f t="shared" si="22"/>
        <v>0</v>
      </c>
      <c r="EV60" s="86">
        <f t="shared" si="22"/>
        <v>0</v>
      </c>
      <c r="EW60" s="86">
        <f t="shared" si="22"/>
        <v>0</v>
      </c>
      <c r="EX60" s="86">
        <f t="shared" si="22"/>
        <v>361.5</v>
      </c>
      <c r="EY60" s="86">
        <f t="shared" si="22"/>
        <v>0</v>
      </c>
      <c r="EZ60" s="86">
        <f t="shared" si="22"/>
        <v>0</v>
      </c>
      <c r="FA60" s="86">
        <f t="shared" si="22"/>
        <v>0</v>
      </c>
      <c r="FB60" s="86">
        <f t="shared" si="22"/>
        <v>0</v>
      </c>
      <c r="FC60" s="86">
        <f t="shared" si="22"/>
        <v>0</v>
      </c>
      <c r="FD60" s="86">
        <f t="shared" si="22"/>
        <v>0</v>
      </c>
      <c r="FE60" s="86">
        <f t="shared" si="22"/>
        <v>0</v>
      </c>
      <c r="FF60" s="86">
        <f t="shared" si="22"/>
        <v>0</v>
      </c>
      <c r="FG60" s="86">
        <f t="shared" si="22"/>
        <v>0</v>
      </c>
      <c r="FH60" s="86">
        <f t="shared" si="22"/>
        <v>0</v>
      </c>
      <c r="FI60" s="86">
        <f t="shared" si="22"/>
        <v>190</v>
      </c>
      <c r="FJ60" s="86">
        <f t="shared" si="22"/>
        <v>1087.7</v>
      </c>
      <c r="FK60" s="86">
        <f t="shared" si="22"/>
        <v>0</v>
      </c>
      <c r="FL60" s="86">
        <f t="shared" si="22"/>
        <v>0</v>
      </c>
      <c r="FM60" s="86">
        <f t="shared" si="22"/>
        <v>0</v>
      </c>
      <c r="FN60" s="86">
        <f t="shared" si="22"/>
        <v>0</v>
      </c>
      <c r="FO60" s="86">
        <f t="shared" si="22"/>
        <v>0</v>
      </c>
      <c r="FP60" s="86">
        <f t="shared" si="22"/>
        <v>0</v>
      </c>
      <c r="FQ60" s="86">
        <f t="shared" si="22"/>
        <v>0</v>
      </c>
      <c r="FR60" s="86">
        <f t="shared" si="22"/>
        <v>0</v>
      </c>
      <c r="FS60" s="86">
        <f t="shared" si="22"/>
        <v>0</v>
      </c>
      <c r="FT60" s="86">
        <f t="shared" si="22"/>
        <v>0</v>
      </c>
      <c r="FU60" s="86">
        <f t="shared" si="22"/>
        <v>0</v>
      </c>
      <c r="FV60" s="86">
        <f t="shared" si="22"/>
        <v>142</v>
      </c>
      <c r="FW60" s="86">
        <f t="shared" si="22"/>
        <v>0</v>
      </c>
      <c r="FX60" s="86">
        <f t="shared" si="22"/>
        <v>0</v>
      </c>
      <c r="FY60" s="86">
        <f t="shared" si="22"/>
        <v>0</v>
      </c>
      <c r="FZ60" s="86">
        <f t="shared" si="22"/>
        <v>79.25</v>
      </c>
      <c r="GA60" s="86">
        <f t="shared" si="22"/>
        <v>0</v>
      </c>
      <c r="GB60" s="86">
        <f t="shared" si="22"/>
        <v>0</v>
      </c>
      <c r="GC60" s="86">
        <f t="shared" si="22"/>
        <v>0</v>
      </c>
      <c r="GD60" s="86">
        <f t="shared" si="22"/>
        <v>0</v>
      </c>
      <c r="GE60" s="86">
        <f t="shared" si="22"/>
        <v>0</v>
      </c>
      <c r="GF60" s="86">
        <f t="shared" si="22"/>
        <v>1138</v>
      </c>
      <c r="GG60" s="86">
        <f t="shared" si="22"/>
        <v>0</v>
      </c>
      <c r="GH60" s="86">
        <f t="shared" si="22"/>
        <v>145.30000000000001</v>
      </c>
      <c r="GI60" s="86">
        <f t="shared" si="22"/>
        <v>0</v>
      </c>
      <c r="GJ60" s="86">
        <f t="shared" si="22"/>
        <v>0</v>
      </c>
      <c r="GK60" s="86">
        <f t="shared" si="22"/>
        <v>0</v>
      </c>
      <c r="GL60" s="86">
        <f t="shared" si="22"/>
        <v>0</v>
      </c>
      <c r="GM60" s="86">
        <f t="shared" si="22"/>
        <v>0</v>
      </c>
      <c r="GN60" s="86">
        <f t="shared" si="22"/>
        <v>0</v>
      </c>
      <c r="GO60" s="86">
        <f t="shared" si="22"/>
        <v>0</v>
      </c>
      <c r="GP60" s="86">
        <f t="shared" si="22"/>
        <v>0</v>
      </c>
      <c r="GQ60" s="86">
        <f t="shared" si="22"/>
        <v>0</v>
      </c>
      <c r="GR60" s="86">
        <f t="shared" si="22"/>
        <v>1052.25</v>
      </c>
      <c r="GS60" s="86">
        <f t="shared" ref="GS60:GZ60" si="23">SUM(GS28,GS31,GS32,GS33,GS34,GS37,GS38,GS40,GS39,GS41,GS43,GS44,GS45,GS46,GS47,GS48,GS49,GS50,GS51,GS52,GS53,GS54,GS55,GS56,GS35)*1.25+GS29*1.5+GS36*1.5+GS42*2+GS30*1.75+GS57*0.2+GS58*0.5</f>
        <v>0</v>
      </c>
      <c r="GT60" s="86">
        <f t="shared" si="23"/>
        <v>1287.7</v>
      </c>
      <c r="GU60" s="86">
        <f t="shared" si="23"/>
        <v>0</v>
      </c>
      <c r="GV60" s="86">
        <f t="shared" si="23"/>
        <v>0</v>
      </c>
      <c r="GW60" s="86">
        <f t="shared" si="23"/>
        <v>0</v>
      </c>
      <c r="GX60" s="86">
        <f t="shared" si="23"/>
        <v>0</v>
      </c>
      <c r="GY60" s="86">
        <f t="shared" si="23"/>
        <v>0</v>
      </c>
      <c r="GZ60" s="86">
        <f t="shared" si="23"/>
        <v>0</v>
      </c>
    </row>
    <row r="61" spans="1:208">
      <c r="D61" s="232"/>
      <c r="E61" s="233"/>
      <c r="F61" s="233"/>
      <c r="G61" s="234"/>
    </row>
    <row r="62" spans="1:208">
      <c r="A62" s="172">
        <f>G59-'[1]Processing Count'!$G$51</f>
        <v>-48396</v>
      </c>
      <c r="H62" s="112">
        <f>SUM(H25,H60)</f>
        <v>0</v>
      </c>
      <c r="I62" s="112">
        <f t="shared" ref="I62:BT62" si="24">SUM(I25,I60)</f>
        <v>77.25</v>
      </c>
      <c r="J62" s="112">
        <f t="shared" si="24"/>
        <v>0</v>
      </c>
      <c r="K62" s="112">
        <f t="shared" si="24"/>
        <v>0</v>
      </c>
      <c r="L62" s="112">
        <f t="shared" si="24"/>
        <v>0</v>
      </c>
      <c r="M62" s="112">
        <f t="shared" si="24"/>
        <v>814.25</v>
      </c>
      <c r="N62" s="112">
        <f t="shared" si="24"/>
        <v>0</v>
      </c>
      <c r="O62" s="112">
        <f t="shared" si="24"/>
        <v>0</v>
      </c>
      <c r="P62" s="112">
        <f t="shared" si="24"/>
        <v>0</v>
      </c>
      <c r="Q62" s="112">
        <f t="shared" si="24"/>
        <v>238.5</v>
      </c>
      <c r="R62" s="112">
        <f t="shared" si="24"/>
        <v>0</v>
      </c>
      <c r="S62" s="112">
        <f t="shared" si="24"/>
        <v>0</v>
      </c>
      <c r="T62" s="112">
        <f t="shared" si="24"/>
        <v>1247</v>
      </c>
      <c r="U62" s="112">
        <f t="shared" si="24"/>
        <v>0</v>
      </c>
      <c r="V62" s="112">
        <f t="shared" si="24"/>
        <v>0</v>
      </c>
      <c r="W62" s="112">
        <f t="shared" si="24"/>
        <v>115</v>
      </c>
      <c r="X62" s="112">
        <f t="shared" si="24"/>
        <v>147.5</v>
      </c>
      <c r="Y62" s="112">
        <f t="shared" si="24"/>
        <v>315</v>
      </c>
      <c r="Z62" s="112">
        <f t="shared" si="24"/>
        <v>0</v>
      </c>
      <c r="AA62" s="112">
        <f t="shared" si="24"/>
        <v>223.75</v>
      </c>
      <c r="AB62" s="112">
        <f t="shared" si="24"/>
        <v>0</v>
      </c>
      <c r="AC62" s="112">
        <f t="shared" si="24"/>
        <v>2066.25</v>
      </c>
      <c r="AD62" s="112">
        <f t="shared" si="24"/>
        <v>0</v>
      </c>
      <c r="AE62" s="112">
        <f t="shared" si="24"/>
        <v>0</v>
      </c>
      <c r="AF62" s="112">
        <f t="shared" si="24"/>
        <v>0</v>
      </c>
      <c r="AG62" s="112">
        <f t="shared" si="24"/>
        <v>0</v>
      </c>
      <c r="AH62" s="112">
        <f t="shared" si="24"/>
        <v>0</v>
      </c>
      <c r="AI62" s="112">
        <f t="shared" si="24"/>
        <v>0</v>
      </c>
      <c r="AJ62" s="112">
        <f t="shared" si="24"/>
        <v>0</v>
      </c>
      <c r="AK62" s="112">
        <f t="shared" si="24"/>
        <v>0</v>
      </c>
      <c r="AL62" s="112">
        <f t="shared" si="24"/>
        <v>0</v>
      </c>
      <c r="AM62" s="112">
        <f t="shared" si="24"/>
        <v>0</v>
      </c>
      <c r="AN62" s="112">
        <f t="shared" si="24"/>
        <v>0</v>
      </c>
      <c r="AO62" s="112">
        <f t="shared" si="24"/>
        <v>0</v>
      </c>
      <c r="AP62" s="112">
        <f t="shared" si="24"/>
        <v>271.25</v>
      </c>
      <c r="AQ62" s="112">
        <f t="shared" si="24"/>
        <v>405.75</v>
      </c>
      <c r="AR62" s="112">
        <f t="shared" si="24"/>
        <v>119.25</v>
      </c>
      <c r="AS62" s="112">
        <f t="shared" si="24"/>
        <v>0</v>
      </c>
      <c r="AT62" s="112">
        <f t="shared" si="24"/>
        <v>0</v>
      </c>
      <c r="AU62" s="112">
        <f t="shared" si="24"/>
        <v>0</v>
      </c>
      <c r="AV62" s="112">
        <f t="shared" si="24"/>
        <v>157.75</v>
      </c>
      <c r="AW62" s="112">
        <f t="shared" si="24"/>
        <v>0</v>
      </c>
      <c r="AX62" s="112">
        <f t="shared" si="24"/>
        <v>0</v>
      </c>
      <c r="AY62" s="112">
        <f t="shared" si="24"/>
        <v>0</v>
      </c>
      <c r="AZ62" s="112">
        <f t="shared" si="24"/>
        <v>0</v>
      </c>
      <c r="BA62" s="112">
        <f t="shared" si="24"/>
        <v>0</v>
      </c>
      <c r="BB62" s="112">
        <f t="shared" si="24"/>
        <v>0</v>
      </c>
      <c r="BC62" s="112">
        <f t="shared" si="24"/>
        <v>0</v>
      </c>
      <c r="BD62" s="112">
        <f t="shared" si="24"/>
        <v>0</v>
      </c>
      <c r="BE62" s="112">
        <f t="shared" si="24"/>
        <v>0</v>
      </c>
      <c r="BF62" s="112">
        <f t="shared" si="24"/>
        <v>333.75</v>
      </c>
      <c r="BG62" s="112">
        <f t="shared" si="24"/>
        <v>0</v>
      </c>
      <c r="BH62" s="112">
        <f t="shared" si="24"/>
        <v>0</v>
      </c>
      <c r="BI62" s="112">
        <f t="shared" si="24"/>
        <v>0</v>
      </c>
      <c r="BJ62" s="112">
        <f t="shared" si="24"/>
        <v>228</v>
      </c>
      <c r="BK62" s="112">
        <f t="shared" si="24"/>
        <v>0</v>
      </c>
      <c r="BL62" s="112">
        <f t="shared" si="24"/>
        <v>0</v>
      </c>
      <c r="BM62" s="112">
        <f t="shared" si="24"/>
        <v>149.75</v>
      </c>
      <c r="BN62" s="112">
        <f t="shared" si="24"/>
        <v>0</v>
      </c>
      <c r="BO62" s="112">
        <f t="shared" si="24"/>
        <v>0</v>
      </c>
      <c r="BP62" s="112">
        <f t="shared" si="24"/>
        <v>0</v>
      </c>
      <c r="BQ62" s="112">
        <f t="shared" si="24"/>
        <v>0</v>
      </c>
      <c r="BR62" s="112">
        <f t="shared" si="24"/>
        <v>0</v>
      </c>
      <c r="BS62" s="112">
        <f t="shared" si="24"/>
        <v>0</v>
      </c>
      <c r="BT62" s="112">
        <f t="shared" si="24"/>
        <v>0</v>
      </c>
      <c r="BU62" s="112">
        <f t="shared" ref="BU62:EF62" si="25">SUM(BU25,BU60)</f>
        <v>0</v>
      </c>
      <c r="BV62" s="112">
        <f t="shared" si="25"/>
        <v>0</v>
      </c>
      <c r="BW62" s="112">
        <f t="shared" si="25"/>
        <v>0</v>
      </c>
      <c r="BX62" s="112">
        <f t="shared" si="25"/>
        <v>0</v>
      </c>
      <c r="BY62" s="112">
        <f t="shared" si="25"/>
        <v>204</v>
      </c>
      <c r="BZ62" s="112">
        <f t="shared" si="25"/>
        <v>0</v>
      </c>
      <c r="CA62" s="112">
        <f t="shared" si="25"/>
        <v>0</v>
      </c>
      <c r="CB62" s="112">
        <f t="shared" si="25"/>
        <v>500.25</v>
      </c>
      <c r="CC62" s="112">
        <f t="shared" si="25"/>
        <v>0</v>
      </c>
      <c r="CD62" s="112">
        <f t="shared" si="25"/>
        <v>1536</v>
      </c>
      <c r="CE62" s="112">
        <f t="shared" si="25"/>
        <v>0</v>
      </c>
      <c r="CF62" s="112">
        <f t="shared" si="25"/>
        <v>0</v>
      </c>
      <c r="CG62" s="112">
        <f t="shared" si="25"/>
        <v>0</v>
      </c>
      <c r="CH62" s="112">
        <f t="shared" si="25"/>
        <v>28</v>
      </c>
      <c r="CI62" s="112">
        <f t="shared" si="25"/>
        <v>431.25</v>
      </c>
      <c r="CJ62" s="112">
        <f t="shared" si="25"/>
        <v>0</v>
      </c>
      <c r="CK62" s="112">
        <f t="shared" si="25"/>
        <v>0</v>
      </c>
      <c r="CL62" s="112">
        <f t="shared" si="25"/>
        <v>0</v>
      </c>
      <c r="CM62" s="112">
        <f t="shared" si="25"/>
        <v>0</v>
      </c>
      <c r="CN62" s="112">
        <f t="shared" si="25"/>
        <v>0</v>
      </c>
      <c r="CO62" s="112">
        <f t="shared" si="25"/>
        <v>0</v>
      </c>
      <c r="CP62" s="112">
        <f t="shared" si="25"/>
        <v>1391.25</v>
      </c>
      <c r="CQ62" s="112">
        <f t="shared" si="25"/>
        <v>0</v>
      </c>
      <c r="CR62" s="112">
        <f t="shared" si="25"/>
        <v>214</v>
      </c>
      <c r="CS62" s="112">
        <f t="shared" si="25"/>
        <v>122.75</v>
      </c>
      <c r="CT62" s="112">
        <f t="shared" si="25"/>
        <v>0</v>
      </c>
      <c r="CU62" s="112">
        <f t="shared" si="25"/>
        <v>0</v>
      </c>
      <c r="CV62" s="112">
        <f t="shared" si="25"/>
        <v>3672</v>
      </c>
      <c r="CW62" s="112">
        <f t="shared" si="25"/>
        <v>0</v>
      </c>
      <c r="CX62" s="112">
        <f t="shared" si="25"/>
        <v>0</v>
      </c>
      <c r="CY62" s="112">
        <f t="shared" si="25"/>
        <v>1377</v>
      </c>
      <c r="CZ62" s="112">
        <f t="shared" si="25"/>
        <v>9.5</v>
      </c>
      <c r="DA62" s="112">
        <f t="shared" si="25"/>
        <v>0</v>
      </c>
      <c r="DB62" s="112">
        <f t="shared" si="25"/>
        <v>0</v>
      </c>
      <c r="DC62" s="112">
        <f t="shared" si="25"/>
        <v>2161.0500000000002</v>
      </c>
      <c r="DD62" s="112">
        <f t="shared" si="25"/>
        <v>208</v>
      </c>
      <c r="DE62" s="112">
        <f t="shared" si="25"/>
        <v>0</v>
      </c>
      <c r="DF62" s="112">
        <f t="shared" si="25"/>
        <v>0</v>
      </c>
      <c r="DG62" s="112">
        <f t="shared" si="25"/>
        <v>0</v>
      </c>
      <c r="DH62" s="112">
        <f t="shared" si="25"/>
        <v>122</v>
      </c>
      <c r="DI62" s="112">
        <f t="shared" si="25"/>
        <v>1121.25</v>
      </c>
      <c r="DJ62" s="112">
        <f t="shared" si="25"/>
        <v>0</v>
      </c>
      <c r="DK62" s="112">
        <f t="shared" si="25"/>
        <v>0</v>
      </c>
      <c r="DL62" s="112">
        <f t="shared" si="25"/>
        <v>0</v>
      </c>
      <c r="DM62" s="112">
        <f t="shared" si="25"/>
        <v>0</v>
      </c>
      <c r="DN62" s="112">
        <f t="shared" si="25"/>
        <v>0</v>
      </c>
      <c r="DO62" s="112">
        <f t="shared" si="25"/>
        <v>248</v>
      </c>
      <c r="DP62" s="112">
        <f t="shared" si="25"/>
        <v>0</v>
      </c>
      <c r="DQ62" s="112">
        <f t="shared" si="25"/>
        <v>36</v>
      </c>
      <c r="DR62" s="112">
        <f t="shared" si="25"/>
        <v>0</v>
      </c>
      <c r="DS62" s="112">
        <f t="shared" si="25"/>
        <v>175</v>
      </c>
      <c r="DT62" s="112">
        <f t="shared" si="25"/>
        <v>30</v>
      </c>
      <c r="DU62" s="112">
        <f t="shared" si="25"/>
        <v>0</v>
      </c>
      <c r="DV62" s="112">
        <f t="shared" si="25"/>
        <v>0</v>
      </c>
      <c r="DW62" s="112">
        <f t="shared" si="25"/>
        <v>0</v>
      </c>
      <c r="DX62" s="112">
        <f t="shared" si="25"/>
        <v>0</v>
      </c>
      <c r="DY62" s="112">
        <f t="shared" si="25"/>
        <v>0</v>
      </c>
      <c r="DZ62" s="112">
        <f t="shared" si="25"/>
        <v>0</v>
      </c>
      <c r="EA62" s="112">
        <f t="shared" si="25"/>
        <v>0</v>
      </c>
      <c r="EB62" s="112">
        <f t="shared" si="25"/>
        <v>0</v>
      </c>
      <c r="EC62" s="112">
        <f t="shared" si="25"/>
        <v>0</v>
      </c>
      <c r="ED62" s="112">
        <f t="shared" si="25"/>
        <v>730.7</v>
      </c>
      <c r="EE62" s="112">
        <f t="shared" si="25"/>
        <v>0</v>
      </c>
      <c r="EF62" s="112">
        <f t="shared" si="25"/>
        <v>0</v>
      </c>
      <c r="EG62" s="112">
        <f t="shared" ref="EG62:GR62" si="26">SUM(EG25,EG60)</f>
        <v>0</v>
      </c>
      <c r="EH62" s="112">
        <f t="shared" si="26"/>
        <v>206.75</v>
      </c>
      <c r="EI62" s="112">
        <f t="shared" si="26"/>
        <v>32.25</v>
      </c>
      <c r="EJ62" s="112">
        <f t="shared" si="26"/>
        <v>0</v>
      </c>
      <c r="EK62" s="112">
        <f t="shared" si="26"/>
        <v>0</v>
      </c>
      <c r="EL62" s="112">
        <f t="shared" si="26"/>
        <v>0</v>
      </c>
      <c r="EM62" s="112">
        <f t="shared" si="26"/>
        <v>0</v>
      </c>
      <c r="EN62" s="112">
        <f t="shared" si="26"/>
        <v>0</v>
      </c>
      <c r="EO62" s="112">
        <f t="shared" si="26"/>
        <v>0</v>
      </c>
      <c r="EP62" s="112">
        <f t="shared" si="26"/>
        <v>0</v>
      </c>
      <c r="EQ62" s="112">
        <f t="shared" si="26"/>
        <v>0</v>
      </c>
      <c r="ER62" s="112">
        <f t="shared" si="26"/>
        <v>446.5</v>
      </c>
      <c r="ES62" s="112">
        <f t="shared" si="26"/>
        <v>0</v>
      </c>
      <c r="ET62" s="112">
        <f t="shared" si="26"/>
        <v>0</v>
      </c>
      <c r="EU62" s="112">
        <f t="shared" si="26"/>
        <v>0</v>
      </c>
      <c r="EV62" s="112">
        <f t="shared" si="26"/>
        <v>0</v>
      </c>
      <c r="EW62" s="112">
        <f t="shared" si="26"/>
        <v>0</v>
      </c>
      <c r="EX62" s="112">
        <f t="shared" si="26"/>
        <v>361.5</v>
      </c>
      <c r="EY62" s="112">
        <f t="shared" si="26"/>
        <v>0</v>
      </c>
      <c r="EZ62" s="112">
        <f t="shared" si="26"/>
        <v>46</v>
      </c>
      <c r="FA62" s="112">
        <f t="shared" si="26"/>
        <v>94</v>
      </c>
      <c r="FB62" s="112">
        <f t="shared" si="26"/>
        <v>0</v>
      </c>
      <c r="FC62" s="112">
        <f t="shared" si="26"/>
        <v>0</v>
      </c>
      <c r="FD62" s="112">
        <f t="shared" si="26"/>
        <v>0</v>
      </c>
      <c r="FE62" s="112">
        <f t="shared" si="26"/>
        <v>0</v>
      </c>
      <c r="FF62" s="112">
        <f t="shared" si="26"/>
        <v>0</v>
      </c>
      <c r="FG62" s="112">
        <f t="shared" si="26"/>
        <v>0</v>
      </c>
      <c r="FH62" s="112">
        <f t="shared" si="26"/>
        <v>0</v>
      </c>
      <c r="FI62" s="112">
        <f t="shared" si="26"/>
        <v>190</v>
      </c>
      <c r="FJ62" s="112">
        <f t="shared" si="26"/>
        <v>1087.7</v>
      </c>
      <c r="FK62" s="112">
        <f t="shared" si="26"/>
        <v>0</v>
      </c>
      <c r="FL62" s="112">
        <f t="shared" si="26"/>
        <v>0</v>
      </c>
      <c r="FM62" s="112">
        <f t="shared" si="26"/>
        <v>0</v>
      </c>
      <c r="FN62" s="112">
        <f t="shared" si="26"/>
        <v>0</v>
      </c>
      <c r="FO62" s="112">
        <f t="shared" si="26"/>
        <v>0</v>
      </c>
      <c r="FP62" s="112">
        <f t="shared" si="26"/>
        <v>0</v>
      </c>
      <c r="FQ62" s="112">
        <f t="shared" si="26"/>
        <v>0</v>
      </c>
      <c r="FR62" s="112">
        <f t="shared" si="26"/>
        <v>0</v>
      </c>
      <c r="FS62" s="112">
        <f t="shared" si="26"/>
        <v>0</v>
      </c>
      <c r="FT62" s="112">
        <f t="shared" si="26"/>
        <v>0</v>
      </c>
      <c r="FU62" s="112">
        <f t="shared" si="26"/>
        <v>0</v>
      </c>
      <c r="FV62" s="112">
        <f t="shared" si="26"/>
        <v>142</v>
      </c>
      <c r="FW62" s="112">
        <f t="shared" si="26"/>
        <v>432</v>
      </c>
      <c r="FX62" s="112">
        <f t="shared" si="26"/>
        <v>0</v>
      </c>
      <c r="FY62" s="112">
        <f t="shared" si="26"/>
        <v>0</v>
      </c>
      <c r="FZ62" s="112">
        <f t="shared" si="26"/>
        <v>79.25</v>
      </c>
      <c r="GA62" s="112">
        <f t="shared" si="26"/>
        <v>0</v>
      </c>
      <c r="GB62" s="112">
        <f t="shared" si="26"/>
        <v>0</v>
      </c>
      <c r="GC62" s="112">
        <f t="shared" si="26"/>
        <v>4710</v>
      </c>
      <c r="GD62" s="112">
        <f t="shared" si="26"/>
        <v>0</v>
      </c>
      <c r="GE62" s="112">
        <f t="shared" si="26"/>
        <v>0</v>
      </c>
      <c r="GF62" s="112">
        <f t="shared" si="26"/>
        <v>1138</v>
      </c>
      <c r="GG62" s="112">
        <f t="shared" si="26"/>
        <v>0</v>
      </c>
      <c r="GH62" s="112">
        <f t="shared" si="26"/>
        <v>145.30000000000001</v>
      </c>
      <c r="GI62" s="112">
        <f t="shared" si="26"/>
        <v>0</v>
      </c>
      <c r="GJ62" s="112">
        <f t="shared" si="26"/>
        <v>0</v>
      </c>
      <c r="GK62" s="112">
        <f t="shared" si="26"/>
        <v>0</v>
      </c>
      <c r="GL62" s="112">
        <f t="shared" si="26"/>
        <v>0</v>
      </c>
      <c r="GM62" s="112">
        <f t="shared" si="26"/>
        <v>0</v>
      </c>
      <c r="GN62" s="112">
        <f t="shared" si="26"/>
        <v>0</v>
      </c>
      <c r="GO62" s="112">
        <f t="shared" si="26"/>
        <v>0</v>
      </c>
      <c r="GP62" s="112">
        <f t="shared" si="26"/>
        <v>0</v>
      </c>
      <c r="GQ62" s="112">
        <f t="shared" si="26"/>
        <v>0</v>
      </c>
      <c r="GR62" s="112">
        <f t="shared" si="26"/>
        <v>1052.25</v>
      </c>
      <c r="GS62" s="112">
        <f t="shared" ref="GS62:GZ62" si="27">SUM(GS25,GS60)</f>
        <v>64</v>
      </c>
      <c r="GT62" s="112">
        <f t="shared" si="27"/>
        <v>1287.7</v>
      </c>
      <c r="GU62" s="112">
        <f t="shared" si="27"/>
        <v>0</v>
      </c>
      <c r="GV62" s="112">
        <f t="shared" si="27"/>
        <v>0</v>
      </c>
      <c r="GW62" s="112">
        <f t="shared" si="27"/>
        <v>0</v>
      </c>
      <c r="GX62" s="112">
        <f t="shared" si="27"/>
        <v>0</v>
      </c>
      <c r="GY62" s="112">
        <f t="shared" si="27"/>
        <v>0</v>
      </c>
      <c r="GZ62" s="112">
        <f t="shared" si="27"/>
        <v>0</v>
      </c>
    </row>
    <row r="63" spans="1:208">
      <c r="A63" s="177">
        <f>G60-'[1]Processing Count'!$G$52</f>
        <v>-65065.05</v>
      </c>
      <c r="G63" s="177">
        <f>SUM(H62:GZ62)</f>
        <v>32743.200000000001</v>
      </c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  <c r="AA63" s="112"/>
      <c r="AB63" s="112"/>
      <c r="AC63" s="112"/>
      <c r="AD63" s="112"/>
      <c r="AE63" s="112"/>
      <c r="AF63" s="112"/>
      <c r="AG63" s="112"/>
      <c r="AH63" s="112"/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2"/>
      <c r="BC63" s="112"/>
      <c r="BD63" s="112"/>
      <c r="BE63" s="112"/>
      <c r="BF63" s="112"/>
      <c r="BG63" s="112"/>
      <c r="BH63" s="112"/>
      <c r="BI63" s="112"/>
      <c r="BJ63" s="112"/>
      <c r="BK63" s="112"/>
      <c r="BL63" s="112"/>
      <c r="BM63" s="112"/>
      <c r="BN63" s="112"/>
      <c r="BO63" s="112"/>
      <c r="BP63" s="112"/>
      <c r="BQ63" s="112"/>
      <c r="BR63" s="112"/>
      <c r="BS63" s="112"/>
      <c r="BT63" s="112"/>
      <c r="BU63" s="112"/>
      <c r="BV63" s="112"/>
      <c r="BW63" s="112"/>
      <c r="BX63" s="112"/>
      <c r="BY63" s="112"/>
      <c r="BZ63" s="112"/>
      <c r="CA63" s="112"/>
      <c r="CB63" s="112"/>
      <c r="CC63" s="112"/>
      <c r="CD63" s="112"/>
      <c r="CE63" s="112"/>
      <c r="CF63" s="112"/>
      <c r="CG63" s="112"/>
      <c r="CH63" s="112"/>
      <c r="CI63" s="112"/>
      <c r="CJ63" s="112"/>
      <c r="CK63" s="112"/>
      <c r="CL63" s="112"/>
      <c r="CM63" s="112"/>
      <c r="CN63" s="112"/>
      <c r="CO63" s="112"/>
      <c r="CP63" s="112"/>
      <c r="CQ63" s="112"/>
      <c r="CR63" s="112"/>
      <c r="CS63" s="112"/>
      <c r="CT63" s="112"/>
      <c r="CU63" s="112"/>
      <c r="CV63" s="112"/>
      <c r="CW63" s="112"/>
      <c r="CX63" s="112"/>
      <c r="CY63" s="112"/>
      <c r="CZ63" s="112"/>
      <c r="DA63" s="112"/>
      <c r="DB63" s="112"/>
      <c r="DC63" s="112"/>
      <c r="DD63" s="112"/>
      <c r="DE63" s="112"/>
      <c r="DF63" s="112"/>
      <c r="DG63" s="112"/>
      <c r="DH63" s="112"/>
      <c r="DI63" s="112"/>
      <c r="DJ63" s="112"/>
      <c r="DK63" s="112"/>
      <c r="DL63" s="112"/>
      <c r="DM63" s="112"/>
      <c r="DN63" s="112"/>
      <c r="DO63" s="112"/>
      <c r="DP63" s="112"/>
      <c r="DQ63" s="112"/>
      <c r="DR63" s="112"/>
      <c r="DS63" s="112"/>
      <c r="DT63" s="112"/>
      <c r="DU63" s="112"/>
      <c r="DV63" s="112"/>
      <c r="DW63" s="112"/>
      <c r="DX63" s="112"/>
      <c r="DY63" s="112"/>
      <c r="DZ63" s="112"/>
      <c r="EA63" s="112"/>
      <c r="EB63" s="112"/>
      <c r="EC63" s="112"/>
      <c r="ED63" s="112"/>
      <c r="EE63" s="112"/>
      <c r="EF63" s="112"/>
      <c r="EG63" s="112"/>
      <c r="EH63" s="112"/>
      <c r="EI63" s="112"/>
      <c r="EJ63" s="112"/>
      <c r="EK63" s="112"/>
      <c r="EL63" s="112"/>
      <c r="EM63" s="112"/>
      <c r="EN63" s="112"/>
      <c r="EO63" s="112"/>
      <c r="EP63" s="112"/>
      <c r="EQ63" s="112"/>
      <c r="ER63" s="112"/>
      <c r="ES63" s="112"/>
      <c r="ET63" s="112"/>
      <c r="EU63" s="112"/>
      <c r="EV63" s="112"/>
      <c r="EW63" s="112"/>
      <c r="EX63" s="112"/>
      <c r="EY63" s="112"/>
      <c r="EZ63" s="112"/>
      <c r="FA63" s="112"/>
      <c r="FB63" s="112"/>
      <c r="FC63" s="112"/>
      <c r="FD63" s="112"/>
      <c r="FE63" s="112"/>
      <c r="FF63" s="112"/>
      <c r="FG63" s="112"/>
    </row>
    <row r="64" spans="1:208">
      <c r="A64" s="172">
        <f>6728*0.5</f>
        <v>3364</v>
      </c>
    </row>
    <row r="65" spans="1:162">
      <c r="A65" s="177">
        <f>A63+A64</f>
        <v>-61701.05</v>
      </c>
    </row>
    <row r="66" spans="1:162">
      <c r="H66" s="172">
        <v>0</v>
      </c>
      <c r="I66" s="172">
        <v>0</v>
      </c>
      <c r="J66" s="172">
        <v>1023</v>
      </c>
      <c r="K66" s="172">
        <v>0</v>
      </c>
      <c r="L66" s="172">
        <v>636</v>
      </c>
      <c r="M66" s="172">
        <v>0</v>
      </c>
      <c r="N66" s="172">
        <v>0</v>
      </c>
      <c r="O66" s="172">
        <v>0</v>
      </c>
      <c r="P66" s="172">
        <v>1150</v>
      </c>
      <c r="Q66" s="172">
        <v>0</v>
      </c>
      <c r="R66" s="172">
        <v>0</v>
      </c>
      <c r="S66" s="172">
        <v>0</v>
      </c>
      <c r="T66" s="172">
        <v>0</v>
      </c>
      <c r="U66" s="172">
        <v>0</v>
      </c>
      <c r="V66" s="172">
        <v>1380</v>
      </c>
      <c r="W66" s="172">
        <v>0</v>
      </c>
      <c r="X66" s="172">
        <v>0</v>
      </c>
      <c r="Y66" s="172">
        <v>0</v>
      </c>
      <c r="Z66" s="172">
        <v>0</v>
      </c>
      <c r="AA66" s="172">
        <v>0</v>
      </c>
      <c r="AB66" s="172">
        <v>0</v>
      </c>
      <c r="AC66" s="172">
        <v>0</v>
      </c>
      <c r="AD66" s="172">
        <v>0</v>
      </c>
      <c r="AE66" s="172">
        <v>0</v>
      </c>
      <c r="AF66" s="172">
        <v>68</v>
      </c>
      <c r="AG66" s="172">
        <v>653</v>
      </c>
      <c r="AH66" s="172">
        <v>0</v>
      </c>
      <c r="AI66" s="172">
        <v>0</v>
      </c>
      <c r="AJ66" s="172">
        <v>0</v>
      </c>
      <c r="AK66" s="172">
        <v>299</v>
      </c>
      <c r="AL66" s="172">
        <v>0</v>
      </c>
      <c r="AM66" s="172">
        <v>0</v>
      </c>
      <c r="AN66" s="172">
        <v>1099</v>
      </c>
      <c r="AO66" s="172">
        <v>0</v>
      </c>
      <c r="AP66" s="172">
        <v>0</v>
      </c>
      <c r="AQ66" s="172">
        <v>0</v>
      </c>
      <c r="AR66" s="172">
        <v>0</v>
      </c>
      <c r="AS66" s="172">
        <v>1476</v>
      </c>
      <c r="AT66" s="172">
        <v>0</v>
      </c>
      <c r="AU66" s="172">
        <v>0</v>
      </c>
      <c r="AV66" s="172">
        <v>0</v>
      </c>
      <c r="AW66" s="172">
        <v>0</v>
      </c>
      <c r="AX66" s="172">
        <v>0</v>
      </c>
      <c r="AY66" s="172">
        <v>0</v>
      </c>
      <c r="AZ66" s="172">
        <v>0</v>
      </c>
      <c r="BA66" s="172">
        <v>0</v>
      </c>
      <c r="BB66" s="172">
        <v>0</v>
      </c>
      <c r="BC66" s="172">
        <v>0</v>
      </c>
      <c r="BD66" s="172">
        <v>0</v>
      </c>
      <c r="BE66" s="172">
        <v>0</v>
      </c>
      <c r="BF66" s="172">
        <v>709</v>
      </c>
      <c r="BG66" s="172">
        <v>0</v>
      </c>
      <c r="BH66" s="172">
        <v>0</v>
      </c>
      <c r="BI66" s="172">
        <v>2621</v>
      </c>
      <c r="BJ66" s="172">
        <v>0</v>
      </c>
      <c r="BK66" s="172">
        <v>2018</v>
      </c>
      <c r="BL66" s="172">
        <v>0</v>
      </c>
      <c r="BM66" s="172">
        <v>0</v>
      </c>
      <c r="BN66" s="172">
        <v>5609</v>
      </c>
      <c r="BO66" s="172">
        <v>0</v>
      </c>
      <c r="BP66" s="172">
        <v>0</v>
      </c>
      <c r="BQ66" s="172">
        <v>0</v>
      </c>
      <c r="BR66" s="172">
        <v>0</v>
      </c>
      <c r="BS66" s="172">
        <v>0</v>
      </c>
      <c r="BT66" s="172">
        <v>0</v>
      </c>
      <c r="BU66" s="172">
        <v>0</v>
      </c>
      <c r="BV66" s="172">
        <v>1199</v>
      </c>
      <c r="BW66" s="172">
        <v>0</v>
      </c>
      <c r="BX66" s="172">
        <v>0</v>
      </c>
      <c r="BY66" s="172">
        <v>753</v>
      </c>
      <c r="BZ66" s="172">
        <v>654</v>
      </c>
      <c r="CA66" s="172">
        <v>0</v>
      </c>
      <c r="CB66" s="172">
        <v>1624</v>
      </c>
      <c r="CC66" s="172">
        <v>0</v>
      </c>
      <c r="CD66" s="172">
        <v>0</v>
      </c>
      <c r="CE66" s="172">
        <v>378</v>
      </c>
      <c r="CF66" s="172">
        <v>1498</v>
      </c>
      <c r="CG66" s="172">
        <v>1507</v>
      </c>
      <c r="CH66" s="172">
        <v>368</v>
      </c>
      <c r="CI66" s="172">
        <v>0</v>
      </c>
      <c r="CJ66" s="172">
        <v>1274</v>
      </c>
      <c r="CK66" s="172">
        <v>0</v>
      </c>
      <c r="CL66" s="172">
        <v>0</v>
      </c>
      <c r="CM66" s="172">
        <v>0</v>
      </c>
      <c r="CN66" s="172">
        <v>200</v>
      </c>
      <c r="CO66" s="172">
        <v>1730</v>
      </c>
      <c r="CP66" s="172">
        <v>0</v>
      </c>
      <c r="CQ66" s="172">
        <v>0</v>
      </c>
      <c r="CR66" s="172">
        <v>0</v>
      </c>
      <c r="CS66" s="172">
        <v>0</v>
      </c>
      <c r="CT66" s="172">
        <v>2406</v>
      </c>
      <c r="CU66" s="172">
        <v>4361</v>
      </c>
      <c r="CV66" s="172">
        <v>0</v>
      </c>
      <c r="CW66" s="172">
        <v>0</v>
      </c>
      <c r="CX66" s="172">
        <v>0</v>
      </c>
      <c r="CY66" s="172">
        <v>0</v>
      </c>
      <c r="CZ66" s="172">
        <v>1666</v>
      </c>
      <c r="DA66" s="172">
        <v>115</v>
      </c>
      <c r="DB66" s="172">
        <v>0</v>
      </c>
      <c r="DC66" s="172">
        <v>738</v>
      </c>
      <c r="DD66" s="172">
        <v>0</v>
      </c>
      <c r="DE66" s="172">
        <v>1296</v>
      </c>
      <c r="DF66" s="172">
        <v>0</v>
      </c>
      <c r="DG66" s="172">
        <v>1128</v>
      </c>
      <c r="DH66" s="172">
        <v>0</v>
      </c>
      <c r="DI66" s="172">
        <v>0</v>
      </c>
      <c r="DJ66" s="172">
        <v>0</v>
      </c>
      <c r="DK66" s="172">
        <v>0</v>
      </c>
      <c r="DL66" s="172">
        <v>0</v>
      </c>
      <c r="DM66" s="172">
        <v>0</v>
      </c>
      <c r="DN66" s="172">
        <v>123</v>
      </c>
      <c r="DO66" s="172">
        <v>1261</v>
      </c>
      <c r="DP66" s="172">
        <v>0</v>
      </c>
      <c r="DQ66" s="172">
        <v>3379</v>
      </c>
      <c r="DR66" s="172">
        <v>1878</v>
      </c>
      <c r="DS66" s="172">
        <v>0</v>
      </c>
      <c r="DT66" s="172">
        <v>0</v>
      </c>
      <c r="DU66" s="172">
        <v>680</v>
      </c>
      <c r="DV66" s="172">
        <v>0</v>
      </c>
      <c r="DW66" s="172">
        <v>404</v>
      </c>
      <c r="DX66" s="172">
        <v>0</v>
      </c>
      <c r="DY66" s="172">
        <v>0</v>
      </c>
      <c r="DZ66" s="172">
        <v>291</v>
      </c>
      <c r="EA66" s="172">
        <v>487</v>
      </c>
      <c r="EB66" s="172">
        <v>150</v>
      </c>
      <c r="EC66" s="172">
        <v>0</v>
      </c>
      <c r="ED66" s="172">
        <v>0</v>
      </c>
      <c r="EE66" s="172">
        <v>0</v>
      </c>
      <c r="EF66" s="172">
        <v>0</v>
      </c>
      <c r="EG66" s="172">
        <v>0</v>
      </c>
      <c r="EH66" s="172">
        <v>0</v>
      </c>
      <c r="EI66" s="172">
        <v>498</v>
      </c>
      <c r="EJ66" s="172">
        <v>5327</v>
      </c>
      <c r="EK66" s="172">
        <v>0</v>
      </c>
      <c r="EL66" s="172">
        <v>2553</v>
      </c>
      <c r="EM66" s="172">
        <v>0</v>
      </c>
      <c r="EN66" s="172">
        <v>0</v>
      </c>
      <c r="EO66" s="172">
        <v>0</v>
      </c>
      <c r="EP66" s="172">
        <v>894</v>
      </c>
      <c r="EQ66" s="172">
        <v>0</v>
      </c>
      <c r="ER66" s="172">
        <v>799</v>
      </c>
      <c r="ES66" s="172">
        <v>1030</v>
      </c>
      <c r="ET66" s="172">
        <v>0</v>
      </c>
      <c r="EU66" s="172">
        <v>0</v>
      </c>
      <c r="EV66" s="172">
        <v>0</v>
      </c>
      <c r="EW66" s="172">
        <v>0</v>
      </c>
      <c r="EX66" s="172">
        <v>0</v>
      </c>
      <c r="EY66" s="172">
        <v>0</v>
      </c>
      <c r="EZ66" s="172">
        <v>0</v>
      </c>
      <c r="FA66" s="172">
        <v>0</v>
      </c>
      <c r="FB66" s="172">
        <v>963</v>
      </c>
      <c r="FC66" s="172">
        <v>0</v>
      </c>
      <c r="FD66" s="172">
        <v>1190</v>
      </c>
      <c r="FE66" s="172">
        <v>0</v>
      </c>
      <c r="FF66" s="172">
        <v>0</v>
      </c>
    </row>
    <row r="67" spans="1:162">
      <c r="H67" s="172">
        <f>H66-H59</f>
        <v>0</v>
      </c>
      <c r="I67" s="172">
        <f t="shared" ref="I67:BT67" si="28">I66-I59</f>
        <v>-72</v>
      </c>
      <c r="J67" s="172">
        <f t="shared" si="28"/>
        <v>1023</v>
      </c>
      <c r="K67" s="172">
        <f t="shared" si="28"/>
        <v>0</v>
      </c>
      <c r="L67" s="172">
        <f t="shared" si="28"/>
        <v>636</v>
      </c>
      <c r="M67" s="172">
        <f t="shared" si="28"/>
        <v>-469</v>
      </c>
      <c r="N67" s="172">
        <f t="shared" si="28"/>
        <v>0</v>
      </c>
      <c r="O67" s="172">
        <f t="shared" si="28"/>
        <v>0</v>
      </c>
      <c r="P67" s="172">
        <f t="shared" si="28"/>
        <v>1150</v>
      </c>
      <c r="Q67" s="172">
        <f t="shared" si="28"/>
        <v>-186</v>
      </c>
      <c r="R67" s="172">
        <f t="shared" si="28"/>
        <v>0</v>
      </c>
      <c r="S67" s="172">
        <f t="shared" si="28"/>
        <v>0</v>
      </c>
      <c r="T67" s="172">
        <f t="shared" si="28"/>
        <v>-714</v>
      </c>
      <c r="U67" s="172">
        <f t="shared" si="28"/>
        <v>0</v>
      </c>
      <c r="V67" s="172">
        <f t="shared" si="28"/>
        <v>1380</v>
      </c>
      <c r="W67" s="172">
        <f t="shared" si="28"/>
        <v>0</v>
      </c>
      <c r="X67" s="172">
        <f t="shared" si="28"/>
        <v>0</v>
      </c>
      <c r="Y67" s="172">
        <f t="shared" si="28"/>
        <v>0</v>
      </c>
      <c r="Z67" s="172">
        <f t="shared" si="28"/>
        <v>0</v>
      </c>
      <c r="AA67" s="172">
        <f t="shared" si="28"/>
        <v>-174</v>
      </c>
      <c r="AB67" s="172">
        <f t="shared" si="28"/>
        <v>0</v>
      </c>
      <c r="AC67" s="172">
        <f t="shared" si="28"/>
        <v>-1185</v>
      </c>
      <c r="AD67" s="172">
        <f t="shared" si="28"/>
        <v>0</v>
      </c>
      <c r="AE67" s="172">
        <f t="shared" si="28"/>
        <v>0</v>
      </c>
      <c r="AF67" s="172">
        <f t="shared" si="28"/>
        <v>68</v>
      </c>
      <c r="AG67" s="172">
        <f t="shared" si="28"/>
        <v>653</v>
      </c>
      <c r="AH67" s="172">
        <f t="shared" si="28"/>
        <v>0</v>
      </c>
      <c r="AI67" s="172">
        <f t="shared" si="28"/>
        <v>0</v>
      </c>
      <c r="AJ67" s="172">
        <f t="shared" si="28"/>
        <v>0</v>
      </c>
      <c r="AK67" s="172">
        <f t="shared" si="28"/>
        <v>299</v>
      </c>
      <c r="AL67" s="172">
        <f t="shared" si="28"/>
        <v>0</v>
      </c>
      <c r="AM67" s="172">
        <f t="shared" si="28"/>
        <v>0</v>
      </c>
      <c r="AN67" s="172">
        <f t="shared" si="28"/>
        <v>1099</v>
      </c>
      <c r="AO67" s="172">
        <f t="shared" si="28"/>
        <v>0</v>
      </c>
      <c r="AP67" s="172">
        <f t="shared" si="28"/>
        <v>-155</v>
      </c>
      <c r="AQ67" s="172">
        <f t="shared" si="28"/>
        <v>-441</v>
      </c>
      <c r="AR67" s="172">
        <f t="shared" si="28"/>
        <v>-120</v>
      </c>
      <c r="AS67" s="172">
        <f t="shared" si="28"/>
        <v>1476</v>
      </c>
      <c r="AT67" s="172">
        <f t="shared" si="28"/>
        <v>0</v>
      </c>
      <c r="AU67" s="172">
        <f t="shared" si="28"/>
        <v>0</v>
      </c>
      <c r="AV67" s="172">
        <f t="shared" si="28"/>
        <v>-131</v>
      </c>
      <c r="AW67" s="172">
        <f t="shared" si="28"/>
        <v>0</v>
      </c>
      <c r="AX67" s="172">
        <f t="shared" si="28"/>
        <v>0</v>
      </c>
      <c r="AY67" s="172">
        <f t="shared" si="28"/>
        <v>0</v>
      </c>
      <c r="AZ67" s="172">
        <f t="shared" si="28"/>
        <v>0</v>
      </c>
      <c r="BA67" s="172">
        <f t="shared" si="28"/>
        <v>0</v>
      </c>
      <c r="BB67" s="172">
        <f t="shared" si="28"/>
        <v>0</v>
      </c>
      <c r="BC67" s="172">
        <f t="shared" si="28"/>
        <v>0</v>
      </c>
      <c r="BD67" s="172">
        <f t="shared" si="28"/>
        <v>0</v>
      </c>
      <c r="BE67" s="172">
        <f t="shared" si="28"/>
        <v>0</v>
      </c>
      <c r="BF67" s="172">
        <f t="shared" si="28"/>
        <v>459</v>
      </c>
      <c r="BG67" s="172">
        <f t="shared" si="28"/>
        <v>0</v>
      </c>
      <c r="BH67" s="172">
        <f t="shared" si="28"/>
        <v>0</v>
      </c>
      <c r="BI67" s="172">
        <f t="shared" si="28"/>
        <v>2621</v>
      </c>
      <c r="BJ67" s="172">
        <f t="shared" si="28"/>
        <v>-207</v>
      </c>
      <c r="BK67" s="172">
        <f t="shared" si="28"/>
        <v>2018</v>
      </c>
      <c r="BL67" s="172">
        <f t="shared" si="28"/>
        <v>0</v>
      </c>
      <c r="BM67" s="172">
        <f t="shared" si="28"/>
        <v>-66</v>
      </c>
      <c r="BN67" s="172">
        <f t="shared" si="28"/>
        <v>5609</v>
      </c>
      <c r="BO67" s="172">
        <f t="shared" si="28"/>
        <v>0</v>
      </c>
      <c r="BP67" s="172">
        <f t="shared" si="28"/>
        <v>0</v>
      </c>
      <c r="BQ67" s="172">
        <f t="shared" si="28"/>
        <v>0</v>
      </c>
      <c r="BR67" s="172">
        <f t="shared" si="28"/>
        <v>0</v>
      </c>
      <c r="BS67" s="172">
        <f t="shared" si="28"/>
        <v>0</v>
      </c>
      <c r="BT67" s="172">
        <f t="shared" si="28"/>
        <v>0</v>
      </c>
      <c r="BU67" s="172">
        <f t="shared" ref="BU67:EF67" si="29">BU66-BU59</f>
        <v>0</v>
      </c>
      <c r="BV67" s="172">
        <f t="shared" si="29"/>
        <v>1199</v>
      </c>
      <c r="BW67" s="172">
        <f t="shared" si="29"/>
        <v>0</v>
      </c>
      <c r="BX67" s="172">
        <f t="shared" si="29"/>
        <v>0</v>
      </c>
      <c r="BY67" s="172">
        <f t="shared" si="29"/>
        <v>603</v>
      </c>
      <c r="BZ67" s="172">
        <f t="shared" si="29"/>
        <v>654</v>
      </c>
      <c r="CA67" s="172">
        <f t="shared" si="29"/>
        <v>0</v>
      </c>
      <c r="CB67" s="172">
        <f t="shared" si="29"/>
        <v>1213</v>
      </c>
      <c r="CC67" s="172">
        <f t="shared" si="29"/>
        <v>0</v>
      </c>
      <c r="CD67" s="172">
        <f t="shared" si="29"/>
        <v>-1244</v>
      </c>
      <c r="CE67" s="172">
        <f t="shared" si="29"/>
        <v>378</v>
      </c>
      <c r="CF67" s="172">
        <f t="shared" si="29"/>
        <v>1498</v>
      </c>
      <c r="CG67" s="172">
        <f t="shared" si="29"/>
        <v>1507</v>
      </c>
      <c r="CH67" s="172">
        <f t="shared" si="29"/>
        <v>368</v>
      </c>
      <c r="CI67" s="172">
        <f t="shared" si="29"/>
        <v>-250</v>
      </c>
      <c r="CJ67" s="172">
        <f t="shared" si="29"/>
        <v>1274</v>
      </c>
      <c r="CK67" s="172">
        <f t="shared" si="29"/>
        <v>0</v>
      </c>
      <c r="CL67" s="172">
        <f t="shared" si="29"/>
        <v>0</v>
      </c>
      <c r="CM67" s="172">
        <f t="shared" si="29"/>
        <v>0</v>
      </c>
      <c r="CN67" s="172">
        <f t="shared" si="29"/>
        <v>200</v>
      </c>
      <c r="CO67" s="172">
        <f t="shared" si="29"/>
        <v>1730</v>
      </c>
      <c r="CP67" s="172">
        <f t="shared" si="29"/>
        <v>-800</v>
      </c>
      <c r="CQ67" s="172">
        <f t="shared" si="29"/>
        <v>0</v>
      </c>
      <c r="CR67" s="172">
        <f t="shared" si="29"/>
        <v>0</v>
      </c>
      <c r="CS67" s="172">
        <f t="shared" si="29"/>
        <v>-115</v>
      </c>
      <c r="CT67" s="172">
        <f t="shared" si="29"/>
        <v>2406</v>
      </c>
      <c r="CU67" s="172">
        <f t="shared" si="29"/>
        <v>4361</v>
      </c>
      <c r="CV67" s="172">
        <f t="shared" si="29"/>
        <v>0</v>
      </c>
      <c r="CW67" s="172">
        <f t="shared" si="29"/>
        <v>0</v>
      </c>
      <c r="CX67" s="172">
        <f t="shared" si="29"/>
        <v>0</v>
      </c>
      <c r="CY67" s="172">
        <f t="shared" si="29"/>
        <v>-1152</v>
      </c>
      <c r="CZ67" s="172">
        <f t="shared" si="29"/>
        <v>1656</v>
      </c>
      <c r="DA67" s="172">
        <f t="shared" si="29"/>
        <v>115</v>
      </c>
      <c r="DB67" s="172">
        <f t="shared" si="29"/>
        <v>0</v>
      </c>
      <c r="DC67" s="172">
        <f t="shared" si="29"/>
        <v>-590</v>
      </c>
      <c r="DD67" s="172">
        <f t="shared" si="29"/>
        <v>-170</v>
      </c>
      <c r="DE67" s="172">
        <f t="shared" si="29"/>
        <v>1296</v>
      </c>
      <c r="DF67" s="172">
        <f t="shared" si="29"/>
        <v>0</v>
      </c>
      <c r="DG67" s="172">
        <f t="shared" si="29"/>
        <v>1128</v>
      </c>
      <c r="DH67" s="172">
        <f t="shared" si="29"/>
        <v>-100</v>
      </c>
      <c r="DI67" s="172">
        <f t="shared" si="29"/>
        <v>-720</v>
      </c>
      <c r="DJ67" s="172">
        <f t="shared" si="29"/>
        <v>0</v>
      </c>
      <c r="DK67" s="172">
        <f t="shared" si="29"/>
        <v>0</v>
      </c>
      <c r="DL67" s="172">
        <f t="shared" si="29"/>
        <v>0</v>
      </c>
      <c r="DM67" s="172">
        <f t="shared" si="29"/>
        <v>0</v>
      </c>
      <c r="DN67" s="172">
        <f t="shared" si="29"/>
        <v>123</v>
      </c>
      <c r="DO67" s="172">
        <f t="shared" si="29"/>
        <v>1261</v>
      </c>
      <c r="DP67" s="172">
        <f t="shared" si="29"/>
        <v>0</v>
      </c>
      <c r="DQ67" s="172">
        <f t="shared" si="29"/>
        <v>3358</v>
      </c>
      <c r="DR67" s="172">
        <f t="shared" si="29"/>
        <v>1878</v>
      </c>
      <c r="DS67" s="172">
        <f t="shared" si="29"/>
        <v>-100</v>
      </c>
      <c r="DT67" s="172">
        <f t="shared" si="29"/>
        <v>0</v>
      </c>
      <c r="DU67" s="172">
        <f t="shared" si="29"/>
        <v>680</v>
      </c>
      <c r="DV67" s="172">
        <f t="shared" si="29"/>
        <v>0</v>
      </c>
      <c r="DW67" s="172">
        <f t="shared" si="29"/>
        <v>404</v>
      </c>
      <c r="DX67" s="172">
        <f t="shared" si="29"/>
        <v>0</v>
      </c>
      <c r="DY67" s="172">
        <f t="shared" si="29"/>
        <v>0</v>
      </c>
      <c r="DZ67" s="172">
        <f t="shared" si="29"/>
        <v>291</v>
      </c>
      <c r="EA67" s="172">
        <f t="shared" si="29"/>
        <v>487</v>
      </c>
      <c r="EB67" s="172">
        <f t="shared" si="29"/>
        <v>150</v>
      </c>
      <c r="EC67" s="172">
        <f t="shared" si="29"/>
        <v>0</v>
      </c>
      <c r="ED67" s="172">
        <f t="shared" si="29"/>
        <v>-438</v>
      </c>
      <c r="EE67" s="172">
        <f t="shared" si="29"/>
        <v>0</v>
      </c>
      <c r="EF67" s="172">
        <f t="shared" si="29"/>
        <v>0</v>
      </c>
      <c r="EG67" s="172">
        <f t="shared" ref="EG67:FF67" si="30">EG66-EG59</f>
        <v>0</v>
      </c>
      <c r="EH67" s="172">
        <f t="shared" si="30"/>
        <v>-193</v>
      </c>
      <c r="EI67" s="172">
        <f t="shared" si="30"/>
        <v>471</v>
      </c>
      <c r="EJ67" s="172">
        <f t="shared" si="30"/>
        <v>5327</v>
      </c>
      <c r="EK67" s="172">
        <f t="shared" si="30"/>
        <v>0</v>
      </c>
      <c r="EL67" s="172">
        <f t="shared" si="30"/>
        <v>2553</v>
      </c>
      <c r="EM67" s="172">
        <f t="shared" si="30"/>
        <v>0</v>
      </c>
      <c r="EN67" s="172">
        <f t="shared" si="30"/>
        <v>0</v>
      </c>
      <c r="EO67" s="172">
        <f t="shared" si="30"/>
        <v>0</v>
      </c>
      <c r="EP67" s="172">
        <f t="shared" si="30"/>
        <v>894</v>
      </c>
      <c r="EQ67" s="172">
        <f t="shared" si="30"/>
        <v>0</v>
      </c>
      <c r="ER67" s="172">
        <f t="shared" si="30"/>
        <v>500</v>
      </c>
      <c r="ES67" s="172">
        <f t="shared" si="30"/>
        <v>1030</v>
      </c>
      <c r="ET67" s="172">
        <f t="shared" si="30"/>
        <v>0</v>
      </c>
      <c r="EU67" s="172">
        <f t="shared" si="30"/>
        <v>0</v>
      </c>
      <c r="EV67" s="172">
        <f t="shared" si="30"/>
        <v>0</v>
      </c>
      <c r="EW67" s="172">
        <f t="shared" si="30"/>
        <v>0</v>
      </c>
      <c r="EX67" s="172">
        <f t="shared" si="30"/>
        <v>-342</v>
      </c>
      <c r="EY67" s="172">
        <f t="shared" si="30"/>
        <v>0</v>
      </c>
      <c r="EZ67" s="172">
        <f t="shared" si="30"/>
        <v>0</v>
      </c>
      <c r="FA67" s="172">
        <f t="shared" si="30"/>
        <v>0</v>
      </c>
      <c r="FB67" s="172">
        <f t="shared" si="30"/>
        <v>963</v>
      </c>
      <c r="FC67" s="172">
        <f t="shared" si="30"/>
        <v>0</v>
      </c>
      <c r="FD67" s="172">
        <f t="shared" si="30"/>
        <v>1190</v>
      </c>
      <c r="FE67" s="172">
        <f t="shared" si="30"/>
        <v>0</v>
      </c>
      <c r="FF67" s="172">
        <f t="shared" si="30"/>
        <v>0</v>
      </c>
    </row>
    <row r="68" spans="1:162">
      <c r="F68" s="210">
        <f>G58*1.25</f>
        <v>1527.5</v>
      </c>
    </row>
    <row r="69" spans="1:162">
      <c r="F69" s="210">
        <f>G58*0.5</f>
        <v>611</v>
      </c>
    </row>
    <row r="70" spans="1:162">
      <c r="F70" s="177">
        <f>F68-F69</f>
        <v>916.5</v>
      </c>
    </row>
  </sheetData>
  <mergeCells count="6">
    <mergeCell ref="D61:G61"/>
    <mergeCell ref="D60:F60"/>
    <mergeCell ref="A24:E24"/>
    <mergeCell ref="A26:E26"/>
    <mergeCell ref="A25:E25"/>
    <mergeCell ref="A59:D59"/>
  </mergeCells>
  <conditionalFormatting sqref="B2:B23">
    <cfRule type="cellIs" dxfId="12" priority="7" operator="greaterThan">
      <formula>0.65</formula>
    </cfRule>
  </conditionalFormatting>
  <conditionalFormatting sqref="H2:GZ23">
    <cfRule type="cellIs" dxfId="11" priority="2" operator="greaterThan">
      <formula>0</formula>
    </cfRule>
    <cfRule type="cellIs" dxfId="10" priority="3" operator="greaterThan">
      <formula>0</formula>
    </cfRule>
  </conditionalFormatting>
  <conditionalFormatting sqref="H28:GZ58">
    <cfRule type="cellIs" dxfId="9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6F1E9-B537-4562-B39C-C99E6283628A}">
  <dimension ref="A1:GV30"/>
  <sheetViews>
    <sheetView zoomScale="90" zoomScaleNormal="90" workbookViewId="0">
      <pane xSplit="3" ySplit="1" topLeftCell="D2" activePane="bottomRight" state="frozen"/>
      <selection pane="bottomRight" activeCell="E25" sqref="E25"/>
      <selection pane="bottomLeft" activeCell="A2" sqref="A2"/>
      <selection pane="topRight" activeCell="D1" sqref="D1"/>
    </sheetView>
  </sheetViews>
  <sheetFormatPr defaultColWidth="22.7109375" defaultRowHeight="13.9"/>
  <cols>
    <col min="1" max="1" width="29.140625" style="23" bestFit="1" customWidth="1"/>
    <col min="2" max="2" width="6.42578125" style="23" bestFit="1" customWidth="1"/>
    <col min="3" max="3" width="6" style="23" bestFit="1" customWidth="1"/>
    <col min="4" max="4" width="6.7109375" style="23" bestFit="1" customWidth="1"/>
    <col min="5" max="5" width="12.7109375" style="23" bestFit="1" customWidth="1"/>
    <col min="6" max="7" width="10.7109375" style="23" bestFit="1" customWidth="1"/>
    <col min="8" max="8" width="8.85546875" style="23" bestFit="1" customWidth="1"/>
    <col min="9" max="9" width="9.28515625" style="23" bestFit="1" customWidth="1"/>
    <col min="10" max="10" width="13" style="23" bestFit="1" customWidth="1"/>
    <col min="11" max="11" width="15.5703125" style="23" bestFit="1" customWidth="1"/>
    <col min="12" max="12" width="10.7109375" style="23" bestFit="1" customWidth="1"/>
    <col min="13" max="13" width="10.85546875" style="23" bestFit="1" customWidth="1"/>
    <col min="14" max="14" width="11.28515625" style="23" bestFit="1" customWidth="1"/>
    <col min="15" max="15" width="10.85546875" style="23" bestFit="1" customWidth="1"/>
    <col min="16" max="16" width="15.28515625" style="23" bestFit="1" customWidth="1"/>
    <col min="17" max="17" width="9.7109375" style="23" bestFit="1" customWidth="1"/>
    <col min="18" max="18" width="11.42578125" style="23" bestFit="1" customWidth="1"/>
    <col min="19" max="19" width="11.85546875" style="23" bestFit="1" customWidth="1"/>
    <col min="20" max="20" width="16.85546875" style="23" bestFit="1" customWidth="1"/>
    <col min="21" max="21" width="13.140625" style="23" bestFit="1" customWidth="1"/>
    <col min="22" max="22" width="22" style="23" bestFit="1" customWidth="1"/>
    <col min="23" max="23" width="11.7109375" style="23" bestFit="1" customWidth="1"/>
    <col min="24" max="24" width="13" style="23" bestFit="1" customWidth="1"/>
    <col min="25" max="25" width="19.42578125" style="23" bestFit="1" customWidth="1"/>
    <col min="26" max="26" width="12.42578125" style="23" bestFit="1" customWidth="1"/>
    <col min="27" max="27" width="13.28515625" style="23" bestFit="1" customWidth="1"/>
    <col min="28" max="28" width="13.85546875" style="23" bestFit="1" customWidth="1"/>
    <col min="29" max="29" width="18.140625" style="23" bestFit="1" customWidth="1"/>
    <col min="30" max="30" width="11.28515625" style="23" bestFit="1" customWidth="1"/>
    <col min="31" max="31" width="13.5703125" style="23" bestFit="1" customWidth="1"/>
    <col min="32" max="32" width="9.42578125" style="23" bestFit="1" customWidth="1"/>
    <col min="33" max="33" width="16" style="23" bestFit="1" customWidth="1"/>
    <col min="34" max="34" width="15.85546875" style="23" bestFit="1" customWidth="1"/>
    <col min="35" max="35" width="11.140625" style="23" bestFit="1" customWidth="1"/>
    <col min="36" max="36" width="21" style="23" bestFit="1" customWidth="1"/>
    <col min="37" max="37" width="17.28515625" style="23" bestFit="1" customWidth="1"/>
    <col min="38" max="38" width="8.28515625" style="23" bestFit="1" customWidth="1"/>
    <col min="39" max="39" width="18.7109375" style="23" bestFit="1" customWidth="1"/>
    <col min="40" max="40" width="8.7109375" style="23" bestFit="1" customWidth="1"/>
    <col min="41" max="41" width="12" style="23" bestFit="1" customWidth="1"/>
    <col min="42" max="42" width="13.7109375" style="23" bestFit="1" customWidth="1"/>
    <col min="43" max="43" width="9.7109375" style="23" bestFit="1" customWidth="1"/>
    <col min="44" max="44" width="12.28515625" style="23" bestFit="1" customWidth="1"/>
    <col min="45" max="45" width="10.28515625" style="23" bestFit="1" customWidth="1"/>
    <col min="46" max="46" width="8.7109375" style="23" bestFit="1" customWidth="1"/>
    <col min="47" max="47" width="7.7109375" style="23" bestFit="1" customWidth="1"/>
    <col min="48" max="48" width="13.5703125" style="23" bestFit="1" customWidth="1"/>
    <col min="49" max="49" width="14.28515625" style="23" bestFit="1" customWidth="1"/>
    <col min="50" max="50" width="26.7109375" style="23" bestFit="1" customWidth="1"/>
    <col min="51" max="51" width="13.140625" style="23" bestFit="1" customWidth="1"/>
    <col min="52" max="52" width="14.140625" style="23" bestFit="1" customWidth="1"/>
    <col min="53" max="53" width="12.42578125" style="23" bestFit="1" customWidth="1"/>
    <col min="54" max="54" width="11" style="23" bestFit="1" customWidth="1"/>
    <col min="55" max="55" width="8.28515625" style="23" bestFit="1" customWidth="1"/>
    <col min="56" max="56" width="10.5703125" style="23" bestFit="1" customWidth="1"/>
    <col min="57" max="57" width="19.85546875" style="23" bestFit="1" customWidth="1"/>
    <col min="58" max="58" width="7.7109375" style="23" bestFit="1" customWidth="1"/>
    <col min="59" max="59" width="12" style="23" bestFit="1" customWidth="1"/>
    <col min="60" max="60" width="7.5703125" style="23" bestFit="1" customWidth="1"/>
    <col min="61" max="61" width="19.140625" style="23" bestFit="1" customWidth="1"/>
    <col min="62" max="62" width="12.7109375" style="23" bestFit="1" customWidth="1"/>
    <col min="63" max="63" width="12.5703125" style="23" bestFit="1" customWidth="1"/>
    <col min="64" max="64" width="11.5703125" style="23" bestFit="1" customWidth="1"/>
    <col min="65" max="65" width="16.42578125" style="23" bestFit="1" customWidth="1"/>
    <col min="66" max="66" width="8.7109375" style="23" bestFit="1" customWidth="1"/>
    <col min="67" max="67" width="19.140625" style="23" bestFit="1" customWidth="1"/>
    <col min="68" max="68" width="19" style="23" bestFit="1" customWidth="1"/>
    <col min="69" max="69" width="13" style="23" bestFit="1" customWidth="1"/>
    <col min="70" max="70" width="12.7109375" style="23" bestFit="1" customWidth="1"/>
    <col min="71" max="71" width="10.28515625" style="23" bestFit="1" customWidth="1"/>
    <col min="72" max="72" width="13.140625" style="23" bestFit="1" customWidth="1"/>
    <col min="73" max="73" width="18" style="23" bestFit="1" customWidth="1"/>
    <col min="74" max="74" width="8.7109375" style="23" bestFit="1" customWidth="1"/>
    <col min="75" max="75" width="14.7109375" style="23" bestFit="1" customWidth="1"/>
    <col min="76" max="76" width="21" style="23" bestFit="1" customWidth="1"/>
    <col min="77" max="77" width="12.7109375" style="23" bestFit="1" customWidth="1"/>
    <col min="78" max="78" width="10.140625" style="23" bestFit="1" customWidth="1"/>
    <col min="79" max="79" width="11.5703125" style="23" bestFit="1" customWidth="1"/>
    <col min="80" max="80" width="10.42578125" style="23" bestFit="1" customWidth="1"/>
    <col min="81" max="81" width="12.140625" style="23" bestFit="1" customWidth="1"/>
    <col min="82" max="82" width="16.7109375" style="23" bestFit="1" customWidth="1"/>
    <col min="83" max="83" width="10.7109375" style="23" bestFit="1" customWidth="1"/>
    <col min="84" max="84" width="10.42578125" style="23" bestFit="1" customWidth="1"/>
    <col min="85" max="85" width="11.28515625" style="23" bestFit="1" customWidth="1"/>
    <col min="86" max="86" width="18" style="23" bestFit="1" customWidth="1"/>
    <col min="87" max="87" width="9.28515625" style="23" bestFit="1" customWidth="1"/>
    <col min="88" max="88" width="12.7109375" style="23" bestFit="1" customWidth="1"/>
    <col min="89" max="89" width="13.7109375" style="23" bestFit="1" customWidth="1"/>
    <col min="90" max="90" width="10" style="23" bestFit="1" customWidth="1"/>
    <col min="91" max="91" width="8.85546875" style="23" bestFit="1" customWidth="1"/>
    <col min="92" max="92" width="20" style="23" bestFit="1" customWidth="1"/>
    <col min="93" max="93" width="22.5703125" style="23" bestFit="1" customWidth="1"/>
    <col min="94" max="94" width="10.85546875" style="23" bestFit="1" customWidth="1"/>
    <col min="95" max="95" width="12.140625" style="23" bestFit="1" customWidth="1"/>
    <col min="96" max="96" width="13.5703125" style="23" bestFit="1" customWidth="1"/>
    <col min="97" max="97" width="20.5703125" style="23" bestFit="1" customWidth="1"/>
    <col min="98" max="98" width="22.140625" style="23" bestFit="1" customWidth="1"/>
    <col min="99" max="99" width="11.85546875" style="23" bestFit="1" customWidth="1"/>
    <col min="100" max="100" width="11.140625" style="23" bestFit="1" customWidth="1"/>
    <col min="101" max="101" width="21.28515625" style="23" bestFit="1" customWidth="1"/>
    <col min="102" max="102" width="19.85546875" style="23" bestFit="1" customWidth="1"/>
    <col min="103" max="103" width="9.42578125" style="23" bestFit="1" customWidth="1"/>
    <col min="104" max="104" width="10.5703125" style="23" bestFit="1" customWidth="1"/>
    <col min="105" max="105" width="15.85546875" style="23" bestFit="1" customWidth="1"/>
    <col min="106" max="106" width="13.28515625" style="23" bestFit="1" customWidth="1"/>
    <col min="107" max="107" width="10" style="23" bestFit="1" customWidth="1"/>
    <col min="108" max="108" width="16.140625" style="23" bestFit="1" customWidth="1"/>
    <col min="109" max="109" width="18.85546875" style="23" bestFit="1" customWidth="1"/>
    <col min="110" max="110" width="14.42578125" style="23" bestFit="1" customWidth="1"/>
    <col min="111" max="111" width="11.85546875" style="23" bestFit="1" customWidth="1"/>
    <col min="112" max="112" width="21.42578125" style="23" bestFit="1" customWidth="1"/>
    <col min="113" max="113" width="14.5703125" style="23" bestFit="1" customWidth="1"/>
    <col min="114" max="114" width="17.7109375" style="23" bestFit="1" customWidth="1"/>
    <col min="115" max="115" width="8.5703125" style="23" bestFit="1" customWidth="1"/>
    <col min="116" max="116" width="12.7109375" style="23" bestFit="1" customWidth="1"/>
    <col min="117" max="117" width="16.85546875" style="23" bestFit="1" customWidth="1"/>
    <col min="118" max="118" width="13.85546875" style="23" bestFit="1" customWidth="1"/>
    <col min="119" max="119" width="11" style="23" bestFit="1" customWidth="1"/>
    <col min="120" max="120" width="16.140625" style="23" bestFit="1" customWidth="1"/>
    <col min="121" max="121" width="26.5703125" style="23" bestFit="1" customWidth="1"/>
    <col min="122" max="122" width="17.42578125" style="23" bestFit="1" customWidth="1"/>
    <col min="123" max="123" width="19.42578125" style="23" bestFit="1" customWidth="1"/>
    <col min="124" max="124" width="15" style="23" bestFit="1" customWidth="1"/>
    <col min="125" max="125" width="19.28515625" style="23" bestFit="1" customWidth="1"/>
    <col min="126" max="126" width="9.140625" style="23" bestFit="1" customWidth="1"/>
    <col min="127" max="127" width="10.28515625" style="23" bestFit="1" customWidth="1"/>
    <col min="128" max="128" width="13.28515625" style="23" bestFit="1" customWidth="1"/>
    <col min="129" max="129" width="12.7109375" style="23" bestFit="1" customWidth="1"/>
    <col min="130" max="130" width="9.42578125" style="23" bestFit="1" customWidth="1"/>
    <col min="131" max="131" width="12.28515625" style="23" bestFit="1" customWidth="1"/>
    <col min="132" max="132" width="17.28515625" style="23" bestFit="1" customWidth="1"/>
    <col min="133" max="133" width="11.85546875" style="23" bestFit="1" customWidth="1"/>
    <col min="134" max="134" width="22.42578125" style="23" bestFit="1" customWidth="1"/>
    <col min="135" max="135" width="12.5703125" style="23" bestFit="1" customWidth="1"/>
    <col min="136" max="136" width="11" style="23" bestFit="1" customWidth="1"/>
    <col min="137" max="137" width="8.28515625" style="23" bestFit="1" customWidth="1"/>
    <col min="138" max="138" width="10.28515625" style="23" bestFit="1" customWidth="1"/>
    <col min="139" max="139" width="9.85546875" style="23" bestFit="1" customWidth="1"/>
    <col min="140" max="140" width="9.28515625" style="23" bestFit="1" customWidth="1"/>
    <col min="141" max="141" width="16.140625" style="23" bestFit="1" customWidth="1"/>
    <col min="142" max="142" width="15.28515625" style="23" bestFit="1" customWidth="1"/>
    <col min="143" max="143" width="11.85546875" style="23" bestFit="1" customWidth="1"/>
    <col min="144" max="144" width="12.140625" style="23" bestFit="1" customWidth="1"/>
    <col min="145" max="145" width="12.42578125" style="23" bestFit="1" customWidth="1"/>
    <col min="146" max="146" width="14.7109375" style="23" bestFit="1" customWidth="1"/>
    <col min="147" max="147" width="10.5703125" style="23" bestFit="1" customWidth="1"/>
    <col min="148" max="148" width="12.42578125" style="23" bestFit="1" customWidth="1"/>
    <col min="149" max="149" width="17.5703125" style="23" bestFit="1" customWidth="1"/>
    <col min="150" max="150" width="12.5703125" style="23" bestFit="1" customWidth="1"/>
    <col min="151" max="151" width="14.5703125" style="23" bestFit="1" customWidth="1"/>
    <col min="152" max="152" width="16.7109375" style="23" bestFit="1" customWidth="1"/>
    <col min="153" max="153" width="13.7109375" style="23" bestFit="1" customWidth="1"/>
    <col min="154" max="154" width="16" style="23" bestFit="1" customWidth="1"/>
    <col min="155" max="155" width="11.28515625" style="23" bestFit="1" customWidth="1"/>
    <col min="156" max="156" width="13.7109375" style="23" bestFit="1" customWidth="1"/>
    <col min="157" max="157" width="16.42578125" style="23" bestFit="1" customWidth="1"/>
    <col min="158" max="158" width="12.7109375" style="23" bestFit="1" customWidth="1"/>
    <col min="159" max="159" width="10.85546875" style="23" bestFit="1" customWidth="1"/>
    <col min="160" max="160" width="10.5703125" style="23" bestFit="1" customWidth="1"/>
    <col min="161" max="161" width="9.7109375" style="23" bestFit="1" customWidth="1"/>
    <col min="162" max="162" width="10.85546875" style="23" bestFit="1" customWidth="1"/>
    <col min="163" max="163" width="16.140625" style="23" bestFit="1" customWidth="1"/>
    <col min="164" max="164" width="12.5703125" style="23" bestFit="1" customWidth="1"/>
    <col min="165" max="165" width="12.7109375" style="23" bestFit="1" customWidth="1"/>
    <col min="166" max="166" width="11.7109375" style="23" bestFit="1" customWidth="1"/>
    <col min="167" max="167" width="8.7109375" style="23" bestFit="1" customWidth="1"/>
    <col min="168" max="168" width="10.28515625" style="23" bestFit="1" customWidth="1"/>
    <col min="169" max="169" width="11.5703125" style="23" bestFit="1" customWidth="1"/>
    <col min="170" max="170" width="21.28515625" style="23" bestFit="1" customWidth="1"/>
    <col min="171" max="171" width="14.28515625" style="23" bestFit="1" customWidth="1"/>
    <col min="172" max="172" width="15.7109375" style="23" bestFit="1" customWidth="1"/>
    <col min="173" max="173" width="20.28515625" style="23" bestFit="1" customWidth="1"/>
    <col min="174" max="174" width="12.28515625" style="23" bestFit="1" customWidth="1"/>
    <col min="175" max="175" width="16.5703125" style="23" bestFit="1" customWidth="1"/>
    <col min="176" max="176" width="11.28515625" style="23" bestFit="1" customWidth="1"/>
    <col min="177" max="177" width="9.28515625" style="23" bestFit="1" customWidth="1"/>
    <col min="178" max="178" width="9.42578125" style="23" bestFit="1" customWidth="1"/>
    <col min="179" max="179" width="10.140625" style="23" bestFit="1" customWidth="1"/>
    <col min="180" max="180" width="19.42578125" style="23" bestFit="1" customWidth="1"/>
    <col min="181" max="181" width="10.140625" style="23" bestFit="1" customWidth="1"/>
    <col min="182" max="182" width="10.5703125" style="23" bestFit="1" customWidth="1"/>
    <col min="183" max="183" width="10.140625" style="23" bestFit="1" customWidth="1"/>
    <col min="184" max="184" width="8.85546875" style="23" bestFit="1" customWidth="1"/>
    <col min="185" max="185" width="11.7109375" style="23" bestFit="1" customWidth="1"/>
    <col min="186" max="186" width="6.7109375" style="23" bestFit="1" customWidth="1"/>
    <col min="187" max="187" width="20.28515625" style="23" bestFit="1" customWidth="1"/>
    <col min="188" max="188" width="16" style="23" bestFit="1" customWidth="1"/>
    <col min="189" max="189" width="23.7109375" style="23" bestFit="1" customWidth="1"/>
    <col min="190" max="190" width="19.28515625" style="23" bestFit="1" customWidth="1"/>
    <col min="191" max="191" width="17.85546875" style="23" bestFit="1" customWidth="1"/>
    <col min="192" max="192" width="12.28515625" style="23" bestFit="1" customWidth="1"/>
    <col min="193" max="193" width="9.7109375" style="23" bestFit="1" customWidth="1"/>
    <col min="194" max="194" width="10.42578125" style="23" bestFit="1" customWidth="1"/>
    <col min="195" max="195" width="10.140625" style="23" bestFit="1" customWidth="1"/>
    <col min="196" max="196" width="11.5703125" style="23" bestFit="1" customWidth="1"/>
    <col min="197" max="197" width="17" style="23" bestFit="1" customWidth="1"/>
    <col min="198" max="198" width="18" style="23" bestFit="1" customWidth="1"/>
    <col min="199" max="199" width="11" style="23" bestFit="1" customWidth="1"/>
    <col min="200" max="200" width="15.42578125" style="23" bestFit="1" customWidth="1"/>
    <col min="201" max="204" width="6.7109375" style="23" bestFit="1" customWidth="1"/>
    <col min="205" max="16384" width="22.7109375" style="23"/>
  </cols>
  <sheetData>
    <row r="1" spans="1:204">
      <c r="A1" s="87" t="s">
        <v>276</v>
      </c>
      <c r="B1" s="87" t="s">
        <v>277</v>
      </c>
      <c r="C1" s="87" t="s">
        <v>202</v>
      </c>
      <c r="D1" s="145" t="s">
        <v>4</v>
      </c>
      <c r="E1" s="145" t="s">
        <v>5</v>
      </c>
      <c r="F1" s="145" t="s">
        <v>6</v>
      </c>
      <c r="G1" s="145" t="s">
        <v>7</v>
      </c>
      <c r="H1" s="145" t="s">
        <v>8</v>
      </c>
      <c r="I1" s="145" t="s">
        <v>9</v>
      </c>
      <c r="J1" s="145" t="s">
        <v>10</v>
      </c>
      <c r="K1" s="145" t="s">
        <v>11</v>
      </c>
      <c r="L1" s="145" t="s">
        <v>12</v>
      </c>
      <c r="M1" s="145" t="s">
        <v>13</v>
      </c>
      <c r="N1" s="145" t="s">
        <v>14</v>
      </c>
      <c r="O1" s="145" t="s">
        <v>15</v>
      </c>
      <c r="P1" s="145" t="s">
        <v>16</v>
      </c>
      <c r="Q1" s="145" t="s">
        <v>17</v>
      </c>
      <c r="R1" s="145" t="s">
        <v>18</v>
      </c>
      <c r="S1" s="145" t="s">
        <v>19</v>
      </c>
      <c r="T1" s="145" t="s">
        <v>20</v>
      </c>
      <c r="U1" s="145" t="s">
        <v>21</v>
      </c>
      <c r="V1" s="145" t="s">
        <v>22</v>
      </c>
      <c r="W1" s="145" t="s">
        <v>23</v>
      </c>
      <c r="X1" s="145" t="s">
        <v>24</v>
      </c>
      <c r="Y1" s="145" t="s">
        <v>25</v>
      </c>
      <c r="Z1" s="145" t="s">
        <v>26</v>
      </c>
      <c r="AA1" s="145" t="s">
        <v>27</v>
      </c>
      <c r="AB1" s="145" t="s">
        <v>28</v>
      </c>
      <c r="AC1" s="145" t="s">
        <v>29</v>
      </c>
      <c r="AD1" s="152" t="s">
        <v>30</v>
      </c>
      <c r="AE1" s="145" t="s">
        <v>31</v>
      </c>
      <c r="AF1" s="145" t="s">
        <v>32</v>
      </c>
      <c r="AG1" s="145" t="s">
        <v>33</v>
      </c>
      <c r="AH1" s="145" t="s">
        <v>34</v>
      </c>
      <c r="AI1" s="145" t="s">
        <v>35</v>
      </c>
      <c r="AJ1" s="145" t="s">
        <v>36</v>
      </c>
      <c r="AK1" s="145" t="s">
        <v>37</v>
      </c>
      <c r="AL1" s="145" t="s">
        <v>38</v>
      </c>
      <c r="AM1" s="145" t="s">
        <v>39</v>
      </c>
      <c r="AN1" s="145" t="s">
        <v>40</v>
      </c>
      <c r="AO1" s="145" t="s">
        <v>41</v>
      </c>
      <c r="AP1" s="145" t="s">
        <v>42</v>
      </c>
      <c r="AQ1" s="145" t="s">
        <v>43</v>
      </c>
      <c r="AR1" s="145" t="s">
        <v>44</v>
      </c>
      <c r="AS1" s="145" t="s">
        <v>45</v>
      </c>
      <c r="AT1" s="145" t="s">
        <v>46</v>
      </c>
      <c r="AU1" s="145" t="s">
        <v>47</v>
      </c>
      <c r="AV1" s="145" t="s">
        <v>48</v>
      </c>
      <c r="AW1" s="145" t="s">
        <v>49</v>
      </c>
      <c r="AX1" s="145" t="s">
        <v>50</v>
      </c>
      <c r="AY1" s="145" t="s">
        <v>51</v>
      </c>
      <c r="AZ1" s="145" t="s">
        <v>52</v>
      </c>
      <c r="BA1" s="145" t="s">
        <v>53</v>
      </c>
      <c r="BB1" s="145" t="s">
        <v>54</v>
      </c>
      <c r="BC1" s="145" t="s">
        <v>55</v>
      </c>
      <c r="BD1" s="145" t="s">
        <v>56</v>
      </c>
      <c r="BE1" s="145" t="s">
        <v>57</v>
      </c>
      <c r="BF1" s="145" t="s">
        <v>58</v>
      </c>
      <c r="BG1" s="145" t="s">
        <v>59</v>
      </c>
      <c r="BH1" s="145" t="s">
        <v>60</v>
      </c>
      <c r="BI1" s="145" t="s">
        <v>61</v>
      </c>
      <c r="BJ1" s="145" t="s">
        <v>62</v>
      </c>
      <c r="BK1" s="145" t="s">
        <v>63</v>
      </c>
      <c r="BL1" s="145" t="s">
        <v>64</v>
      </c>
      <c r="BM1" s="145" t="s">
        <v>65</v>
      </c>
      <c r="BN1" s="145" t="s">
        <v>66</v>
      </c>
      <c r="BO1" s="145" t="s">
        <v>67</v>
      </c>
      <c r="BP1" s="145" t="s">
        <v>68</v>
      </c>
      <c r="BQ1" s="145" t="s">
        <v>69</v>
      </c>
      <c r="BR1" s="145" t="s">
        <v>70</v>
      </c>
      <c r="BS1" s="145" t="s">
        <v>71</v>
      </c>
      <c r="BT1" s="145" t="s">
        <v>72</v>
      </c>
      <c r="BU1" s="145" t="s">
        <v>73</v>
      </c>
      <c r="BV1" s="145" t="s">
        <v>74</v>
      </c>
      <c r="BW1" s="145" t="s">
        <v>75</v>
      </c>
      <c r="BX1" s="145" t="s">
        <v>76</v>
      </c>
      <c r="BY1" s="145" t="s">
        <v>77</v>
      </c>
      <c r="BZ1" s="145" t="s">
        <v>78</v>
      </c>
      <c r="CA1" s="145" t="s">
        <v>79</v>
      </c>
      <c r="CB1" s="145" t="s">
        <v>80</v>
      </c>
      <c r="CC1" s="145" t="s">
        <v>81</v>
      </c>
      <c r="CD1" s="145" t="s">
        <v>82</v>
      </c>
      <c r="CE1" s="145" t="s">
        <v>83</v>
      </c>
      <c r="CF1" s="145" t="s">
        <v>84</v>
      </c>
      <c r="CG1" s="145" t="s">
        <v>85</v>
      </c>
      <c r="CH1" s="145" t="s">
        <v>86</v>
      </c>
      <c r="CI1" s="145" t="s">
        <v>87</v>
      </c>
      <c r="CJ1" s="145" t="s">
        <v>88</v>
      </c>
      <c r="CK1" s="145" t="s">
        <v>89</v>
      </c>
      <c r="CL1" s="145" t="s">
        <v>90</v>
      </c>
      <c r="CM1" s="145" t="s">
        <v>91</v>
      </c>
      <c r="CN1" s="145" t="s">
        <v>92</v>
      </c>
      <c r="CO1" s="145" t="s">
        <v>93</v>
      </c>
      <c r="CP1" s="145" t="s">
        <v>94</v>
      </c>
      <c r="CQ1" s="145" t="s">
        <v>95</v>
      </c>
      <c r="CR1" s="145" t="s">
        <v>96</v>
      </c>
      <c r="CS1" s="145" t="s">
        <v>97</v>
      </c>
      <c r="CT1" s="145" t="s">
        <v>98</v>
      </c>
      <c r="CU1" s="145" t="s">
        <v>99</v>
      </c>
      <c r="CV1" s="145" t="s">
        <v>100</v>
      </c>
      <c r="CW1" s="145" t="s">
        <v>101</v>
      </c>
      <c r="CX1" s="145" t="s">
        <v>102</v>
      </c>
      <c r="CY1" s="145" t="s">
        <v>103</v>
      </c>
      <c r="CZ1" s="145" t="s">
        <v>104</v>
      </c>
      <c r="DA1" s="145" t="s">
        <v>105</v>
      </c>
      <c r="DB1" s="145" t="s">
        <v>106</v>
      </c>
      <c r="DC1" s="145" t="s">
        <v>107</v>
      </c>
      <c r="DD1" s="145" t="s">
        <v>108</v>
      </c>
      <c r="DE1" s="145" t="s">
        <v>109</v>
      </c>
      <c r="DF1" s="145" t="s">
        <v>110</v>
      </c>
      <c r="DG1" s="145" t="s">
        <v>111</v>
      </c>
      <c r="DH1" s="145" t="s">
        <v>112</v>
      </c>
      <c r="DI1" s="145" t="s">
        <v>113</v>
      </c>
      <c r="DJ1" s="145" t="s">
        <v>114</v>
      </c>
      <c r="DK1" s="145" t="s">
        <v>115</v>
      </c>
      <c r="DL1" s="145" t="s">
        <v>116</v>
      </c>
      <c r="DM1" s="145" t="s">
        <v>117</v>
      </c>
      <c r="DN1" s="145" t="s">
        <v>118</v>
      </c>
      <c r="DO1" s="145" t="s">
        <v>119</v>
      </c>
      <c r="DP1" s="145" t="s">
        <v>120</v>
      </c>
      <c r="DQ1" s="145" t="s">
        <v>121</v>
      </c>
      <c r="DR1" s="145" t="s">
        <v>122</v>
      </c>
      <c r="DS1" s="145" t="s">
        <v>123</v>
      </c>
      <c r="DT1" s="145" t="s">
        <v>124</v>
      </c>
      <c r="DU1" s="145" t="s">
        <v>125</v>
      </c>
      <c r="DV1" s="145" t="s">
        <v>126</v>
      </c>
      <c r="DW1" s="145" t="s">
        <v>127</v>
      </c>
      <c r="DX1" s="145" t="s">
        <v>128</v>
      </c>
      <c r="DY1" s="145" t="s">
        <v>129</v>
      </c>
      <c r="DZ1" s="145" t="s">
        <v>130</v>
      </c>
      <c r="EA1" s="145" t="s">
        <v>131</v>
      </c>
      <c r="EB1" s="145" t="s">
        <v>132</v>
      </c>
      <c r="EC1" s="145" t="s">
        <v>133</v>
      </c>
      <c r="ED1" s="145" t="s">
        <v>134</v>
      </c>
      <c r="EE1" s="145" t="s">
        <v>135</v>
      </c>
      <c r="EF1" s="145" t="s">
        <v>136</v>
      </c>
      <c r="EG1" s="145" t="s">
        <v>137</v>
      </c>
      <c r="EH1" s="145" t="s">
        <v>138</v>
      </c>
      <c r="EI1" s="145" t="s">
        <v>139</v>
      </c>
      <c r="EJ1" s="145" t="s">
        <v>140</v>
      </c>
      <c r="EK1" s="145" t="s">
        <v>141</v>
      </c>
      <c r="EL1" s="145" t="s">
        <v>142</v>
      </c>
      <c r="EM1" s="145" t="s">
        <v>143</v>
      </c>
      <c r="EN1" s="145" t="s">
        <v>144</v>
      </c>
      <c r="EO1" s="145" t="s">
        <v>145</v>
      </c>
      <c r="EP1" s="145" t="s">
        <v>146</v>
      </c>
      <c r="EQ1" s="145" t="s">
        <v>147</v>
      </c>
      <c r="ER1" s="145" t="s">
        <v>148</v>
      </c>
      <c r="ES1" s="145" t="s">
        <v>149</v>
      </c>
      <c r="ET1" s="145" t="s">
        <v>150</v>
      </c>
      <c r="EU1" s="145" t="s">
        <v>151</v>
      </c>
      <c r="EV1" s="145" t="s">
        <v>152</v>
      </c>
      <c r="EW1" s="145" t="s">
        <v>153</v>
      </c>
      <c r="EX1" s="145" t="s">
        <v>154</v>
      </c>
      <c r="EY1" s="145" t="s">
        <v>155</v>
      </c>
      <c r="EZ1" s="145" t="s">
        <v>156</v>
      </c>
      <c r="FA1" s="145" t="s">
        <v>157</v>
      </c>
      <c r="FB1" s="145" t="s">
        <v>158</v>
      </c>
      <c r="FC1" s="145" t="s">
        <v>159</v>
      </c>
      <c r="FD1" s="145" t="s">
        <v>160</v>
      </c>
      <c r="FE1" s="145" t="s">
        <v>161</v>
      </c>
      <c r="FF1" s="145" t="s">
        <v>162</v>
      </c>
      <c r="FG1" s="145" t="s">
        <v>163</v>
      </c>
      <c r="FH1" s="145" t="s">
        <v>164</v>
      </c>
      <c r="FI1" s="145" t="s">
        <v>165</v>
      </c>
      <c r="FJ1" s="145" t="s">
        <v>166</v>
      </c>
      <c r="FK1" s="145" t="s">
        <v>167</v>
      </c>
      <c r="FL1" s="145" t="s">
        <v>168</v>
      </c>
      <c r="FM1" s="145" t="s">
        <v>169</v>
      </c>
      <c r="FN1" s="145" t="s">
        <v>170</v>
      </c>
      <c r="FO1" s="145" t="s">
        <v>171</v>
      </c>
      <c r="FP1" s="145" t="s">
        <v>172</v>
      </c>
      <c r="FQ1" s="145" t="s">
        <v>173</v>
      </c>
      <c r="FR1" s="145" t="s">
        <v>174</v>
      </c>
      <c r="FS1" s="145" t="s">
        <v>175</v>
      </c>
      <c r="FT1" s="145" t="s">
        <v>176</v>
      </c>
      <c r="FU1" s="145" t="s">
        <v>177</v>
      </c>
      <c r="FV1" s="145" t="s">
        <v>178</v>
      </c>
      <c r="FW1" s="145" t="s">
        <v>179</v>
      </c>
      <c r="FX1" s="145" t="s">
        <v>180</v>
      </c>
      <c r="FY1" s="145" t="s">
        <v>181</v>
      </c>
      <c r="FZ1" s="145" t="s">
        <v>182</v>
      </c>
      <c r="GA1" s="145" t="s">
        <v>183</v>
      </c>
      <c r="GB1" s="145" t="s">
        <v>184</v>
      </c>
      <c r="GC1" s="145" t="s">
        <v>185</v>
      </c>
      <c r="GD1" s="145" t="s">
        <v>186</v>
      </c>
      <c r="GE1" s="145" t="s">
        <v>187</v>
      </c>
      <c r="GF1" s="145" t="s">
        <v>188</v>
      </c>
      <c r="GG1" s="145" t="s">
        <v>189</v>
      </c>
      <c r="GH1" s="145" t="s">
        <v>190</v>
      </c>
      <c r="GI1" s="145" t="s">
        <v>191</v>
      </c>
      <c r="GJ1" s="145" t="s">
        <v>192</v>
      </c>
      <c r="GK1" s="145" t="s">
        <v>193</v>
      </c>
      <c r="GL1" s="145" t="s">
        <v>194</v>
      </c>
      <c r="GM1" s="145" t="s">
        <v>195</v>
      </c>
      <c r="GN1" s="145" t="s">
        <v>196</v>
      </c>
      <c r="GO1" s="145" t="s">
        <v>197</v>
      </c>
      <c r="GP1" s="145" t="s">
        <v>198</v>
      </c>
      <c r="GQ1" s="145" t="s">
        <v>199</v>
      </c>
      <c r="GR1" s="145" t="s">
        <v>200</v>
      </c>
      <c r="GS1" s="145"/>
      <c r="GT1" s="145"/>
      <c r="GU1" s="145"/>
      <c r="GV1" s="145"/>
    </row>
    <row r="2" spans="1:204">
      <c r="A2" s="34" t="s">
        <v>335</v>
      </c>
      <c r="B2" s="45">
        <v>0.65</v>
      </c>
      <c r="C2" s="63">
        <f>SUM(D2:GV2)</f>
        <v>0</v>
      </c>
      <c r="D2" s="38">
        <v>0</v>
      </c>
      <c r="E2" s="38">
        <v>0</v>
      </c>
      <c r="F2" s="38">
        <v>0</v>
      </c>
      <c r="G2" s="38">
        <v>0</v>
      </c>
      <c r="H2" s="38">
        <v>0</v>
      </c>
      <c r="I2" s="38">
        <v>0</v>
      </c>
      <c r="J2" s="38">
        <v>0</v>
      </c>
      <c r="K2" s="38">
        <v>0</v>
      </c>
      <c r="L2" s="38">
        <v>0</v>
      </c>
      <c r="M2" s="38">
        <v>0</v>
      </c>
      <c r="N2" s="38">
        <v>0</v>
      </c>
      <c r="O2" s="38">
        <v>0</v>
      </c>
      <c r="P2" s="38">
        <v>0</v>
      </c>
      <c r="Q2" s="38">
        <v>0</v>
      </c>
      <c r="R2" s="38">
        <v>0</v>
      </c>
      <c r="S2" s="38">
        <v>0</v>
      </c>
      <c r="T2" s="38">
        <v>0</v>
      </c>
      <c r="U2" s="38">
        <v>0</v>
      </c>
      <c r="V2" s="38">
        <v>0</v>
      </c>
      <c r="W2" s="38">
        <v>0</v>
      </c>
      <c r="X2" s="38">
        <v>0</v>
      </c>
      <c r="Y2" s="38">
        <v>0</v>
      </c>
      <c r="Z2" s="38">
        <v>0</v>
      </c>
      <c r="AA2" s="38">
        <v>0</v>
      </c>
      <c r="AB2" s="38">
        <v>0</v>
      </c>
      <c r="AC2" s="38">
        <v>0</v>
      </c>
      <c r="AD2" s="38">
        <v>0</v>
      </c>
      <c r="AE2" s="38">
        <v>0</v>
      </c>
      <c r="AF2" s="38">
        <v>0</v>
      </c>
      <c r="AG2" s="38">
        <v>0</v>
      </c>
      <c r="AH2" s="38">
        <v>0</v>
      </c>
      <c r="AI2" s="38">
        <v>0</v>
      </c>
      <c r="AJ2" s="38">
        <v>0</v>
      </c>
      <c r="AK2" s="38">
        <v>0</v>
      </c>
      <c r="AL2" s="38">
        <v>0</v>
      </c>
      <c r="AM2" s="38">
        <v>0</v>
      </c>
      <c r="AN2" s="38">
        <v>0</v>
      </c>
      <c r="AO2" s="38">
        <v>0</v>
      </c>
      <c r="AP2" s="38">
        <v>0</v>
      </c>
      <c r="AQ2" s="38">
        <v>0</v>
      </c>
      <c r="AR2" s="38">
        <v>0</v>
      </c>
      <c r="AS2" s="38">
        <v>0</v>
      </c>
      <c r="AT2" s="38">
        <v>0</v>
      </c>
      <c r="AU2" s="38">
        <v>0</v>
      </c>
      <c r="AV2" s="38">
        <v>0</v>
      </c>
      <c r="AW2" s="38">
        <v>0</v>
      </c>
      <c r="AX2" s="38">
        <v>0</v>
      </c>
      <c r="AY2" s="38">
        <v>0</v>
      </c>
      <c r="AZ2" s="38">
        <v>0</v>
      </c>
      <c r="BA2" s="38">
        <v>0</v>
      </c>
      <c r="BB2" s="38">
        <v>0</v>
      </c>
      <c r="BC2" s="38">
        <v>0</v>
      </c>
      <c r="BD2" s="38">
        <v>0</v>
      </c>
      <c r="BE2" s="38">
        <v>0</v>
      </c>
      <c r="BF2" s="38">
        <v>0</v>
      </c>
      <c r="BG2" s="38">
        <v>0</v>
      </c>
      <c r="BH2" s="38">
        <v>0</v>
      </c>
      <c r="BI2" s="38">
        <v>0</v>
      </c>
      <c r="BJ2" s="38">
        <v>0</v>
      </c>
      <c r="BK2" s="38">
        <v>0</v>
      </c>
      <c r="BL2" s="38">
        <v>0</v>
      </c>
      <c r="BM2" s="38">
        <v>0</v>
      </c>
      <c r="BN2" s="38">
        <v>0</v>
      </c>
      <c r="BO2" s="38">
        <v>0</v>
      </c>
      <c r="BP2" s="38">
        <v>0</v>
      </c>
      <c r="BQ2" s="38">
        <v>0</v>
      </c>
      <c r="BR2" s="38">
        <v>0</v>
      </c>
      <c r="BS2" s="38">
        <v>0</v>
      </c>
      <c r="BT2" s="38">
        <v>0</v>
      </c>
      <c r="BU2" s="38">
        <v>0</v>
      </c>
      <c r="BV2" s="38">
        <v>0</v>
      </c>
      <c r="BW2" s="38">
        <v>0</v>
      </c>
      <c r="BX2" s="38">
        <v>0</v>
      </c>
      <c r="BY2" s="38">
        <v>0</v>
      </c>
      <c r="BZ2" s="38">
        <v>0</v>
      </c>
      <c r="CA2" s="38">
        <v>0</v>
      </c>
      <c r="CB2" s="38">
        <v>0</v>
      </c>
      <c r="CC2" s="38">
        <v>0</v>
      </c>
      <c r="CD2" s="38">
        <v>0</v>
      </c>
      <c r="CE2" s="38">
        <v>0</v>
      </c>
      <c r="CF2" s="38">
        <v>0</v>
      </c>
      <c r="CG2" s="38">
        <v>0</v>
      </c>
      <c r="CH2" s="38">
        <v>0</v>
      </c>
      <c r="CI2" s="38">
        <v>0</v>
      </c>
      <c r="CJ2" s="38">
        <v>0</v>
      </c>
      <c r="CK2" s="38">
        <v>0</v>
      </c>
      <c r="CL2" s="38">
        <v>0</v>
      </c>
      <c r="CM2" s="38">
        <v>0</v>
      </c>
      <c r="CN2" s="38">
        <v>0</v>
      </c>
      <c r="CO2" s="38">
        <v>0</v>
      </c>
      <c r="CP2" s="38">
        <v>0</v>
      </c>
      <c r="CQ2" s="38">
        <v>0</v>
      </c>
      <c r="CR2" s="38">
        <v>0</v>
      </c>
      <c r="CS2" s="38">
        <v>0</v>
      </c>
      <c r="CT2" s="38">
        <v>0</v>
      </c>
      <c r="CU2" s="38">
        <v>0</v>
      </c>
      <c r="CV2" s="38">
        <v>0</v>
      </c>
      <c r="CW2" s="38">
        <v>0</v>
      </c>
      <c r="CX2" s="38">
        <v>0</v>
      </c>
      <c r="CY2" s="38">
        <v>0</v>
      </c>
      <c r="CZ2" s="38">
        <v>0</v>
      </c>
      <c r="DA2" s="38">
        <v>0</v>
      </c>
      <c r="DB2" s="38">
        <v>0</v>
      </c>
      <c r="DC2" s="38">
        <v>0</v>
      </c>
      <c r="DD2" s="38">
        <v>0</v>
      </c>
      <c r="DE2" s="38">
        <v>0</v>
      </c>
      <c r="DF2" s="38">
        <v>0</v>
      </c>
      <c r="DG2" s="38">
        <v>0</v>
      </c>
      <c r="DH2" s="38">
        <v>0</v>
      </c>
      <c r="DI2" s="38">
        <v>0</v>
      </c>
      <c r="DJ2" s="38">
        <v>0</v>
      </c>
      <c r="DK2" s="38">
        <v>0</v>
      </c>
      <c r="DL2" s="38">
        <v>0</v>
      </c>
      <c r="DM2" s="38">
        <v>0</v>
      </c>
      <c r="DN2" s="38">
        <v>0</v>
      </c>
      <c r="DO2" s="38">
        <v>0</v>
      </c>
      <c r="DP2" s="38">
        <v>0</v>
      </c>
      <c r="DQ2" s="38">
        <v>0</v>
      </c>
      <c r="DR2" s="38">
        <v>0</v>
      </c>
      <c r="DS2" s="38">
        <v>0</v>
      </c>
      <c r="DT2" s="38">
        <v>0</v>
      </c>
      <c r="DU2" s="38">
        <v>0</v>
      </c>
      <c r="DV2" s="38">
        <v>0</v>
      </c>
      <c r="DW2" s="38">
        <v>0</v>
      </c>
      <c r="DX2" s="38">
        <v>0</v>
      </c>
      <c r="DY2" s="38">
        <v>0</v>
      </c>
      <c r="DZ2" s="38">
        <v>0</v>
      </c>
      <c r="EA2" s="38">
        <v>0</v>
      </c>
      <c r="EB2" s="38">
        <v>0</v>
      </c>
      <c r="EC2" s="38">
        <v>0</v>
      </c>
      <c r="ED2" s="38">
        <v>0</v>
      </c>
      <c r="EE2" s="38">
        <v>0</v>
      </c>
      <c r="EF2" s="38">
        <v>0</v>
      </c>
      <c r="EG2" s="38">
        <v>0</v>
      </c>
      <c r="EH2" s="38">
        <v>0</v>
      </c>
      <c r="EI2" s="38">
        <v>0</v>
      </c>
      <c r="EJ2" s="38">
        <v>0</v>
      </c>
      <c r="EK2" s="38">
        <v>0</v>
      </c>
      <c r="EL2" s="38">
        <v>0</v>
      </c>
      <c r="EM2" s="38">
        <v>0</v>
      </c>
      <c r="EN2" s="38">
        <v>0</v>
      </c>
      <c r="EO2" s="38">
        <v>0</v>
      </c>
      <c r="EP2" s="38">
        <v>0</v>
      </c>
      <c r="EQ2" s="38">
        <v>0</v>
      </c>
      <c r="ER2" s="38">
        <v>0</v>
      </c>
      <c r="ES2" s="38">
        <v>0</v>
      </c>
      <c r="ET2" s="38">
        <v>0</v>
      </c>
      <c r="EU2" s="38">
        <v>0</v>
      </c>
      <c r="EV2" s="38">
        <v>0</v>
      </c>
      <c r="EW2" s="38">
        <v>0</v>
      </c>
      <c r="EX2" s="38">
        <v>0</v>
      </c>
      <c r="EY2" s="38">
        <v>0</v>
      </c>
      <c r="EZ2" s="38">
        <v>0</v>
      </c>
      <c r="FA2" s="38">
        <v>0</v>
      </c>
      <c r="FB2" s="38">
        <v>0</v>
      </c>
      <c r="FC2" s="38">
        <v>0</v>
      </c>
      <c r="FD2" s="38">
        <v>0</v>
      </c>
      <c r="FE2" s="38">
        <v>0</v>
      </c>
      <c r="FF2" s="38">
        <v>0</v>
      </c>
      <c r="FG2" s="38">
        <v>0</v>
      </c>
      <c r="FH2" s="38">
        <v>0</v>
      </c>
      <c r="FI2" s="38">
        <v>0</v>
      </c>
      <c r="FJ2" s="38">
        <v>0</v>
      </c>
      <c r="FK2" s="38">
        <v>0</v>
      </c>
      <c r="FL2" s="38">
        <v>0</v>
      </c>
      <c r="FM2" s="38">
        <v>0</v>
      </c>
      <c r="FN2" s="38">
        <v>0</v>
      </c>
      <c r="FO2" s="38">
        <v>0</v>
      </c>
      <c r="FP2" s="38">
        <v>0</v>
      </c>
      <c r="FQ2" s="38">
        <v>0</v>
      </c>
      <c r="FR2" s="38">
        <v>0</v>
      </c>
      <c r="FS2" s="38">
        <v>0</v>
      </c>
      <c r="FT2" s="38">
        <v>0</v>
      </c>
      <c r="FU2" s="38">
        <v>0</v>
      </c>
      <c r="FV2" s="38">
        <v>0</v>
      </c>
      <c r="FW2" s="38">
        <v>0</v>
      </c>
      <c r="FX2" s="38">
        <v>0</v>
      </c>
      <c r="FY2" s="38">
        <v>0</v>
      </c>
      <c r="FZ2" s="38">
        <v>0</v>
      </c>
      <c r="GA2" s="38">
        <v>0</v>
      </c>
      <c r="GB2" s="38">
        <v>0</v>
      </c>
      <c r="GC2" s="38">
        <v>0</v>
      </c>
      <c r="GD2" s="38">
        <v>0</v>
      </c>
      <c r="GE2" s="38">
        <v>0</v>
      </c>
      <c r="GF2" s="38">
        <v>0</v>
      </c>
      <c r="GG2" s="38">
        <v>0</v>
      </c>
      <c r="GH2" s="38">
        <v>0</v>
      </c>
      <c r="GI2" s="38">
        <v>0</v>
      </c>
      <c r="GJ2" s="38">
        <v>0</v>
      </c>
      <c r="GK2" s="38">
        <v>0</v>
      </c>
      <c r="GL2" s="38">
        <v>0</v>
      </c>
      <c r="GM2" s="38">
        <v>0</v>
      </c>
      <c r="GN2" s="38">
        <v>0</v>
      </c>
      <c r="GO2" s="38">
        <v>0</v>
      </c>
      <c r="GP2" s="38">
        <v>0</v>
      </c>
      <c r="GQ2" s="38">
        <v>0</v>
      </c>
      <c r="GR2" s="38">
        <v>0</v>
      </c>
      <c r="GS2" s="38"/>
      <c r="GT2" s="38"/>
      <c r="GU2" s="38"/>
      <c r="GV2" s="38"/>
    </row>
    <row r="3" spans="1:204">
      <c r="A3" s="34" t="s">
        <v>336</v>
      </c>
      <c r="B3" s="45">
        <v>0.65</v>
      </c>
      <c r="C3" s="63">
        <f t="shared" ref="C3:C23" si="0">SUM(D3:GV3)</f>
        <v>0</v>
      </c>
      <c r="D3" s="38">
        <v>0</v>
      </c>
      <c r="E3" s="38">
        <v>0</v>
      </c>
      <c r="F3" s="38">
        <v>0</v>
      </c>
      <c r="G3" s="38">
        <v>0</v>
      </c>
      <c r="H3" s="38">
        <v>0</v>
      </c>
      <c r="I3" s="38">
        <v>0</v>
      </c>
      <c r="J3" s="38">
        <v>0</v>
      </c>
      <c r="K3" s="38">
        <v>0</v>
      </c>
      <c r="L3" s="38">
        <v>0</v>
      </c>
      <c r="M3" s="38">
        <v>0</v>
      </c>
      <c r="N3" s="38">
        <v>0</v>
      </c>
      <c r="O3" s="38">
        <v>0</v>
      </c>
      <c r="P3" s="38">
        <v>0</v>
      </c>
      <c r="Q3" s="38">
        <v>0</v>
      </c>
      <c r="R3" s="38">
        <v>0</v>
      </c>
      <c r="S3" s="38">
        <v>0</v>
      </c>
      <c r="T3" s="38">
        <v>0</v>
      </c>
      <c r="U3" s="38">
        <v>0</v>
      </c>
      <c r="V3" s="38">
        <v>0</v>
      </c>
      <c r="W3" s="38">
        <v>0</v>
      </c>
      <c r="X3" s="38">
        <v>0</v>
      </c>
      <c r="Y3" s="38">
        <v>0</v>
      </c>
      <c r="Z3" s="38">
        <v>0</v>
      </c>
      <c r="AA3" s="38">
        <v>0</v>
      </c>
      <c r="AB3" s="38">
        <v>0</v>
      </c>
      <c r="AC3" s="38">
        <v>0</v>
      </c>
      <c r="AD3" s="38">
        <v>0</v>
      </c>
      <c r="AE3" s="38">
        <v>0</v>
      </c>
      <c r="AF3" s="38">
        <v>0</v>
      </c>
      <c r="AG3" s="38">
        <v>0</v>
      </c>
      <c r="AH3" s="38">
        <v>0</v>
      </c>
      <c r="AI3" s="38">
        <v>0</v>
      </c>
      <c r="AJ3" s="38">
        <v>0</v>
      </c>
      <c r="AK3" s="38">
        <v>0</v>
      </c>
      <c r="AL3" s="38">
        <v>0</v>
      </c>
      <c r="AM3" s="38">
        <v>0</v>
      </c>
      <c r="AN3" s="38">
        <v>0</v>
      </c>
      <c r="AO3" s="38">
        <v>0</v>
      </c>
      <c r="AP3" s="38">
        <v>0</v>
      </c>
      <c r="AQ3" s="38">
        <v>0</v>
      </c>
      <c r="AR3" s="38">
        <v>0</v>
      </c>
      <c r="AS3" s="38">
        <v>0</v>
      </c>
      <c r="AT3" s="38">
        <v>0</v>
      </c>
      <c r="AU3" s="38">
        <v>0</v>
      </c>
      <c r="AV3" s="38">
        <v>0</v>
      </c>
      <c r="AW3" s="38">
        <v>0</v>
      </c>
      <c r="AX3" s="38">
        <v>0</v>
      </c>
      <c r="AY3" s="38">
        <v>0</v>
      </c>
      <c r="AZ3" s="38">
        <v>0</v>
      </c>
      <c r="BA3" s="38">
        <v>0</v>
      </c>
      <c r="BB3" s="38">
        <v>0</v>
      </c>
      <c r="BC3" s="38">
        <v>0</v>
      </c>
      <c r="BD3" s="38">
        <v>0</v>
      </c>
      <c r="BE3" s="38">
        <v>0</v>
      </c>
      <c r="BF3" s="38">
        <v>0</v>
      </c>
      <c r="BG3" s="38">
        <v>0</v>
      </c>
      <c r="BH3" s="38">
        <v>0</v>
      </c>
      <c r="BI3" s="38">
        <v>0</v>
      </c>
      <c r="BJ3" s="38">
        <v>0</v>
      </c>
      <c r="BK3" s="38">
        <v>0</v>
      </c>
      <c r="BL3" s="38">
        <v>0</v>
      </c>
      <c r="BM3" s="38">
        <v>0</v>
      </c>
      <c r="BN3" s="38">
        <v>0</v>
      </c>
      <c r="BO3" s="38">
        <v>0</v>
      </c>
      <c r="BP3" s="38">
        <v>0</v>
      </c>
      <c r="BQ3" s="38">
        <v>0</v>
      </c>
      <c r="BR3" s="38">
        <v>0</v>
      </c>
      <c r="BS3" s="38">
        <v>0</v>
      </c>
      <c r="BT3" s="38">
        <v>0</v>
      </c>
      <c r="BU3" s="38">
        <v>0</v>
      </c>
      <c r="BV3" s="38">
        <v>0</v>
      </c>
      <c r="BW3" s="38">
        <v>0</v>
      </c>
      <c r="BX3" s="38">
        <v>0</v>
      </c>
      <c r="BY3" s="38">
        <v>0</v>
      </c>
      <c r="BZ3" s="38">
        <v>0</v>
      </c>
      <c r="CA3" s="38">
        <v>0</v>
      </c>
      <c r="CB3" s="38">
        <v>0</v>
      </c>
      <c r="CC3" s="38">
        <v>0</v>
      </c>
      <c r="CD3" s="38">
        <v>0</v>
      </c>
      <c r="CE3" s="38">
        <v>0</v>
      </c>
      <c r="CF3" s="38">
        <v>0</v>
      </c>
      <c r="CG3" s="38">
        <v>0</v>
      </c>
      <c r="CH3" s="38">
        <v>0</v>
      </c>
      <c r="CI3" s="38">
        <v>0</v>
      </c>
      <c r="CJ3" s="38">
        <v>0</v>
      </c>
      <c r="CK3" s="38">
        <v>0</v>
      </c>
      <c r="CL3" s="38">
        <v>0</v>
      </c>
      <c r="CM3" s="38">
        <v>0</v>
      </c>
      <c r="CN3" s="38">
        <v>0</v>
      </c>
      <c r="CO3" s="38">
        <v>0</v>
      </c>
      <c r="CP3" s="38">
        <v>0</v>
      </c>
      <c r="CQ3" s="38">
        <v>0</v>
      </c>
      <c r="CR3" s="38">
        <v>0</v>
      </c>
      <c r="CS3" s="38">
        <v>0</v>
      </c>
      <c r="CT3" s="38">
        <v>0</v>
      </c>
      <c r="CU3" s="38">
        <v>0</v>
      </c>
      <c r="CV3" s="38">
        <v>0</v>
      </c>
      <c r="CW3" s="38">
        <v>0</v>
      </c>
      <c r="CX3" s="38">
        <v>0</v>
      </c>
      <c r="CY3" s="38">
        <v>0</v>
      </c>
      <c r="CZ3" s="38">
        <v>0</v>
      </c>
      <c r="DA3" s="38">
        <v>0</v>
      </c>
      <c r="DB3" s="38">
        <v>0</v>
      </c>
      <c r="DC3" s="38">
        <v>0</v>
      </c>
      <c r="DD3" s="38">
        <v>0</v>
      </c>
      <c r="DE3" s="38">
        <v>0</v>
      </c>
      <c r="DF3" s="38">
        <v>0</v>
      </c>
      <c r="DG3" s="38">
        <v>0</v>
      </c>
      <c r="DH3" s="38">
        <v>0</v>
      </c>
      <c r="DI3" s="38">
        <v>0</v>
      </c>
      <c r="DJ3" s="38">
        <v>0</v>
      </c>
      <c r="DK3" s="38">
        <v>0</v>
      </c>
      <c r="DL3" s="38">
        <v>0</v>
      </c>
      <c r="DM3" s="38">
        <v>0</v>
      </c>
      <c r="DN3" s="38">
        <v>0</v>
      </c>
      <c r="DO3" s="38">
        <v>0</v>
      </c>
      <c r="DP3" s="38">
        <v>0</v>
      </c>
      <c r="DQ3" s="38">
        <v>0</v>
      </c>
      <c r="DR3" s="38">
        <v>0</v>
      </c>
      <c r="DS3" s="38">
        <v>0</v>
      </c>
      <c r="DT3" s="38">
        <v>0</v>
      </c>
      <c r="DU3" s="38">
        <v>0</v>
      </c>
      <c r="DV3" s="38">
        <v>0</v>
      </c>
      <c r="DW3" s="38">
        <v>0</v>
      </c>
      <c r="DX3" s="38">
        <v>0</v>
      </c>
      <c r="DY3" s="38">
        <v>0</v>
      </c>
      <c r="DZ3" s="38">
        <v>0</v>
      </c>
      <c r="EA3" s="38">
        <v>0</v>
      </c>
      <c r="EB3" s="38">
        <v>0</v>
      </c>
      <c r="EC3" s="38">
        <v>0</v>
      </c>
      <c r="ED3" s="38">
        <v>0</v>
      </c>
      <c r="EE3" s="38">
        <v>0</v>
      </c>
      <c r="EF3" s="38">
        <v>0</v>
      </c>
      <c r="EG3" s="38">
        <v>0</v>
      </c>
      <c r="EH3" s="38">
        <v>0</v>
      </c>
      <c r="EI3" s="38">
        <v>0</v>
      </c>
      <c r="EJ3" s="38">
        <v>0</v>
      </c>
      <c r="EK3" s="38">
        <v>0</v>
      </c>
      <c r="EL3" s="38">
        <v>0</v>
      </c>
      <c r="EM3" s="38">
        <v>0</v>
      </c>
      <c r="EN3" s="38">
        <v>0</v>
      </c>
      <c r="EO3" s="38">
        <v>0</v>
      </c>
      <c r="EP3" s="38">
        <v>0</v>
      </c>
      <c r="EQ3" s="38">
        <v>0</v>
      </c>
      <c r="ER3" s="38">
        <v>0</v>
      </c>
      <c r="ES3" s="38">
        <v>0</v>
      </c>
      <c r="ET3" s="38">
        <v>0</v>
      </c>
      <c r="EU3" s="38">
        <v>0</v>
      </c>
      <c r="EV3" s="38">
        <v>0</v>
      </c>
      <c r="EW3" s="38">
        <v>0</v>
      </c>
      <c r="EX3" s="38">
        <v>0</v>
      </c>
      <c r="EY3" s="38">
        <v>0</v>
      </c>
      <c r="EZ3" s="38">
        <v>0</v>
      </c>
      <c r="FA3" s="38">
        <v>0</v>
      </c>
      <c r="FB3" s="38">
        <v>0</v>
      </c>
      <c r="FC3" s="38">
        <v>0</v>
      </c>
      <c r="FD3" s="38">
        <v>0</v>
      </c>
      <c r="FE3" s="38">
        <v>0</v>
      </c>
      <c r="FF3" s="38">
        <v>0</v>
      </c>
      <c r="FG3" s="38">
        <v>0</v>
      </c>
      <c r="FH3" s="38">
        <v>0</v>
      </c>
      <c r="FI3" s="38">
        <v>0</v>
      </c>
      <c r="FJ3" s="38">
        <v>0</v>
      </c>
      <c r="FK3" s="38">
        <v>0</v>
      </c>
      <c r="FL3" s="38">
        <v>0</v>
      </c>
      <c r="FM3" s="38">
        <v>0</v>
      </c>
      <c r="FN3" s="38">
        <v>0</v>
      </c>
      <c r="FO3" s="38">
        <v>0</v>
      </c>
      <c r="FP3" s="38">
        <v>0</v>
      </c>
      <c r="FQ3" s="38">
        <v>0</v>
      </c>
      <c r="FR3" s="38">
        <v>0</v>
      </c>
      <c r="FS3" s="38">
        <v>0</v>
      </c>
      <c r="FT3" s="38">
        <v>0</v>
      </c>
      <c r="FU3" s="38">
        <v>0</v>
      </c>
      <c r="FV3" s="38">
        <v>0</v>
      </c>
      <c r="FW3" s="38">
        <v>0</v>
      </c>
      <c r="FX3" s="38">
        <v>0</v>
      </c>
      <c r="FY3" s="38">
        <v>0</v>
      </c>
      <c r="FZ3" s="38">
        <v>0</v>
      </c>
      <c r="GA3" s="38">
        <v>0</v>
      </c>
      <c r="GB3" s="38">
        <v>0</v>
      </c>
      <c r="GC3" s="38">
        <v>0</v>
      </c>
      <c r="GD3" s="38">
        <v>0</v>
      </c>
      <c r="GE3" s="38">
        <v>0</v>
      </c>
      <c r="GF3" s="38">
        <v>0</v>
      </c>
      <c r="GG3" s="38">
        <v>0</v>
      </c>
      <c r="GH3" s="38">
        <v>0</v>
      </c>
      <c r="GI3" s="38">
        <v>0</v>
      </c>
      <c r="GJ3" s="38">
        <v>0</v>
      </c>
      <c r="GK3" s="38">
        <v>0</v>
      </c>
      <c r="GL3" s="38">
        <v>0</v>
      </c>
      <c r="GM3" s="38">
        <v>0</v>
      </c>
      <c r="GN3" s="38">
        <v>0</v>
      </c>
      <c r="GO3" s="38">
        <v>0</v>
      </c>
      <c r="GP3" s="38">
        <v>0</v>
      </c>
      <c r="GQ3" s="38">
        <v>0</v>
      </c>
      <c r="GR3" s="38">
        <v>0</v>
      </c>
      <c r="GS3" s="38"/>
      <c r="GT3" s="38"/>
      <c r="GU3" s="38"/>
      <c r="GV3" s="38"/>
    </row>
    <row r="4" spans="1:204">
      <c r="A4" s="34" t="s">
        <v>337</v>
      </c>
      <c r="B4" s="45">
        <v>0.65</v>
      </c>
      <c r="C4" s="63">
        <f t="shared" si="0"/>
        <v>2476</v>
      </c>
      <c r="D4" s="38">
        <v>0</v>
      </c>
      <c r="E4" s="38">
        <v>1</v>
      </c>
      <c r="F4" s="38">
        <v>0</v>
      </c>
      <c r="G4" s="38">
        <v>0</v>
      </c>
      <c r="H4" s="38">
        <v>0</v>
      </c>
      <c r="I4" s="38">
        <v>0</v>
      </c>
      <c r="J4" s="38">
        <v>0</v>
      </c>
      <c r="K4" s="38">
        <v>0</v>
      </c>
      <c r="L4" s="38">
        <v>0</v>
      </c>
      <c r="M4" s="38">
        <v>0</v>
      </c>
      <c r="N4" s="38">
        <v>0</v>
      </c>
      <c r="O4" s="38">
        <v>0</v>
      </c>
      <c r="P4" s="38">
        <v>0</v>
      </c>
      <c r="Q4" s="38">
        <v>0</v>
      </c>
      <c r="R4" s="38">
        <v>0</v>
      </c>
      <c r="S4" s="38">
        <v>0</v>
      </c>
      <c r="T4" s="38">
        <v>0</v>
      </c>
      <c r="U4" s="38">
        <v>0</v>
      </c>
      <c r="V4" s="38">
        <v>0</v>
      </c>
      <c r="W4" s="38">
        <v>0</v>
      </c>
      <c r="X4" s="38">
        <v>0</v>
      </c>
      <c r="Y4" s="38">
        <v>0</v>
      </c>
      <c r="Z4" s="38">
        <v>0</v>
      </c>
      <c r="AA4" s="38">
        <v>0</v>
      </c>
      <c r="AB4" s="38">
        <v>0</v>
      </c>
      <c r="AC4" s="38">
        <v>0</v>
      </c>
      <c r="AD4" s="38">
        <v>0</v>
      </c>
      <c r="AE4" s="38">
        <v>0</v>
      </c>
      <c r="AF4" s="38">
        <v>0</v>
      </c>
      <c r="AG4" s="38">
        <v>0</v>
      </c>
      <c r="AH4" s="38">
        <v>0</v>
      </c>
      <c r="AI4" s="38">
        <v>0</v>
      </c>
      <c r="AJ4" s="38">
        <v>0</v>
      </c>
      <c r="AK4" s="38">
        <v>0</v>
      </c>
      <c r="AL4" s="38">
        <v>0</v>
      </c>
      <c r="AM4" s="38">
        <v>0</v>
      </c>
      <c r="AN4" s="38">
        <v>0</v>
      </c>
      <c r="AO4" s="38">
        <v>0</v>
      </c>
      <c r="AP4" s="38">
        <v>0</v>
      </c>
      <c r="AQ4" s="38">
        <v>0</v>
      </c>
      <c r="AR4" s="38">
        <v>0</v>
      </c>
      <c r="AS4" s="38">
        <v>0</v>
      </c>
      <c r="AT4" s="38">
        <v>0</v>
      </c>
      <c r="AU4" s="38">
        <v>0</v>
      </c>
      <c r="AV4" s="38">
        <v>0</v>
      </c>
      <c r="AW4" s="38">
        <v>0</v>
      </c>
      <c r="AX4" s="38">
        <v>0</v>
      </c>
      <c r="AY4" s="38">
        <v>0</v>
      </c>
      <c r="AZ4" s="38">
        <v>0</v>
      </c>
      <c r="BA4" s="38">
        <v>0</v>
      </c>
      <c r="BB4" s="38">
        <v>0</v>
      </c>
      <c r="BC4" s="38">
        <v>0</v>
      </c>
      <c r="BD4" s="38">
        <v>0</v>
      </c>
      <c r="BE4" s="38">
        <v>0</v>
      </c>
      <c r="BF4" s="38">
        <v>0</v>
      </c>
      <c r="BG4" s="38">
        <v>0</v>
      </c>
      <c r="BH4" s="38">
        <v>0</v>
      </c>
      <c r="BI4" s="38">
        <v>0</v>
      </c>
      <c r="BJ4" s="38">
        <v>0</v>
      </c>
      <c r="BK4" s="38">
        <v>0</v>
      </c>
      <c r="BL4" s="38">
        <v>0</v>
      </c>
      <c r="BM4" s="38">
        <v>0</v>
      </c>
      <c r="BN4" s="38">
        <v>0</v>
      </c>
      <c r="BO4" s="38">
        <v>0</v>
      </c>
      <c r="BP4" s="38">
        <v>0</v>
      </c>
      <c r="BQ4" s="38">
        <v>0</v>
      </c>
      <c r="BR4" s="38">
        <v>0</v>
      </c>
      <c r="BS4" s="38">
        <v>0</v>
      </c>
      <c r="BT4" s="38">
        <v>0</v>
      </c>
      <c r="BU4" s="38">
        <v>0</v>
      </c>
      <c r="BV4" s="38">
        <v>0</v>
      </c>
      <c r="BW4" s="38">
        <v>0</v>
      </c>
      <c r="BX4" s="38">
        <v>0</v>
      </c>
      <c r="BY4" s="38">
        <v>0</v>
      </c>
      <c r="BZ4" s="38">
        <v>0</v>
      </c>
      <c r="CA4" s="38">
        <v>0</v>
      </c>
      <c r="CB4" s="38">
        <v>0</v>
      </c>
      <c r="CC4" s="38">
        <v>0</v>
      </c>
      <c r="CD4" s="38">
        <v>0</v>
      </c>
      <c r="CE4" s="38">
        <v>0</v>
      </c>
      <c r="CF4" s="38">
        <v>0</v>
      </c>
      <c r="CG4" s="38">
        <v>0</v>
      </c>
      <c r="CH4" s="38">
        <v>348</v>
      </c>
      <c r="CI4" s="38">
        <v>0</v>
      </c>
      <c r="CJ4" s="38">
        <v>0</v>
      </c>
      <c r="CK4" s="38">
        <v>0</v>
      </c>
      <c r="CL4" s="38">
        <v>0</v>
      </c>
      <c r="CM4" s="38">
        <v>0</v>
      </c>
      <c r="CN4" s="38">
        <v>0</v>
      </c>
      <c r="CO4" s="38">
        <v>0</v>
      </c>
      <c r="CP4" s="38">
        <v>0</v>
      </c>
      <c r="CQ4" s="38">
        <v>0</v>
      </c>
      <c r="CR4" s="38">
        <v>0</v>
      </c>
      <c r="CS4" s="38">
        <v>0</v>
      </c>
      <c r="CT4" s="38">
        <v>0</v>
      </c>
      <c r="CU4" s="38">
        <v>0</v>
      </c>
      <c r="CV4" s="38">
        <v>0</v>
      </c>
      <c r="CW4" s="38">
        <v>0</v>
      </c>
      <c r="CX4" s="38">
        <v>0</v>
      </c>
      <c r="CY4" s="38">
        <v>0</v>
      </c>
      <c r="CZ4" s="38">
        <v>0</v>
      </c>
      <c r="DA4" s="38">
        <v>0</v>
      </c>
      <c r="DB4" s="38">
        <v>0</v>
      </c>
      <c r="DC4" s="38">
        <v>0</v>
      </c>
      <c r="DD4" s="38">
        <v>0</v>
      </c>
      <c r="DE4" s="38">
        <v>0</v>
      </c>
      <c r="DF4" s="38">
        <v>0</v>
      </c>
      <c r="DG4" s="38">
        <v>0</v>
      </c>
      <c r="DH4" s="38">
        <v>0</v>
      </c>
      <c r="DI4" s="38">
        <v>0</v>
      </c>
      <c r="DJ4" s="38">
        <v>0</v>
      </c>
      <c r="DK4" s="38">
        <v>0</v>
      </c>
      <c r="DL4" s="38">
        <v>0</v>
      </c>
      <c r="DM4" s="38">
        <v>0</v>
      </c>
      <c r="DN4" s="38">
        <v>0</v>
      </c>
      <c r="DO4" s="38">
        <v>0</v>
      </c>
      <c r="DP4" s="38">
        <v>0</v>
      </c>
      <c r="DQ4" s="38">
        <v>0</v>
      </c>
      <c r="DR4" s="38">
        <v>0</v>
      </c>
      <c r="DS4" s="38">
        <v>0</v>
      </c>
      <c r="DT4" s="38">
        <v>0</v>
      </c>
      <c r="DU4" s="38">
        <v>0</v>
      </c>
      <c r="DV4" s="38">
        <v>0</v>
      </c>
      <c r="DW4" s="38">
        <v>0</v>
      </c>
      <c r="DX4" s="38">
        <v>0</v>
      </c>
      <c r="DY4" s="38">
        <v>0</v>
      </c>
      <c r="DZ4" s="38">
        <v>0</v>
      </c>
      <c r="EA4" s="38">
        <v>0</v>
      </c>
      <c r="EB4" s="38">
        <v>0</v>
      </c>
      <c r="EC4" s="38">
        <v>0</v>
      </c>
      <c r="ED4" s="38">
        <v>0</v>
      </c>
      <c r="EE4" s="38">
        <v>0</v>
      </c>
      <c r="EF4" s="38">
        <v>0</v>
      </c>
      <c r="EG4" s="38">
        <v>0</v>
      </c>
      <c r="EH4" s="38">
        <v>0</v>
      </c>
      <c r="EI4" s="38">
        <v>0</v>
      </c>
      <c r="EJ4" s="38">
        <v>0</v>
      </c>
      <c r="EK4" s="38">
        <v>270</v>
      </c>
      <c r="EL4" s="38">
        <v>0</v>
      </c>
      <c r="EM4" s="38">
        <v>0</v>
      </c>
      <c r="EN4" s="38">
        <v>0</v>
      </c>
      <c r="EO4" s="38">
        <v>0</v>
      </c>
      <c r="EP4" s="38">
        <v>0</v>
      </c>
      <c r="EQ4" s="38">
        <v>0</v>
      </c>
      <c r="ER4" s="38">
        <v>0</v>
      </c>
      <c r="ES4" s="38">
        <v>0</v>
      </c>
      <c r="ET4" s="38">
        <v>0</v>
      </c>
      <c r="EU4" s="38">
        <v>1045</v>
      </c>
      <c r="EV4" s="38">
        <v>500</v>
      </c>
      <c r="EW4" s="38">
        <v>10</v>
      </c>
      <c r="EX4" s="38">
        <v>0</v>
      </c>
      <c r="EY4" s="38">
        <v>0</v>
      </c>
      <c r="EZ4" s="38">
        <v>0</v>
      </c>
      <c r="FA4" s="38">
        <v>0</v>
      </c>
      <c r="FB4" s="38">
        <v>0</v>
      </c>
      <c r="FC4" s="38">
        <v>0</v>
      </c>
      <c r="FD4" s="38">
        <v>0</v>
      </c>
      <c r="FE4" s="38">
        <v>0</v>
      </c>
      <c r="FF4" s="38">
        <v>0</v>
      </c>
      <c r="FG4" s="38">
        <v>0</v>
      </c>
      <c r="FH4" s="38">
        <v>302</v>
      </c>
      <c r="FI4" s="38">
        <v>0</v>
      </c>
      <c r="FJ4" s="38">
        <v>0</v>
      </c>
      <c r="FK4" s="38">
        <v>0</v>
      </c>
      <c r="FL4" s="38">
        <v>0</v>
      </c>
      <c r="FM4" s="38">
        <v>0</v>
      </c>
      <c r="FN4" s="38">
        <v>0</v>
      </c>
      <c r="FO4" s="38">
        <v>0</v>
      </c>
      <c r="FP4" s="38">
        <v>0</v>
      </c>
      <c r="FQ4" s="38">
        <v>0</v>
      </c>
      <c r="FR4" s="38">
        <v>0</v>
      </c>
      <c r="FS4" s="38">
        <v>0</v>
      </c>
      <c r="FT4" s="38">
        <v>0</v>
      </c>
      <c r="FU4" s="38">
        <v>0</v>
      </c>
      <c r="FV4" s="38">
        <v>0</v>
      </c>
      <c r="FW4" s="38">
        <v>0</v>
      </c>
      <c r="FX4" s="38">
        <v>0</v>
      </c>
      <c r="FY4" s="38">
        <v>0</v>
      </c>
      <c r="FZ4" s="38">
        <v>0</v>
      </c>
      <c r="GA4" s="38">
        <v>0</v>
      </c>
      <c r="GB4" s="38">
        <v>0</v>
      </c>
      <c r="GC4" s="38">
        <v>0</v>
      </c>
      <c r="GD4" s="38">
        <v>0</v>
      </c>
      <c r="GE4" s="38">
        <v>0</v>
      </c>
      <c r="GF4" s="38">
        <v>0</v>
      </c>
      <c r="GG4" s="38">
        <v>0</v>
      </c>
      <c r="GH4" s="38">
        <v>0</v>
      </c>
      <c r="GI4" s="38">
        <v>0</v>
      </c>
      <c r="GJ4" s="38">
        <v>0</v>
      </c>
      <c r="GK4" s="38">
        <v>0</v>
      </c>
      <c r="GL4" s="38">
        <v>0</v>
      </c>
      <c r="GM4" s="38">
        <v>0</v>
      </c>
      <c r="GN4" s="38">
        <v>0</v>
      </c>
      <c r="GO4" s="38">
        <v>0</v>
      </c>
      <c r="GP4" s="38">
        <v>0</v>
      </c>
      <c r="GQ4" s="38">
        <v>0</v>
      </c>
      <c r="GR4" s="38">
        <v>0</v>
      </c>
      <c r="GS4" s="38"/>
      <c r="GT4" s="38"/>
      <c r="GU4" s="38"/>
      <c r="GV4" s="38"/>
    </row>
    <row r="5" spans="1:204">
      <c r="A5" s="34" t="s">
        <v>338</v>
      </c>
      <c r="B5" s="45">
        <v>0.65</v>
      </c>
      <c r="C5" s="63">
        <f t="shared" si="0"/>
        <v>2049</v>
      </c>
      <c r="D5" s="38">
        <v>0</v>
      </c>
      <c r="E5" s="38">
        <v>0</v>
      </c>
      <c r="F5" s="38">
        <v>0</v>
      </c>
      <c r="G5" s="38">
        <v>0</v>
      </c>
      <c r="H5" s="38">
        <v>0</v>
      </c>
      <c r="I5" s="38">
        <v>0</v>
      </c>
      <c r="J5" s="38">
        <v>0</v>
      </c>
      <c r="K5" s="38">
        <v>0</v>
      </c>
      <c r="L5" s="38">
        <v>0</v>
      </c>
      <c r="M5" s="38">
        <v>0</v>
      </c>
      <c r="N5" s="38">
        <v>0</v>
      </c>
      <c r="O5" s="38">
        <v>76</v>
      </c>
      <c r="P5" s="38">
        <v>0</v>
      </c>
      <c r="Q5" s="38">
        <v>0</v>
      </c>
      <c r="R5" s="38">
        <v>0</v>
      </c>
      <c r="S5" s="38">
        <v>531</v>
      </c>
      <c r="T5" s="38">
        <v>0</v>
      </c>
      <c r="U5" s="38">
        <v>0</v>
      </c>
      <c r="V5" s="38">
        <v>0</v>
      </c>
      <c r="W5" s="38">
        <v>0</v>
      </c>
      <c r="X5" s="38">
        <v>0</v>
      </c>
      <c r="Y5" s="38">
        <v>0</v>
      </c>
      <c r="Z5" s="38">
        <v>0</v>
      </c>
      <c r="AA5" s="38">
        <v>0</v>
      </c>
      <c r="AB5" s="38">
        <v>0</v>
      </c>
      <c r="AC5" s="38">
        <v>0</v>
      </c>
      <c r="AD5" s="38">
        <v>0</v>
      </c>
      <c r="AE5" s="38">
        <v>0</v>
      </c>
      <c r="AF5" s="38">
        <v>0</v>
      </c>
      <c r="AG5" s="38">
        <v>0</v>
      </c>
      <c r="AH5" s="38">
        <v>0</v>
      </c>
      <c r="AI5" s="38">
        <v>0</v>
      </c>
      <c r="AJ5" s="38">
        <v>0</v>
      </c>
      <c r="AK5" s="38">
        <v>0</v>
      </c>
      <c r="AL5" s="38">
        <v>0</v>
      </c>
      <c r="AM5" s="38">
        <v>0</v>
      </c>
      <c r="AN5" s="38">
        <v>0</v>
      </c>
      <c r="AO5" s="38">
        <v>0</v>
      </c>
      <c r="AP5" s="38">
        <v>0</v>
      </c>
      <c r="AQ5" s="38">
        <v>0</v>
      </c>
      <c r="AR5" s="38">
        <v>0</v>
      </c>
      <c r="AS5" s="38">
        <v>0</v>
      </c>
      <c r="AT5" s="38">
        <v>0</v>
      </c>
      <c r="AU5" s="38">
        <v>0</v>
      </c>
      <c r="AV5" s="38">
        <v>0</v>
      </c>
      <c r="AW5" s="38">
        <v>0</v>
      </c>
      <c r="AX5" s="38">
        <v>0</v>
      </c>
      <c r="AY5" s="38">
        <v>0</v>
      </c>
      <c r="AZ5" s="38">
        <v>0</v>
      </c>
      <c r="BA5" s="38">
        <v>815</v>
      </c>
      <c r="BB5" s="38">
        <v>0</v>
      </c>
      <c r="BC5" s="38">
        <v>171</v>
      </c>
      <c r="BD5" s="38">
        <v>0</v>
      </c>
      <c r="BE5" s="38">
        <v>0</v>
      </c>
      <c r="BF5" s="38">
        <v>0</v>
      </c>
      <c r="BG5" s="38">
        <v>0</v>
      </c>
      <c r="BH5" s="38">
        <v>0</v>
      </c>
      <c r="BI5" s="38">
        <v>0</v>
      </c>
      <c r="BJ5" s="38">
        <v>0</v>
      </c>
      <c r="BK5" s="38">
        <v>0</v>
      </c>
      <c r="BL5" s="38">
        <v>0</v>
      </c>
      <c r="BM5" s="38">
        <v>0</v>
      </c>
      <c r="BN5" s="38">
        <v>0</v>
      </c>
      <c r="BO5" s="38">
        <v>0</v>
      </c>
      <c r="BP5" s="38">
        <v>0</v>
      </c>
      <c r="BQ5" s="38">
        <v>0</v>
      </c>
      <c r="BR5" s="38">
        <v>0</v>
      </c>
      <c r="BS5" s="38">
        <v>0</v>
      </c>
      <c r="BT5" s="38">
        <v>0</v>
      </c>
      <c r="BU5" s="38">
        <v>0</v>
      </c>
      <c r="BV5" s="38">
        <v>0</v>
      </c>
      <c r="BW5" s="38">
        <v>0</v>
      </c>
      <c r="BX5" s="38">
        <v>0</v>
      </c>
      <c r="BY5" s="38">
        <v>0</v>
      </c>
      <c r="BZ5" s="38">
        <v>0</v>
      </c>
      <c r="CA5" s="38">
        <v>0</v>
      </c>
      <c r="CB5" s="38">
        <v>0</v>
      </c>
      <c r="CC5" s="38">
        <v>0</v>
      </c>
      <c r="CD5" s="38">
        <v>16</v>
      </c>
      <c r="CE5" s="38">
        <v>0</v>
      </c>
      <c r="CF5" s="38">
        <v>0</v>
      </c>
      <c r="CG5" s="38">
        <v>0</v>
      </c>
      <c r="CH5" s="38">
        <v>0</v>
      </c>
      <c r="CI5" s="38">
        <v>0</v>
      </c>
      <c r="CJ5" s="38">
        <v>0</v>
      </c>
      <c r="CK5" s="38">
        <v>0</v>
      </c>
      <c r="CL5" s="38">
        <v>0</v>
      </c>
      <c r="CM5" s="38">
        <v>0</v>
      </c>
      <c r="CN5" s="38">
        <v>0</v>
      </c>
      <c r="CO5" s="38">
        <v>0</v>
      </c>
      <c r="CP5" s="38">
        <v>0</v>
      </c>
      <c r="CQ5" s="38">
        <v>0</v>
      </c>
      <c r="CR5" s="38">
        <v>0</v>
      </c>
      <c r="CS5" s="38">
        <v>0</v>
      </c>
      <c r="CT5" s="38">
        <v>0</v>
      </c>
      <c r="CU5" s="38">
        <v>0</v>
      </c>
      <c r="CV5" s="38">
        <v>0</v>
      </c>
      <c r="CW5" s="38">
        <v>0</v>
      </c>
      <c r="CX5" s="38">
        <v>0</v>
      </c>
      <c r="CY5" s="38">
        <v>0</v>
      </c>
      <c r="CZ5" s="38">
        <v>0</v>
      </c>
      <c r="DA5" s="38">
        <v>0</v>
      </c>
      <c r="DB5" s="38">
        <v>0</v>
      </c>
      <c r="DC5" s="38">
        <v>0</v>
      </c>
      <c r="DD5" s="38">
        <v>0</v>
      </c>
      <c r="DE5" s="38">
        <v>10</v>
      </c>
      <c r="DF5" s="38">
        <v>0</v>
      </c>
      <c r="DG5" s="38">
        <v>0</v>
      </c>
      <c r="DH5" s="38">
        <v>0</v>
      </c>
      <c r="DI5" s="38">
        <v>0</v>
      </c>
      <c r="DJ5" s="38">
        <v>0</v>
      </c>
      <c r="DK5" s="38">
        <v>0</v>
      </c>
      <c r="DL5" s="38">
        <v>0</v>
      </c>
      <c r="DM5" s="38">
        <v>0</v>
      </c>
      <c r="DN5" s="38">
        <v>0</v>
      </c>
      <c r="DO5" s="38">
        <v>0</v>
      </c>
      <c r="DP5" s="38">
        <v>0</v>
      </c>
      <c r="DQ5" s="38">
        <v>0</v>
      </c>
      <c r="DR5" s="38">
        <v>0</v>
      </c>
      <c r="DS5" s="38">
        <v>0</v>
      </c>
      <c r="DT5" s="38">
        <v>0</v>
      </c>
      <c r="DU5" s="38">
        <v>0</v>
      </c>
      <c r="DV5" s="38">
        <v>0</v>
      </c>
      <c r="DW5" s="38">
        <v>0</v>
      </c>
      <c r="DX5" s="38">
        <v>2</v>
      </c>
      <c r="DY5" s="38">
        <v>0</v>
      </c>
      <c r="DZ5" s="38">
        <v>0</v>
      </c>
      <c r="EA5" s="38">
        <v>0</v>
      </c>
      <c r="EB5" s="38">
        <v>0</v>
      </c>
      <c r="EC5" s="38">
        <v>0</v>
      </c>
      <c r="ED5" s="38">
        <v>0</v>
      </c>
      <c r="EE5" s="38">
        <v>0</v>
      </c>
      <c r="EF5" s="38">
        <v>0</v>
      </c>
      <c r="EG5" s="38">
        <v>0</v>
      </c>
      <c r="EH5" s="38">
        <v>0</v>
      </c>
      <c r="EI5" s="38">
        <v>0</v>
      </c>
      <c r="EJ5" s="38">
        <v>0</v>
      </c>
      <c r="EK5" s="38">
        <v>0</v>
      </c>
      <c r="EL5" s="38">
        <v>0</v>
      </c>
      <c r="EM5" s="38">
        <v>0</v>
      </c>
      <c r="EN5" s="38">
        <v>0</v>
      </c>
      <c r="EO5" s="38">
        <v>0</v>
      </c>
      <c r="EP5" s="38">
        <v>0</v>
      </c>
      <c r="EQ5" s="38">
        <v>0</v>
      </c>
      <c r="ER5" s="38">
        <v>32</v>
      </c>
      <c r="ES5" s="38">
        <v>0</v>
      </c>
      <c r="ET5" s="38">
        <v>0</v>
      </c>
      <c r="EU5" s="38">
        <v>0</v>
      </c>
      <c r="EV5" s="38">
        <v>0</v>
      </c>
      <c r="EW5" s="38">
        <v>0</v>
      </c>
      <c r="EX5" s="38">
        <v>0</v>
      </c>
      <c r="EY5" s="38">
        <v>374</v>
      </c>
      <c r="EZ5" s="38">
        <v>0</v>
      </c>
      <c r="FA5" s="38">
        <v>0</v>
      </c>
      <c r="FB5" s="38">
        <v>0</v>
      </c>
      <c r="FC5" s="38">
        <v>0</v>
      </c>
      <c r="FD5" s="38">
        <v>0</v>
      </c>
      <c r="FE5" s="38">
        <v>0</v>
      </c>
      <c r="FF5" s="38">
        <v>0</v>
      </c>
      <c r="FG5" s="38">
        <v>0</v>
      </c>
      <c r="FH5" s="38">
        <v>0</v>
      </c>
      <c r="FI5" s="38">
        <v>0</v>
      </c>
      <c r="FJ5" s="38">
        <v>0</v>
      </c>
      <c r="FK5" s="38">
        <v>0</v>
      </c>
      <c r="FL5" s="38">
        <v>0</v>
      </c>
      <c r="FM5" s="38">
        <v>0</v>
      </c>
      <c r="FN5" s="38">
        <v>0</v>
      </c>
      <c r="FO5" s="38">
        <v>0</v>
      </c>
      <c r="FP5" s="38">
        <v>0</v>
      </c>
      <c r="FQ5" s="38">
        <v>0</v>
      </c>
      <c r="FR5" s="38">
        <v>0</v>
      </c>
      <c r="FS5" s="38">
        <v>0</v>
      </c>
      <c r="FT5" s="38">
        <v>0</v>
      </c>
      <c r="FU5" s="38">
        <v>0</v>
      </c>
      <c r="FV5" s="38">
        <v>0</v>
      </c>
      <c r="FW5" s="38">
        <v>0</v>
      </c>
      <c r="FX5" s="38">
        <v>0</v>
      </c>
      <c r="FY5" s="38">
        <v>0</v>
      </c>
      <c r="FZ5" s="38">
        <v>0</v>
      </c>
      <c r="GA5" s="38">
        <v>22</v>
      </c>
      <c r="GB5" s="38">
        <v>0</v>
      </c>
      <c r="GC5" s="38">
        <v>0</v>
      </c>
      <c r="GD5" s="38">
        <v>0</v>
      </c>
      <c r="GE5" s="38">
        <v>0</v>
      </c>
      <c r="GF5" s="38">
        <v>0</v>
      </c>
      <c r="GG5" s="38">
        <v>0</v>
      </c>
      <c r="GH5" s="38">
        <v>0</v>
      </c>
      <c r="GI5" s="38">
        <v>0</v>
      </c>
      <c r="GJ5" s="38">
        <v>0</v>
      </c>
      <c r="GK5" s="38">
        <v>0</v>
      </c>
      <c r="GL5" s="38">
        <v>0</v>
      </c>
      <c r="GM5" s="38">
        <v>0</v>
      </c>
      <c r="GN5" s="38">
        <v>0</v>
      </c>
      <c r="GO5" s="38">
        <v>0</v>
      </c>
      <c r="GP5" s="38">
        <v>0</v>
      </c>
      <c r="GQ5" s="38">
        <v>0</v>
      </c>
      <c r="GR5" s="38">
        <v>0</v>
      </c>
      <c r="GS5" s="38"/>
      <c r="GT5" s="38"/>
      <c r="GU5" s="38"/>
      <c r="GV5" s="38"/>
    </row>
    <row r="6" spans="1:204">
      <c r="A6" s="34" t="s">
        <v>339</v>
      </c>
      <c r="B6" s="45">
        <v>0.65</v>
      </c>
      <c r="C6" s="63">
        <f t="shared" si="0"/>
        <v>1209</v>
      </c>
      <c r="D6" s="38">
        <v>0</v>
      </c>
      <c r="E6" s="38">
        <v>0</v>
      </c>
      <c r="F6" s="38">
        <v>0</v>
      </c>
      <c r="G6" s="38">
        <v>0</v>
      </c>
      <c r="H6" s="38">
        <v>0</v>
      </c>
      <c r="I6" s="38">
        <v>0</v>
      </c>
      <c r="J6" s="38">
        <v>0</v>
      </c>
      <c r="K6" s="38">
        <v>0</v>
      </c>
      <c r="L6" s="38">
        <v>0</v>
      </c>
      <c r="M6" s="38">
        <v>0</v>
      </c>
      <c r="N6" s="38">
        <v>0</v>
      </c>
      <c r="O6" s="38">
        <v>0</v>
      </c>
      <c r="P6" s="38">
        <v>0</v>
      </c>
      <c r="Q6" s="38">
        <v>0</v>
      </c>
      <c r="R6" s="38">
        <v>0</v>
      </c>
      <c r="S6" s="38">
        <v>0</v>
      </c>
      <c r="T6" s="38">
        <v>0</v>
      </c>
      <c r="U6" s="38">
        <v>0</v>
      </c>
      <c r="V6" s="38">
        <v>0</v>
      </c>
      <c r="W6" s="38">
        <v>0</v>
      </c>
      <c r="X6" s="38">
        <v>0</v>
      </c>
      <c r="Y6" s="38">
        <v>0</v>
      </c>
      <c r="Z6" s="38">
        <v>0</v>
      </c>
      <c r="AA6" s="38">
        <v>0</v>
      </c>
      <c r="AB6" s="38">
        <v>0</v>
      </c>
      <c r="AC6" s="38">
        <v>0</v>
      </c>
      <c r="AD6" s="38">
        <v>0</v>
      </c>
      <c r="AE6" s="38">
        <v>0</v>
      </c>
      <c r="AF6" s="38">
        <v>0</v>
      </c>
      <c r="AG6" s="38">
        <v>0</v>
      </c>
      <c r="AH6" s="38">
        <v>0</v>
      </c>
      <c r="AI6" s="38">
        <v>0</v>
      </c>
      <c r="AJ6" s="38">
        <v>0</v>
      </c>
      <c r="AK6" s="38">
        <v>0</v>
      </c>
      <c r="AL6" s="38">
        <v>0</v>
      </c>
      <c r="AM6" s="38">
        <v>0</v>
      </c>
      <c r="AN6" s="38">
        <v>0</v>
      </c>
      <c r="AO6" s="38">
        <v>0</v>
      </c>
      <c r="AP6" s="38">
        <v>0</v>
      </c>
      <c r="AQ6" s="38">
        <v>0</v>
      </c>
      <c r="AR6" s="38">
        <v>0</v>
      </c>
      <c r="AS6" s="38">
        <v>0</v>
      </c>
      <c r="AT6" s="38">
        <v>0</v>
      </c>
      <c r="AU6" s="38">
        <v>0</v>
      </c>
      <c r="AV6" s="38">
        <v>0</v>
      </c>
      <c r="AW6" s="38">
        <v>0</v>
      </c>
      <c r="AX6" s="38">
        <v>0</v>
      </c>
      <c r="AY6" s="38">
        <v>0</v>
      </c>
      <c r="AZ6" s="38">
        <v>0</v>
      </c>
      <c r="BA6" s="38">
        <v>0</v>
      </c>
      <c r="BB6" s="38">
        <v>0</v>
      </c>
      <c r="BC6" s="38">
        <v>0</v>
      </c>
      <c r="BD6" s="38">
        <v>0</v>
      </c>
      <c r="BE6" s="38">
        <v>0</v>
      </c>
      <c r="BF6" s="38">
        <v>0</v>
      </c>
      <c r="BG6" s="38">
        <v>0</v>
      </c>
      <c r="BH6" s="38">
        <v>0</v>
      </c>
      <c r="BI6" s="38">
        <v>0</v>
      </c>
      <c r="BJ6" s="38">
        <v>0</v>
      </c>
      <c r="BK6" s="38">
        <v>0</v>
      </c>
      <c r="BL6" s="38">
        <v>0</v>
      </c>
      <c r="BM6" s="38">
        <v>0</v>
      </c>
      <c r="BN6" s="38">
        <v>0</v>
      </c>
      <c r="BO6" s="38">
        <v>0</v>
      </c>
      <c r="BP6" s="38">
        <v>0</v>
      </c>
      <c r="BQ6" s="38">
        <v>0</v>
      </c>
      <c r="BR6" s="38">
        <v>0</v>
      </c>
      <c r="BS6" s="38">
        <v>0</v>
      </c>
      <c r="BT6" s="38">
        <v>0</v>
      </c>
      <c r="BU6" s="38">
        <v>0</v>
      </c>
      <c r="BV6" s="38">
        <v>0</v>
      </c>
      <c r="BW6" s="38">
        <v>0</v>
      </c>
      <c r="BX6" s="38">
        <v>0</v>
      </c>
      <c r="BY6" s="38">
        <v>0</v>
      </c>
      <c r="BZ6" s="38">
        <v>0</v>
      </c>
      <c r="CA6" s="38">
        <v>0</v>
      </c>
      <c r="CB6" s="38">
        <v>0</v>
      </c>
      <c r="CC6" s="38">
        <v>0</v>
      </c>
      <c r="CD6" s="38">
        <v>0</v>
      </c>
      <c r="CE6" s="38">
        <v>0</v>
      </c>
      <c r="CF6" s="38">
        <v>0</v>
      </c>
      <c r="CG6" s="38">
        <v>0</v>
      </c>
      <c r="CH6" s="38">
        <v>16</v>
      </c>
      <c r="CI6" s="38">
        <v>0</v>
      </c>
      <c r="CJ6" s="38">
        <v>0</v>
      </c>
      <c r="CK6" s="38">
        <v>0</v>
      </c>
      <c r="CL6" s="38">
        <v>0</v>
      </c>
      <c r="CM6" s="38">
        <v>0</v>
      </c>
      <c r="CN6" s="38">
        <v>0</v>
      </c>
      <c r="CO6" s="38">
        <v>0</v>
      </c>
      <c r="CP6" s="38">
        <v>0</v>
      </c>
      <c r="CQ6" s="38">
        <v>0</v>
      </c>
      <c r="CR6" s="38">
        <v>0</v>
      </c>
      <c r="CS6" s="38">
        <v>0</v>
      </c>
      <c r="CT6" s="38">
        <v>0</v>
      </c>
      <c r="CU6" s="38">
        <v>0</v>
      </c>
      <c r="CV6" s="38">
        <v>0</v>
      </c>
      <c r="CW6" s="38">
        <v>0</v>
      </c>
      <c r="CX6" s="38">
        <v>0</v>
      </c>
      <c r="CY6" s="38">
        <v>0</v>
      </c>
      <c r="CZ6" s="38">
        <v>0</v>
      </c>
      <c r="DA6" s="38">
        <v>0</v>
      </c>
      <c r="DB6" s="38">
        <v>0</v>
      </c>
      <c r="DC6" s="38">
        <v>0</v>
      </c>
      <c r="DD6" s="38">
        <v>0</v>
      </c>
      <c r="DE6" s="38">
        <v>0</v>
      </c>
      <c r="DF6" s="38">
        <v>0</v>
      </c>
      <c r="DG6" s="38">
        <v>0</v>
      </c>
      <c r="DH6" s="38">
        <v>0</v>
      </c>
      <c r="DI6" s="38">
        <v>0</v>
      </c>
      <c r="DJ6" s="38">
        <v>0</v>
      </c>
      <c r="DK6" s="38">
        <v>0</v>
      </c>
      <c r="DL6" s="38">
        <v>0</v>
      </c>
      <c r="DM6" s="38">
        <v>0</v>
      </c>
      <c r="DN6" s="38">
        <v>0</v>
      </c>
      <c r="DO6" s="38">
        <v>0</v>
      </c>
      <c r="DP6" s="38">
        <v>0</v>
      </c>
      <c r="DQ6" s="38">
        <v>0</v>
      </c>
      <c r="DR6" s="38">
        <v>0</v>
      </c>
      <c r="DS6" s="38">
        <v>0</v>
      </c>
      <c r="DT6" s="38">
        <v>0</v>
      </c>
      <c r="DU6" s="38">
        <v>0</v>
      </c>
      <c r="DV6" s="38">
        <v>0</v>
      </c>
      <c r="DW6" s="38">
        <v>0</v>
      </c>
      <c r="DX6" s="38">
        <v>0</v>
      </c>
      <c r="DY6" s="38">
        <v>0</v>
      </c>
      <c r="DZ6" s="38">
        <v>0</v>
      </c>
      <c r="EA6" s="38">
        <v>0</v>
      </c>
      <c r="EB6" s="38">
        <v>0</v>
      </c>
      <c r="EC6" s="38">
        <v>0</v>
      </c>
      <c r="ED6" s="38">
        <v>0</v>
      </c>
      <c r="EE6" s="38">
        <v>0</v>
      </c>
      <c r="EF6" s="38">
        <v>0</v>
      </c>
      <c r="EG6" s="38">
        <v>0</v>
      </c>
      <c r="EH6" s="38">
        <v>0</v>
      </c>
      <c r="EI6" s="38">
        <v>0</v>
      </c>
      <c r="EJ6" s="38">
        <v>0</v>
      </c>
      <c r="EK6" s="38">
        <v>0</v>
      </c>
      <c r="EL6" s="38">
        <v>0</v>
      </c>
      <c r="EM6" s="38">
        <v>0</v>
      </c>
      <c r="EN6" s="38">
        <v>0</v>
      </c>
      <c r="EO6" s="38">
        <v>0</v>
      </c>
      <c r="EP6" s="38">
        <v>0</v>
      </c>
      <c r="EQ6" s="38">
        <v>0</v>
      </c>
      <c r="ER6" s="38">
        <v>0</v>
      </c>
      <c r="ES6" s="38">
        <v>0</v>
      </c>
      <c r="ET6" s="38">
        <v>0</v>
      </c>
      <c r="EU6" s="38">
        <v>0</v>
      </c>
      <c r="EV6" s="38">
        <v>0</v>
      </c>
      <c r="EW6" s="38">
        <v>0</v>
      </c>
      <c r="EX6" s="38">
        <v>0</v>
      </c>
      <c r="EY6" s="38">
        <v>0</v>
      </c>
      <c r="EZ6" s="38">
        <v>0</v>
      </c>
      <c r="FA6" s="38">
        <v>0</v>
      </c>
      <c r="FB6" s="38">
        <v>0</v>
      </c>
      <c r="FC6" s="38">
        <v>0</v>
      </c>
      <c r="FD6" s="38">
        <v>0</v>
      </c>
      <c r="FE6" s="38">
        <v>0</v>
      </c>
      <c r="FF6" s="38">
        <v>0</v>
      </c>
      <c r="FG6" s="38">
        <v>0</v>
      </c>
      <c r="FH6" s="38">
        <v>0</v>
      </c>
      <c r="FI6" s="38">
        <v>0</v>
      </c>
      <c r="FJ6" s="38">
        <v>0</v>
      </c>
      <c r="FK6" s="38">
        <v>0</v>
      </c>
      <c r="FL6" s="38">
        <v>0</v>
      </c>
      <c r="FM6" s="38">
        <v>0</v>
      </c>
      <c r="FN6" s="38">
        <v>0</v>
      </c>
      <c r="FO6" s="38">
        <v>0</v>
      </c>
      <c r="FP6" s="38">
        <v>0</v>
      </c>
      <c r="FQ6" s="38">
        <v>0</v>
      </c>
      <c r="FR6" s="38">
        <v>0</v>
      </c>
      <c r="FS6" s="38">
        <v>0</v>
      </c>
      <c r="FT6" s="38">
        <v>0</v>
      </c>
      <c r="FU6" s="38">
        <v>0</v>
      </c>
      <c r="FV6" s="38">
        <v>0</v>
      </c>
      <c r="FW6" s="38">
        <v>0</v>
      </c>
      <c r="FX6" s="38">
        <v>0</v>
      </c>
      <c r="FY6" s="38">
        <v>0</v>
      </c>
      <c r="FZ6" s="38">
        <v>0</v>
      </c>
      <c r="GA6" s="38">
        <v>0</v>
      </c>
      <c r="GB6" s="38">
        <v>0</v>
      </c>
      <c r="GC6" s="38">
        <v>0</v>
      </c>
      <c r="GD6" s="38">
        <v>0</v>
      </c>
      <c r="GE6" s="38">
        <v>0</v>
      </c>
      <c r="GF6" s="38">
        <v>0</v>
      </c>
      <c r="GG6" s="38">
        <v>0</v>
      </c>
      <c r="GH6" s="38">
        <v>0</v>
      </c>
      <c r="GI6" s="38">
        <v>0</v>
      </c>
      <c r="GJ6" s="38">
        <v>0</v>
      </c>
      <c r="GK6" s="38">
        <v>753</v>
      </c>
      <c r="GL6" s="38">
        <v>0</v>
      </c>
      <c r="GM6" s="38">
        <v>0</v>
      </c>
      <c r="GN6" s="38">
        <v>0</v>
      </c>
      <c r="GO6" s="38">
        <v>440</v>
      </c>
      <c r="GP6" s="38">
        <v>0</v>
      </c>
      <c r="GQ6" s="38">
        <v>0</v>
      </c>
      <c r="GR6" s="38">
        <v>0</v>
      </c>
      <c r="GS6" s="38"/>
      <c r="GT6" s="38"/>
      <c r="GU6" s="38"/>
      <c r="GV6" s="38"/>
    </row>
    <row r="7" spans="1:204">
      <c r="A7" s="34" t="s">
        <v>340</v>
      </c>
      <c r="B7" s="45">
        <v>0.35</v>
      </c>
      <c r="C7" s="63">
        <f t="shared" si="0"/>
        <v>3509</v>
      </c>
      <c r="D7" s="38">
        <v>0</v>
      </c>
      <c r="E7" s="38">
        <v>50</v>
      </c>
      <c r="F7" s="38">
        <v>0</v>
      </c>
      <c r="G7" s="38">
        <v>0</v>
      </c>
      <c r="H7" s="38">
        <v>0</v>
      </c>
      <c r="I7" s="38">
        <v>0</v>
      </c>
      <c r="J7" s="38">
        <v>0</v>
      </c>
      <c r="K7" s="38">
        <v>0</v>
      </c>
      <c r="L7" s="38">
        <v>0</v>
      </c>
      <c r="M7" s="38">
        <v>0</v>
      </c>
      <c r="N7" s="38">
        <v>12</v>
      </c>
      <c r="O7" s="38">
        <v>0</v>
      </c>
      <c r="P7" s="38">
        <v>0</v>
      </c>
      <c r="Q7" s="38">
        <v>0</v>
      </c>
      <c r="R7" s="38">
        <v>0</v>
      </c>
      <c r="S7" s="38">
        <v>0</v>
      </c>
      <c r="T7" s="38">
        <v>0</v>
      </c>
      <c r="U7" s="38">
        <v>0</v>
      </c>
      <c r="V7" s="38">
        <v>0</v>
      </c>
      <c r="W7" s="38">
        <v>0</v>
      </c>
      <c r="X7" s="38">
        <v>0</v>
      </c>
      <c r="Y7" s="38">
        <v>0</v>
      </c>
      <c r="Z7" s="38">
        <v>0</v>
      </c>
      <c r="AA7" s="38">
        <v>0</v>
      </c>
      <c r="AB7" s="38">
        <v>0</v>
      </c>
      <c r="AC7" s="38">
        <v>0</v>
      </c>
      <c r="AD7" s="38">
        <v>0</v>
      </c>
      <c r="AE7" s="38">
        <v>0</v>
      </c>
      <c r="AF7" s="38">
        <v>0</v>
      </c>
      <c r="AG7" s="38">
        <v>0</v>
      </c>
      <c r="AH7" s="38">
        <v>0</v>
      </c>
      <c r="AI7" s="38">
        <v>0</v>
      </c>
      <c r="AJ7" s="38">
        <v>0</v>
      </c>
      <c r="AK7" s="38">
        <v>0</v>
      </c>
      <c r="AL7" s="38">
        <v>0</v>
      </c>
      <c r="AM7" s="38">
        <v>0</v>
      </c>
      <c r="AN7" s="38">
        <v>0</v>
      </c>
      <c r="AO7" s="38">
        <v>0</v>
      </c>
      <c r="AP7" s="38">
        <v>0</v>
      </c>
      <c r="AQ7" s="38">
        <v>0</v>
      </c>
      <c r="AR7" s="38">
        <v>0</v>
      </c>
      <c r="AS7" s="38">
        <v>0</v>
      </c>
      <c r="AT7" s="38">
        <v>0</v>
      </c>
      <c r="AU7" s="38">
        <v>0</v>
      </c>
      <c r="AV7" s="38">
        <v>0</v>
      </c>
      <c r="AW7" s="38">
        <v>0</v>
      </c>
      <c r="AX7" s="38">
        <v>0</v>
      </c>
      <c r="AY7" s="38">
        <v>0</v>
      </c>
      <c r="AZ7" s="38">
        <v>0</v>
      </c>
      <c r="BA7" s="38">
        <v>0</v>
      </c>
      <c r="BB7" s="38">
        <v>0</v>
      </c>
      <c r="BC7" s="38">
        <v>0</v>
      </c>
      <c r="BD7" s="38">
        <v>1136</v>
      </c>
      <c r="BE7" s="38">
        <v>196</v>
      </c>
      <c r="BF7" s="38">
        <v>0</v>
      </c>
      <c r="BG7" s="38">
        <v>0</v>
      </c>
      <c r="BH7" s="38">
        <v>0</v>
      </c>
      <c r="BI7" s="38">
        <v>12</v>
      </c>
      <c r="BJ7" s="38">
        <v>0</v>
      </c>
      <c r="BK7" s="38">
        <v>0</v>
      </c>
      <c r="BL7" s="38">
        <v>0</v>
      </c>
      <c r="BM7" s="38">
        <v>0</v>
      </c>
      <c r="BN7" s="38">
        <v>0</v>
      </c>
      <c r="BO7" s="38">
        <v>0</v>
      </c>
      <c r="BP7" s="38">
        <v>0</v>
      </c>
      <c r="BQ7" s="38">
        <v>0</v>
      </c>
      <c r="BR7" s="38">
        <v>0</v>
      </c>
      <c r="BS7" s="38">
        <v>0</v>
      </c>
      <c r="BT7" s="38">
        <v>0</v>
      </c>
      <c r="BU7" s="38">
        <v>0</v>
      </c>
      <c r="BV7" s="38">
        <v>0</v>
      </c>
      <c r="BW7" s="38">
        <v>0</v>
      </c>
      <c r="BX7" s="38">
        <v>0</v>
      </c>
      <c r="BY7" s="38">
        <v>0</v>
      </c>
      <c r="BZ7" s="38">
        <v>0</v>
      </c>
      <c r="CA7" s="38">
        <v>0</v>
      </c>
      <c r="CB7" s="38">
        <v>0</v>
      </c>
      <c r="CC7" s="38">
        <v>0</v>
      </c>
      <c r="CD7" s="38">
        <v>812</v>
      </c>
      <c r="CE7" s="38">
        <v>0</v>
      </c>
      <c r="CF7" s="38">
        <v>0</v>
      </c>
      <c r="CG7" s="38">
        <v>0</v>
      </c>
      <c r="CH7" s="38">
        <v>0</v>
      </c>
      <c r="CI7" s="38">
        <v>0</v>
      </c>
      <c r="CJ7" s="38">
        <v>0</v>
      </c>
      <c r="CK7" s="38">
        <v>0</v>
      </c>
      <c r="CL7" s="38">
        <v>0</v>
      </c>
      <c r="CM7" s="38">
        <v>0</v>
      </c>
      <c r="CN7" s="38">
        <v>0</v>
      </c>
      <c r="CO7" s="38">
        <v>0</v>
      </c>
      <c r="CP7" s="38">
        <v>0</v>
      </c>
      <c r="CQ7" s="38">
        <v>0</v>
      </c>
      <c r="CR7" s="38">
        <v>0</v>
      </c>
      <c r="CS7" s="38">
        <v>0</v>
      </c>
      <c r="CT7" s="38">
        <v>279</v>
      </c>
      <c r="CU7" s="38">
        <v>0</v>
      </c>
      <c r="CV7" s="38">
        <v>0</v>
      </c>
      <c r="CW7" s="38">
        <v>0</v>
      </c>
      <c r="CX7" s="38">
        <v>0</v>
      </c>
      <c r="CY7" s="38">
        <v>0</v>
      </c>
      <c r="CZ7" s="38">
        <v>0</v>
      </c>
      <c r="DA7" s="38">
        <v>0</v>
      </c>
      <c r="DB7" s="38">
        <v>0</v>
      </c>
      <c r="DC7" s="38">
        <v>0</v>
      </c>
      <c r="DD7" s="38">
        <v>0</v>
      </c>
      <c r="DE7" s="38">
        <v>0</v>
      </c>
      <c r="DF7" s="38">
        <v>0</v>
      </c>
      <c r="DG7" s="38">
        <v>0</v>
      </c>
      <c r="DH7" s="38">
        <v>0</v>
      </c>
      <c r="DI7" s="38">
        <v>0</v>
      </c>
      <c r="DJ7" s="38">
        <v>0</v>
      </c>
      <c r="DK7" s="38">
        <v>0</v>
      </c>
      <c r="DL7" s="38">
        <v>0</v>
      </c>
      <c r="DM7" s="38">
        <v>0</v>
      </c>
      <c r="DN7" s="38">
        <v>99</v>
      </c>
      <c r="DO7" s="38">
        <v>0</v>
      </c>
      <c r="DP7" s="38">
        <v>0</v>
      </c>
      <c r="DQ7" s="38">
        <v>0</v>
      </c>
      <c r="DR7" s="38">
        <v>0</v>
      </c>
      <c r="DS7" s="38">
        <v>0</v>
      </c>
      <c r="DT7" s="38">
        <v>0</v>
      </c>
      <c r="DU7" s="38">
        <v>0</v>
      </c>
      <c r="DV7" s="38">
        <v>0</v>
      </c>
      <c r="DW7" s="38">
        <v>0</v>
      </c>
      <c r="DX7" s="38">
        <v>3</v>
      </c>
      <c r="DY7" s="38">
        <v>0</v>
      </c>
      <c r="DZ7" s="38">
        <v>0</v>
      </c>
      <c r="EA7" s="38">
        <v>0</v>
      </c>
      <c r="EB7" s="38">
        <v>35</v>
      </c>
      <c r="EC7" s="38">
        <v>0</v>
      </c>
      <c r="ED7" s="38">
        <v>0</v>
      </c>
      <c r="EE7" s="38">
        <v>0</v>
      </c>
      <c r="EF7" s="38">
        <v>0</v>
      </c>
      <c r="EG7" s="38">
        <v>0</v>
      </c>
      <c r="EH7" s="38">
        <v>0</v>
      </c>
      <c r="EI7" s="38">
        <v>0</v>
      </c>
      <c r="EJ7" s="38">
        <v>0</v>
      </c>
      <c r="EK7" s="38">
        <v>224</v>
      </c>
      <c r="EL7" s="38">
        <v>0</v>
      </c>
      <c r="EM7" s="38">
        <v>0</v>
      </c>
      <c r="EN7" s="38">
        <v>0</v>
      </c>
      <c r="EO7" s="38">
        <v>0</v>
      </c>
      <c r="EP7" s="38">
        <v>0</v>
      </c>
      <c r="EQ7" s="38">
        <v>0</v>
      </c>
      <c r="ER7" s="38">
        <v>0</v>
      </c>
      <c r="ES7" s="38">
        <v>0</v>
      </c>
      <c r="ET7" s="38">
        <v>0</v>
      </c>
      <c r="EU7" s="38">
        <v>0</v>
      </c>
      <c r="EV7" s="38">
        <v>0</v>
      </c>
      <c r="EW7" s="38">
        <v>0</v>
      </c>
      <c r="EX7" s="38">
        <v>0</v>
      </c>
      <c r="EY7" s="38">
        <v>0</v>
      </c>
      <c r="EZ7" s="38">
        <v>0</v>
      </c>
      <c r="FA7" s="38">
        <v>0</v>
      </c>
      <c r="FB7" s="38">
        <v>331</v>
      </c>
      <c r="FC7" s="38">
        <v>0</v>
      </c>
      <c r="FD7" s="38">
        <v>0</v>
      </c>
      <c r="FE7" s="38">
        <v>0</v>
      </c>
      <c r="FF7" s="38">
        <v>0</v>
      </c>
      <c r="FG7" s="38">
        <v>0</v>
      </c>
      <c r="FH7" s="38">
        <v>0</v>
      </c>
      <c r="FI7" s="38">
        <v>0</v>
      </c>
      <c r="FJ7" s="38">
        <v>0</v>
      </c>
      <c r="FK7" s="38">
        <v>0</v>
      </c>
      <c r="FL7" s="38">
        <v>0</v>
      </c>
      <c r="FM7" s="38">
        <v>0</v>
      </c>
      <c r="FN7" s="38">
        <v>0</v>
      </c>
      <c r="FO7" s="38">
        <v>0</v>
      </c>
      <c r="FP7" s="38">
        <v>0</v>
      </c>
      <c r="FQ7" s="38">
        <v>0</v>
      </c>
      <c r="FR7" s="38">
        <v>0</v>
      </c>
      <c r="FS7" s="38">
        <v>258</v>
      </c>
      <c r="FT7" s="38">
        <v>0</v>
      </c>
      <c r="FU7" s="38">
        <v>0</v>
      </c>
      <c r="FV7" s="38">
        <v>0</v>
      </c>
      <c r="FW7" s="38">
        <v>0</v>
      </c>
      <c r="FX7" s="38">
        <v>0</v>
      </c>
      <c r="FY7" s="38">
        <v>0</v>
      </c>
      <c r="FZ7" s="38">
        <v>0</v>
      </c>
      <c r="GA7" s="38">
        <v>0</v>
      </c>
      <c r="GB7" s="38">
        <v>0</v>
      </c>
      <c r="GC7" s="38">
        <v>0</v>
      </c>
      <c r="GD7" s="38">
        <v>0</v>
      </c>
      <c r="GE7" s="38">
        <v>0</v>
      </c>
      <c r="GF7" s="38">
        <v>0</v>
      </c>
      <c r="GG7" s="38">
        <v>0</v>
      </c>
      <c r="GH7" s="38">
        <v>0</v>
      </c>
      <c r="GI7" s="38">
        <v>62</v>
      </c>
      <c r="GJ7" s="38">
        <v>0</v>
      </c>
      <c r="GK7" s="38">
        <v>0</v>
      </c>
      <c r="GL7" s="38">
        <v>0</v>
      </c>
      <c r="GM7" s="38">
        <v>0</v>
      </c>
      <c r="GN7" s="38">
        <v>0</v>
      </c>
      <c r="GO7" s="38">
        <v>0</v>
      </c>
      <c r="GP7" s="38">
        <v>0</v>
      </c>
      <c r="GQ7" s="38">
        <v>0</v>
      </c>
      <c r="GR7" s="38">
        <v>0</v>
      </c>
      <c r="GS7" s="38"/>
      <c r="GT7" s="38"/>
      <c r="GU7" s="38"/>
      <c r="GV7" s="38"/>
    </row>
    <row r="8" spans="1:204">
      <c r="A8" s="34" t="s">
        <v>341</v>
      </c>
      <c r="B8" s="45">
        <v>0.65</v>
      </c>
      <c r="C8" s="63">
        <f t="shared" si="0"/>
        <v>6345</v>
      </c>
      <c r="D8" s="38">
        <v>0</v>
      </c>
      <c r="E8" s="38">
        <v>0</v>
      </c>
      <c r="F8" s="38">
        <v>0</v>
      </c>
      <c r="G8" s="38">
        <v>0</v>
      </c>
      <c r="H8" s="38">
        <v>0</v>
      </c>
      <c r="I8" s="38">
        <v>0</v>
      </c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38">
        <v>0</v>
      </c>
      <c r="R8" s="38">
        <v>0</v>
      </c>
      <c r="S8" s="38">
        <v>0</v>
      </c>
      <c r="T8" s="38">
        <v>0</v>
      </c>
      <c r="U8" s="38">
        <v>19</v>
      </c>
      <c r="V8" s="38">
        <v>0</v>
      </c>
      <c r="W8" s="38">
        <v>0</v>
      </c>
      <c r="X8" s="38">
        <v>0</v>
      </c>
      <c r="Y8" s="38">
        <v>0</v>
      </c>
      <c r="Z8" s="38">
        <v>797</v>
      </c>
      <c r="AA8" s="38">
        <v>0</v>
      </c>
      <c r="AB8" s="38">
        <v>0</v>
      </c>
      <c r="AC8" s="38">
        <v>0</v>
      </c>
      <c r="AD8" s="38">
        <v>0</v>
      </c>
      <c r="AE8" s="38">
        <v>0</v>
      </c>
      <c r="AF8" s="38">
        <v>0</v>
      </c>
      <c r="AG8" s="38">
        <v>0</v>
      </c>
      <c r="AH8" s="38">
        <v>0</v>
      </c>
      <c r="AI8" s="38">
        <v>0</v>
      </c>
      <c r="AJ8" s="38">
        <v>0</v>
      </c>
      <c r="AK8" s="38">
        <v>0</v>
      </c>
      <c r="AL8" s="38">
        <v>0</v>
      </c>
      <c r="AM8" s="38">
        <v>0</v>
      </c>
      <c r="AN8" s="38">
        <v>0</v>
      </c>
      <c r="AO8" s="38">
        <v>0</v>
      </c>
      <c r="AP8" s="38">
        <v>0</v>
      </c>
      <c r="AQ8" s="38">
        <v>0</v>
      </c>
      <c r="AR8" s="38">
        <v>0</v>
      </c>
      <c r="AS8" s="38">
        <v>0</v>
      </c>
      <c r="AT8" s="38">
        <v>0</v>
      </c>
      <c r="AU8" s="38">
        <v>0</v>
      </c>
      <c r="AV8" s="38">
        <v>67</v>
      </c>
      <c r="AW8" s="38">
        <v>703</v>
      </c>
      <c r="AX8" s="38">
        <v>0</v>
      </c>
      <c r="AY8" s="38">
        <v>0</v>
      </c>
      <c r="AZ8" s="38">
        <v>0</v>
      </c>
      <c r="BA8" s="38">
        <v>412</v>
      </c>
      <c r="BB8" s="38">
        <v>0</v>
      </c>
      <c r="BC8" s="38">
        <v>0</v>
      </c>
      <c r="BD8" s="38">
        <v>0</v>
      </c>
      <c r="BE8" s="38">
        <v>0</v>
      </c>
      <c r="BF8" s="38">
        <v>0</v>
      </c>
      <c r="BG8" s="38">
        <v>0</v>
      </c>
      <c r="BH8" s="38">
        <v>93</v>
      </c>
      <c r="BI8" s="38">
        <v>0</v>
      </c>
      <c r="BJ8" s="38">
        <v>0</v>
      </c>
      <c r="BK8" s="38">
        <v>0</v>
      </c>
      <c r="BL8" s="38">
        <v>0</v>
      </c>
      <c r="BM8" s="38">
        <v>0</v>
      </c>
      <c r="BN8" s="38">
        <v>394</v>
      </c>
      <c r="BO8" s="38">
        <v>0</v>
      </c>
      <c r="BP8" s="38">
        <v>0</v>
      </c>
      <c r="BQ8" s="38">
        <v>0</v>
      </c>
      <c r="BR8" s="38">
        <v>0</v>
      </c>
      <c r="BS8" s="38">
        <v>76</v>
      </c>
      <c r="BT8" s="38">
        <v>0</v>
      </c>
      <c r="BU8" s="38">
        <v>0</v>
      </c>
      <c r="BV8" s="38">
        <v>0</v>
      </c>
      <c r="BW8" s="38">
        <v>0</v>
      </c>
      <c r="BX8" s="38">
        <v>0</v>
      </c>
      <c r="BY8" s="38">
        <v>0</v>
      </c>
      <c r="BZ8" s="38">
        <v>0</v>
      </c>
      <c r="CA8" s="38">
        <v>0</v>
      </c>
      <c r="CB8" s="38">
        <v>0</v>
      </c>
      <c r="CC8" s="38">
        <v>0</v>
      </c>
      <c r="CD8" s="38">
        <v>0</v>
      </c>
      <c r="CE8" s="38">
        <v>0</v>
      </c>
      <c r="CF8" s="38">
        <v>0</v>
      </c>
      <c r="CG8" s="38">
        <v>0</v>
      </c>
      <c r="CH8" s="38">
        <v>0</v>
      </c>
      <c r="CI8" s="38">
        <v>0</v>
      </c>
      <c r="CJ8" s="38">
        <v>0</v>
      </c>
      <c r="CK8" s="38">
        <v>0</v>
      </c>
      <c r="CL8" s="38">
        <v>0</v>
      </c>
      <c r="CM8" s="38">
        <v>0</v>
      </c>
      <c r="CN8" s="38">
        <v>0</v>
      </c>
      <c r="CO8" s="38">
        <v>0</v>
      </c>
      <c r="CP8" s="38">
        <v>0</v>
      </c>
      <c r="CQ8" s="38">
        <v>0</v>
      </c>
      <c r="CR8" s="38">
        <v>0</v>
      </c>
      <c r="CS8" s="38">
        <v>106</v>
      </c>
      <c r="CT8" s="38">
        <v>0</v>
      </c>
      <c r="CU8" s="38">
        <v>0</v>
      </c>
      <c r="CV8" s="38">
        <v>0</v>
      </c>
      <c r="CW8" s="38">
        <v>0</v>
      </c>
      <c r="CX8" s="38">
        <v>0</v>
      </c>
      <c r="CY8" s="38">
        <v>105</v>
      </c>
      <c r="CZ8" s="38">
        <v>358</v>
      </c>
      <c r="DA8" s="38">
        <v>0</v>
      </c>
      <c r="DB8" s="38">
        <v>0</v>
      </c>
      <c r="DC8" s="38">
        <v>0</v>
      </c>
      <c r="DD8" s="38">
        <v>485</v>
      </c>
      <c r="DE8" s="38">
        <v>0</v>
      </c>
      <c r="DF8" s="38">
        <v>0</v>
      </c>
      <c r="DG8" s="38">
        <v>0</v>
      </c>
      <c r="DH8" s="38">
        <v>0</v>
      </c>
      <c r="DI8" s="38">
        <v>0</v>
      </c>
      <c r="DJ8" s="38">
        <v>0</v>
      </c>
      <c r="DK8" s="38">
        <v>0</v>
      </c>
      <c r="DL8" s="38">
        <v>240</v>
      </c>
      <c r="DM8" s="38">
        <v>0</v>
      </c>
      <c r="DN8" s="38">
        <v>0</v>
      </c>
      <c r="DO8" s="38">
        <v>0</v>
      </c>
      <c r="DP8" s="38">
        <v>0</v>
      </c>
      <c r="DQ8" s="38">
        <v>0</v>
      </c>
      <c r="DR8" s="38">
        <v>0</v>
      </c>
      <c r="DS8" s="38">
        <v>459</v>
      </c>
      <c r="DT8" s="38">
        <v>0</v>
      </c>
      <c r="DU8" s="38">
        <v>344</v>
      </c>
      <c r="DV8" s="38">
        <v>0</v>
      </c>
      <c r="DW8" s="38">
        <v>0</v>
      </c>
      <c r="DX8" s="38">
        <v>1</v>
      </c>
      <c r="DY8" s="38">
        <v>0</v>
      </c>
      <c r="DZ8" s="38">
        <v>36</v>
      </c>
      <c r="EA8" s="38">
        <v>0</v>
      </c>
      <c r="EB8" s="38">
        <v>649</v>
      </c>
      <c r="EC8" s="38">
        <v>0</v>
      </c>
      <c r="ED8" s="38">
        <v>0</v>
      </c>
      <c r="EE8" s="38">
        <v>0</v>
      </c>
      <c r="EF8" s="38">
        <v>0</v>
      </c>
      <c r="EG8" s="38">
        <v>0</v>
      </c>
      <c r="EH8" s="38">
        <v>156</v>
      </c>
      <c r="EI8" s="38">
        <v>0</v>
      </c>
      <c r="EJ8" s="38">
        <v>0</v>
      </c>
      <c r="EK8" s="38">
        <v>0</v>
      </c>
      <c r="EL8" s="38">
        <v>0</v>
      </c>
      <c r="EM8" s="38">
        <v>0</v>
      </c>
      <c r="EN8" s="38">
        <v>0</v>
      </c>
      <c r="EO8" s="38">
        <v>0</v>
      </c>
      <c r="EP8" s="38">
        <v>0</v>
      </c>
      <c r="EQ8" s="38">
        <v>0</v>
      </c>
      <c r="ER8" s="38">
        <v>148</v>
      </c>
      <c r="ES8" s="38">
        <v>0</v>
      </c>
      <c r="ET8" s="38">
        <v>0</v>
      </c>
      <c r="EU8" s="38">
        <v>0</v>
      </c>
      <c r="EV8" s="38">
        <v>0</v>
      </c>
      <c r="EW8" s="38">
        <v>0</v>
      </c>
      <c r="EX8" s="38">
        <v>0</v>
      </c>
      <c r="EY8" s="38">
        <v>0</v>
      </c>
      <c r="EZ8" s="38">
        <v>0</v>
      </c>
      <c r="FA8" s="38">
        <v>0</v>
      </c>
      <c r="FB8" s="38">
        <v>0</v>
      </c>
      <c r="FC8" s="38">
        <v>0</v>
      </c>
      <c r="FD8" s="38">
        <v>98</v>
      </c>
      <c r="FE8" s="38">
        <v>0</v>
      </c>
      <c r="FF8" s="38">
        <v>104</v>
      </c>
      <c r="FG8" s="38">
        <v>0</v>
      </c>
      <c r="FH8" s="38">
        <v>0</v>
      </c>
      <c r="FI8" s="38">
        <v>0</v>
      </c>
      <c r="FJ8" s="38">
        <v>0</v>
      </c>
      <c r="FK8" s="38">
        <v>0</v>
      </c>
      <c r="FL8" s="38">
        <v>0</v>
      </c>
      <c r="FM8" s="38">
        <v>0</v>
      </c>
      <c r="FN8" s="38">
        <v>0</v>
      </c>
      <c r="FO8" s="38">
        <v>0</v>
      </c>
      <c r="FP8" s="38">
        <v>0</v>
      </c>
      <c r="FQ8" s="38">
        <v>0</v>
      </c>
      <c r="FR8" s="38">
        <v>0</v>
      </c>
      <c r="FS8" s="38">
        <v>0</v>
      </c>
      <c r="FT8" s="38">
        <v>0</v>
      </c>
      <c r="FU8" s="38">
        <v>0</v>
      </c>
      <c r="FV8" s="38">
        <v>0</v>
      </c>
      <c r="FW8" s="38">
        <v>0</v>
      </c>
      <c r="FX8" s="38">
        <v>0</v>
      </c>
      <c r="FY8" s="38">
        <v>0</v>
      </c>
      <c r="FZ8" s="38">
        <v>0</v>
      </c>
      <c r="GA8" s="38">
        <v>0</v>
      </c>
      <c r="GB8" s="38">
        <v>0</v>
      </c>
      <c r="GC8" s="38">
        <v>0</v>
      </c>
      <c r="GD8" s="38">
        <v>0</v>
      </c>
      <c r="GE8" s="38">
        <v>0</v>
      </c>
      <c r="GF8" s="38">
        <v>495</v>
      </c>
      <c r="GG8" s="38">
        <v>0</v>
      </c>
      <c r="GH8" s="38">
        <v>0</v>
      </c>
      <c r="GI8" s="38">
        <v>0</v>
      </c>
      <c r="GJ8" s="38">
        <v>0</v>
      </c>
      <c r="GK8" s="38">
        <v>0</v>
      </c>
      <c r="GL8" s="38">
        <v>0</v>
      </c>
      <c r="GM8" s="38">
        <v>0</v>
      </c>
      <c r="GN8" s="38">
        <v>0</v>
      </c>
      <c r="GO8" s="38">
        <v>0</v>
      </c>
      <c r="GP8" s="38">
        <v>0</v>
      </c>
      <c r="GQ8" s="38">
        <v>0</v>
      </c>
      <c r="GR8" s="38">
        <v>0</v>
      </c>
      <c r="GS8" s="38"/>
      <c r="GT8" s="38"/>
      <c r="GU8" s="38"/>
      <c r="GV8" s="38"/>
    </row>
    <row r="9" spans="1:204">
      <c r="A9" s="34" t="s">
        <v>342</v>
      </c>
      <c r="B9" s="45">
        <v>0.65</v>
      </c>
      <c r="C9" s="63">
        <f t="shared" si="0"/>
        <v>0</v>
      </c>
      <c r="D9" s="38">
        <v>0</v>
      </c>
      <c r="E9" s="38">
        <v>0</v>
      </c>
      <c r="F9" s="38">
        <v>0</v>
      </c>
      <c r="G9" s="38">
        <v>0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8">
        <v>0</v>
      </c>
      <c r="U9" s="38">
        <v>0</v>
      </c>
      <c r="V9" s="38">
        <v>0</v>
      </c>
      <c r="W9" s="38">
        <v>0</v>
      </c>
      <c r="X9" s="38">
        <v>0</v>
      </c>
      <c r="Y9" s="38">
        <v>0</v>
      </c>
      <c r="Z9" s="38">
        <v>0</v>
      </c>
      <c r="AA9" s="38">
        <v>0</v>
      </c>
      <c r="AB9" s="38">
        <v>0</v>
      </c>
      <c r="AC9" s="38">
        <v>0</v>
      </c>
      <c r="AD9" s="38">
        <v>0</v>
      </c>
      <c r="AE9" s="38">
        <v>0</v>
      </c>
      <c r="AF9" s="38">
        <v>0</v>
      </c>
      <c r="AG9" s="38">
        <v>0</v>
      </c>
      <c r="AH9" s="38">
        <v>0</v>
      </c>
      <c r="AI9" s="38">
        <v>0</v>
      </c>
      <c r="AJ9" s="38">
        <v>0</v>
      </c>
      <c r="AK9" s="38">
        <v>0</v>
      </c>
      <c r="AL9" s="38">
        <v>0</v>
      </c>
      <c r="AM9" s="38">
        <v>0</v>
      </c>
      <c r="AN9" s="38">
        <v>0</v>
      </c>
      <c r="AO9" s="38">
        <v>0</v>
      </c>
      <c r="AP9" s="38">
        <v>0</v>
      </c>
      <c r="AQ9" s="38">
        <v>0</v>
      </c>
      <c r="AR9" s="38">
        <v>0</v>
      </c>
      <c r="AS9" s="38">
        <v>0</v>
      </c>
      <c r="AT9" s="38">
        <v>0</v>
      </c>
      <c r="AU9" s="38">
        <v>0</v>
      </c>
      <c r="AV9" s="38">
        <v>0</v>
      </c>
      <c r="AW9" s="38">
        <v>0</v>
      </c>
      <c r="AX9" s="38">
        <v>0</v>
      </c>
      <c r="AY9" s="38">
        <v>0</v>
      </c>
      <c r="AZ9" s="38">
        <v>0</v>
      </c>
      <c r="BA9" s="38">
        <v>0</v>
      </c>
      <c r="BB9" s="38">
        <v>0</v>
      </c>
      <c r="BC9" s="38">
        <v>0</v>
      </c>
      <c r="BD9" s="38">
        <v>0</v>
      </c>
      <c r="BE9" s="38">
        <v>0</v>
      </c>
      <c r="BF9" s="38">
        <v>0</v>
      </c>
      <c r="BG9" s="38">
        <v>0</v>
      </c>
      <c r="BH9" s="38">
        <v>0</v>
      </c>
      <c r="BI9" s="38">
        <v>0</v>
      </c>
      <c r="BJ9" s="38">
        <v>0</v>
      </c>
      <c r="BK9" s="38">
        <v>0</v>
      </c>
      <c r="BL9" s="38">
        <v>0</v>
      </c>
      <c r="BM9" s="38">
        <v>0</v>
      </c>
      <c r="BN9" s="38">
        <v>0</v>
      </c>
      <c r="BO9" s="38">
        <v>0</v>
      </c>
      <c r="BP9" s="38">
        <v>0</v>
      </c>
      <c r="BQ9" s="38">
        <v>0</v>
      </c>
      <c r="BR9" s="38">
        <v>0</v>
      </c>
      <c r="BS9" s="38">
        <v>0</v>
      </c>
      <c r="BT9" s="38">
        <v>0</v>
      </c>
      <c r="BU9" s="38">
        <v>0</v>
      </c>
      <c r="BV9" s="38">
        <v>0</v>
      </c>
      <c r="BW9" s="38">
        <v>0</v>
      </c>
      <c r="BX9" s="38">
        <v>0</v>
      </c>
      <c r="BY9" s="38">
        <v>0</v>
      </c>
      <c r="BZ9" s="38">
        <v>0</v>
      </c>
      <c r="CA9" s="38">
        <v>0</v>
      </c>
      <c r="CB9" s="38">
        <v>0</v>
      </c>
      <c r="CC9" s="38">
        <v>0</v>
      </c>
      <c r="CD9" s="38">
        <v>0</v>
      </c>
      <c r="CE9" s="38">
        <v>0</v>
      </c>
      <c r="CF9" s="38">
        <v>0</v>
      </c>
      <c r="CG9" s="38">
        <v>0</v>
      </c>
      <c r="CH9" s="38">
        <v>0</v>
      </c>
      <c r="CI9" s="38">
        <v>0</v>
      </c>
      <c r="CJ9" s="38">
        <v>0</v>
      </c>
      <c r="CK9" s="38">
        <v>0</v>
      </c>
      <c r="CL9" s="38">
        <v>0</v>
      </c>
      <c r="CM9" s="38">
        <v>0</v>
      </c>
      <c r="CN9" s="38">
        <v>0</v>
      </c>
      <c r="CO9" s="38">
        <v>0</v>
      </c>
      <c r="CP9" s="38">
        <v>0</v>
      </c>
      <c r="CQ9" s="38">
        <v>0</v>
      </c>
      <c r="CR9" s="38">
        <v>0</v>
      </c>
      <c r="CS9" s="38">
        <v>0</v>
      </c>
      <c r="CT9" s="38">
        <v>0</v>
      </c>
      <c r="CU9" s="38">
        <v>0</v>
      </c>
      <c r="CV9" s="38">
        <v>0</v>
      </c>
      <c r="CW9" s="38">
        <v>0</v>
      </c>
      <c r="CX9" s="38">
        <v>0</v>
      </c>
      <c r="CY9" s="38">
        <v>0</v>
      </c>
      <c r="CZ9" s="38">
        <v>0</v>
      </c>
      <c r="DA9" s="38">
        <v>0</v>
      </c>
      <c r="DB9" s="38">
        <v>0</v>
      </c>
      <c r="DC9" s="38">
        <v>0</v>
      </c>
      <c r="DD9" s="38">
        <v>0</v>
      </c>
      <c r="DE9" s="38">
        <v>0</v>
      </c>
      <c r="DF9" s="38">
        <v>0</v>
      </c>
      <c r="DG9" s="38">
        <v>0</v>
      </c>
      <c r="DH9" s="38">
        <v>0</v>
      </c>
      <c r="DI9" s="38">
        <v>0</v>
      </c>
      <c r="DJ9" s="38">
        <v>0</v>
      </c>
      <c r="DK9" s="38">
        <v>0</v>
      </c>
      <c r="DL9" s="38">
        <v>0</v>
      </c>
      <c r="DM9" s="38">
        <v>0</v>
      </c>
      <c r="DN9" s="38">
        <v>0</v>
      </c>
      <c r="DO9" s="38">
        <v>0</v>
      </c>
      <c r="DP9" s="38">
        <v>0</v>
      </c>
      <c r="DQ9" s="38">
        <v>0</v>
      </c>
      <c r="DR9" s="38">
        <v>0</v>
      </c>
      <c r="DS9" s="38">
        <v>0</v>
      </c>
      <c r="DT9" s="38">
        <v>0</v>
      </c>
      <c r="DU9" s="38">
        <v>0</v>
      </c>
      <c r="DV9" s="38">
        <v>0</v>
      </c>
      <c r="DW9" s="38">
        <v>0</v>
      </c>
      <c r="DX9" s="38">
        <v>0</v>
      </c>
      <c r="DY9" s="38">
        <v>0</v>
      </c>
      <c r="DZ9" s="38">
        <v>0</v>
      </c>
      <c r="EA9" s="38">
        <v>0</v>
      </c>
      <c r="EB9" s="38">
        <v>0</v>
      </c>
      <c r="EC9" s="38">
        <v>0</v>
      </c>
      <c r="ED9" s="38">
        <v>0</v>
      </c>
      <c r="EE9" s="38">
        <v>0</v>
      </c>
      <c r="EF9" s="38">
        <v>0</v>
      </c>
      <c r="EG9" s="38">
        <v>0</v>
      </c>
      <c r="EH9" s="38">
        <v>0</v>
      </c>
      <c r="EI9" s="38">
        <v>0</v>
      </c>
      <c r="EJ9" s="38">
        <v>0</v>
      </c>
      <c r="EK9" s="38">
        <v>0</v>
      </c>
      <c r="EL9" s="38">
        <v>0</v>
      </c>
      <c r="EM9" s="38">
        <v>0</v>
      </c>
      <c r="EN9" s="38">
        <v>0</v>
      </c>
      <c r="EO9" s="38">
        <v>0</v>
      </c>
      <c r="EP9" s="38">
        <v>0</v>
      </c>
      <c r="EQ9" s="38">
        <v>0</v>
      </c>
      <c r="ER9" s="38">
        <v>0</v>
      </c>
      <c r="ES9" s="38">
        <v>0</v>
      </c>
      <c r="ET9" s="38">
        <v>0</v>
      </c>
      <c r="EU9" s="38">
        <v>0</v>
      </c>
      <c r="EV9" s="38">
        <v>0</v>
      </c>
      <c r="EW9" s="38">
        <v>0</v>
      </c>
      <c r="EX9" s="38">
        <v>0</v>
      </c>
      <c r="EY9" s="38">
        <v>0</v>
      </c>
      <c r="EZ9" s="38">
        <v>0</v>
      </c>
      <c r="FA9" s="38">
        <v>0</v>
      </c>
      <c r="FB9" s="38">
        <v>0</v>
      </c>
      <c r="FC9" s="38">
        <v>0</v>
      </c>
      <c r="FD9" s="38">
        <v>0</v>
      </c>
      <c r="FE9" s="38">
        <v>0</v>
      </c>
      <c r="FF9" s="38">
        <v>0</v>
      </c>
      <c r="FG9" s="38">
        <v>0</v>
      </c>
      <c r="FH9" s="38">
        <v>0</v>
      </c>
      <c r="FI9" s="38">
        <v>0</v>
      </c>
      <c r="FJ9" s="38">
        <v>0</v>
      </c>
      <c r="FK9" s="38">
        <v>0</v>
      </c>
      <c r="FL9" s="38">
        <v>0</v>
      </c>
      <c r="FM9" s="38">
        <v>0</v>
      </c>
      <c r="FN9" s="38">
        <v>0</v>
      </c>
      <c r="FO9" s="38">
        <v>0</v>
      </c>
      <c r="FP9" s="38">
        <v>0</v>
      </c>
      <c r="FQ9" s="38">
        <v>0</v>
      </c>
      <c r="FR9" s="38">
        <v>0</v>
      </c>
      <c r="FS9" s="38">
        <v>0</v>
      </c>
      <c r="FT9" s="38">
        <v>0</v>
      </c>
      <c r="FU9" s="38">
        <v>0</v>
      </c>
      <c r="FV9" s="38">
        <v>0</v>
      </c>
      <c r="FW9" s="38">
        <v>0</v>
      </c>
      <c r="FX9" s="38">
        <v>0</v>
      </c>
      <c r="FY9" s="38">
        <v>0</v>
      </c>
      <c r="FZ9" s="38">
        <v>0</v>
      </c>
      <c r="GA9" s="38">
        <v>0</v>
      </c>
      <c r="GB9" s="38">
        <v>0</v>
      </c>
      <c r="GC9" s="38">
        <v>0</v>
      </c>
      <c r="GD9" s="38">
        <v>0</v>
      </c>
      <c r="GE9" s="38">
        <v>0</v>
      </c>
      <c r="GF9" s="38">
        <v>0</v>
      </c>
      <c r="GG9" s="38">
        <v>0</v>
      </c>
      <c r="GH9" s="38">
        <v>0</v>
      </c>
      <c r="GI9" s="38">
        <v>0</v>
      </c>
      <c r="GJ9" s="38">
        <v>0</v>
      </c>
      <c r="GK9" s="38">
        <v>0</v>
      </c>
      <c r="GL9" s="38">
        <v>0</v>
      </c>
      <c r="GM9" s="38">
        <v>0</v>
      </c>
      <c r="GN9" s="38">
        <v>0</v>
      </c>
      <c r="GO9" s="38">
        <v>0</v>
      </c>
      <c r="GP9" s="38">
        <v>0</v>
      </c>
      <c r="GQ9" s="38">
        <v>0</v>
      </c>
      <c r="GR9" s="38">
        <v>0</v>
      </c>
      <c r="GS9" s="38"/>
      <c r="GT9" s="38"/>
      <c r="GU9" s="38"/>
      <c r="GV9" s="38"/>
    </row>
    <row r="10" spans="1:204">
      <c r="A10" s="34" t="s">
        <v>343</v>
      </c>
      <c r="B10" s="45">
        <v>0.65</v>
      </c>
      <c r="C10" s="63">
        <f t="shared" si="0"/>
        <v>2281</v>
      </c>
      <c r="D10" s="38">
        <v>0</v>
      </c>
      <c r="E10" s="38">
        <v>0</v>
      </c>
      <c r="F10" s="38">
        <v>0</v>
      </c>
      <c r="G10" s="38">
        <v>0</v>
      </c>
      <c r="H10" s="38">
        <v>0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8">
        <v>0</v>
      </c>
      <c r="S10" s="38">
        <v>0</v>
      </c>
      <c r="T10" s="38">
        <v>0</v>
      </c>
      <c r="U10" s="38">
        <v>0</v>
      </c>
      <c r="V10" s="38">
        <v>0</v>
      </c>
      <c r="W10" s="38">
        <v>0</v>
      </c>
      <c r="X10" s="38">
        <v>0</v>
      </c>
      <c r="Y10" s="38">
        <v>0</v>
      </c>
      <c r="Z10" s="38">
        <v>0</v>
      </c>
      <c r="AA10" s="38">
        <v>0</v>
      </c>
      <c r="AB10" s="38">
        <v>0</v>
      </c>
      <c r="AC10" s="38">
        <v>0</v>
      </c>
      <c r="AD10" s="38">
        <v>0</v>
      </c>
      <c r="AE10" s="38">
        <v>0</v>
      </c>
      <c r="AF10" s="38">
        <v>0</v>
      </c>
      <c r="AG10" s="38">
        <v>0</v>
      </c>
      <c r="AH10" s="38">
        <v>0</v>
      </c>
      <c r="AI10" s="38">
        <v>0</v>
      </c>
      <c r="AJ10" s="38">
        <v>0</v>
      </c>
      <c r="AK10" s="38">
        <v>0</v>
      </c>
      <c r="AL10" s="38">
        <v>0</v>
      </c>
      <c r="AM10" s="38">
        <v>0</v>
      </c>
      <c r="AN10" s="38">
        <v>0</v>
      </c>
      <c r="AO10" s="38">
        <v>0</v>
      </c>
      <c r="AP10" s="38">
        <v>0</v>
      </c>
      <c r="AQ10" s="38">
        <v>0</v>
      </c>
      <c r="AR10" s="38">
        <v>0</v>
      </c>
      <c r="AS10" s="38">
        <v>0</v>
      </c>
      <c r="AT10" s="38">
        <v>0</v>
      </c>
      <c r="AU10" s="38">
        <v>0</v>
      </c>
      <c r="AV10" s="38">
        <v>0</v>
      </c>
      <c r="AW10" s="38">
        <v>0</v>
      </c>
      <c r="AX10" s="38">
        <v>802</v>
      </c>
      <c r="AY10" s="38">
        <v>0</v>
      </c>
      <c r="AZ10" s="38">
        <v>0</v>
      </c>
      <c r="BA10" s="38">
        <v>0</v>
      </c>
      <c r="BB10" s="38">
        <v>0</v>
      </c>
      <c r="BC10" s="38">
        <v>0</v>
      </c>
      <c r="BD10" s="38">
        <v>0</v>
      </c>
      <c r="BE10" s="38">
        <v>0</v>
      </c>
      <c r="BF10" s="38">
        <v>0</v>
      </c>
      <c r="BG10" s="38">
        <v>0</v>
      </c>
      <c r="BH10" s="38">
        <v>0</v>
      </c>
      <c r="BI10" s="38">
        <v>0</v>
      </c>
      <c r="BJ10" s="38">
        <v>0</v>
      </c>
      <c r="BK10" s="38">
        <v>0</v>
      </c>
      <c r="BL10" s="38">
        <v>0</v>
      </c>
      <c r="BM10" s="38">
        <v>0</v>
      </c>
      <c r="BN10" s="38">
        <v>0</v>
      </c>
      <c r="BO10" s="38">
        <v>0</v>
      </c>
      <c r="BP10" s="38">
        <v>0</v>
      </c>
      <c r="BQ10" s="38">
        <v>0</v>
      </c>
      <c r="BR10" s="38">
        <v>0</v>
      </c>
      <c r="BS10" s="38">
        <v>0</v>
      </c>
      <c r="BT10" s="38">
        <v>0</v>
      </c>
      <c r="BU10" s="38">
        <v>0</v>
      </c>
      <c r="BV10" s="38">
        <v>0</v>
      </c>
      <c r="BW10" s="38">
        <v>0</v>
      </c>
      <c r="BX10" s="38">
        <v>0</v>
      </c>
      <c r="BY10" s="38">
        <v>0</v>
      </c>
      <c r="BZ10" s="38">
        <v>0</v>
      </c>
      <c r="CA10" s="38">
        <v>0</v>
      </c>
      <c r="CB10" s="38">
        <v>0</v>
      </c>
      <c r="CC10" s="38">
        <v>0</v>
      </c>
      <c r="CD10" s="38">
        <v>0</v>
      </c>
      <c r="CE10" s="38">
        <v>0</v>
      </c>
      <c r="CF10" s="38">
        <v>0</v>
      </c>
      <c r="CG10" s="38">
        <v>0</v>
      </c>
      <c r="CH10" s="38">
        <v>0</v>
      </c>
      <c r="CI10" s="38">
        <v>0</v>
      </c>
      <c r="CJ10" s="38">
        <v>0</v>
      </c>
      <c r="CK10" s="38">
        <v>0</v>
      </c>
      <c r="CL10" s="38">
        <v>0</v>
      </c>
      <c r="CM10" s="38">
        <v>0</v>
      </c>
      <c r="CN10" s="38">
        <v>0</v>
      </c>
      <c r="CO10" s="38">
        <v>0</v>
      </c>
      <c r="CP10" s="38">
        <v>0</v>
      </c>
      <c r="CQ10" s="38">
        <v>0</v>
      </c>
      <c r="CR10" s="38">
        <v>0</v>
      </c>
      <c r="CS10" s="38">
        <v>0</v>
      </c>
      <c r="CT10" s="38">
        <v>0</v>
      </c>
      <c r="CU10" s="38">
        <v>0</v>
      </c>
      <c r="CV10" s="38">
        <v>114</v>
      </c>
      <c r="CW10" s="38">
        <v>0</v>
      </c>
      <c r="CX10" s="38">
        <v>0</v>
      </c>
      <c r="CY10" s="38">
        <v>0</v>
      </c>
      <c r="CZ10" s="38">
        <v>0</v>
      </c>
      <c r="DA10" s="38">
        <v>0</v>
      </c>
      <c r="DB10" s="38">
        <v>0</v>
      </c>
      <c r="DC10" s="38">
        <v>0</v>
      </c>
      <c r="DD10" s="38">
        <v>0</v>
      </c>
      <c r="DE10" s="38">
        <v>0</v>
      </c>
      <c r="DF10" s="38">
        <v>0</v>
      </c>
      <c r="DG10" s="38">
        <v>0</v>
      </c>
      <c r="DH10" s="38">
        <v>0</v>
      </c>
      <c r="DI10" s="38">
        <v>0</v>
      </c>
      <c r="DJ10" s="38">
        <v>0</v>
      </c>
      <c r="DK10" s="38">
        <v>0</v>
      </c>
      <c r="DL10" s="38">
        <v>0</v>
      </c>
      <c r="DM10" s="38">
        <v>0</v>
      </c>
      <c r="DN10" s="38">
        <v>0</v>
      </c>
      <c r="DO10" s="38">
        <v>0</v>
      </c>
      <c r="DP10" s="38">
        <v>16</v>
      </c>
      <c r="DQ10" s="38">
        <v>0</v>
      </c>
      <c r="DR10" s="38">
        <v>0</v>
      </c>
      <c r="DS10" s="38">
        <v>0</v>
      </c>
      <c r="DT10" s="38">
        <v>0</v>
      </c>
      <c r="DU10" s="38">
        <v>0</v>
      </c>
      <c r="DV10" s="38">
        <v>0</v>
      </c>
      <c r="DW10" s="38">
        <v>0</v>
      </c>
      <c r="DX10" s="38">
        <v>1</v>
      </c>
      <c r="DY10" s="38">
        <v>7</v>
      </c>
      <c r="DZ10" s="38">
        <v>0</v>
      </c>
      <c r="EA10" s="38">
        <v>0</v>
      </c>
      <c r="EB10" s="38">
        <v>0</v>
      </c>
      <c r="EC10" s="38">
        <v>0</v>
      </c>
      <c r="ED10" s="38">
        <v>0</v>
      </c>
      <c r="EE10" s="38">
        <v>0</v>
      </c>
      <c r="EF10" s="38">
        <v>0</v>
      </c>
      <c r="EG10" s="38">
        <v>0</v>
      </c>
      <c r="EH10" s="38">
        <v>0</v>
      </c>
      <c r="EI10" s="38">
        <v>0</v>
      </c>
      <c r="EJ10" s="38">
        <v>0</v>
      </c>
      <c r="EK10" s="38">
        <v>0</v>
      </c>
      <c r="EL10" s="38">
        <v>0</v>
      </c>
      <c r="EM10" s="38">
        <v>0</v>
      </c>
      <c r="EN10" s="38">
        <v>0</v>
      </c>
      <c r="EO10" s="38">
        <v>0</v>
      </c>
      <c r="EP10" s="38">
        <v>0</v>
      </c>
      <c r="EQ10" s="38">
        <v>0</v>
      </c>
      <c r="ER10" s="38">
        <v>0</v>
      </c>
      <c r="ES10" s="38">
        <v>0</v>
      </c>
      <c r="ET10" s="38">
        <v>0</v>
      </c>
      <c r="EU10" s="38">
        <v>0</v>
      </c>
      <c r="EV10" s="38">
        <v>0</v>
      </c>
      <c r="EW10" s="38">
        <v>0</v>
      </c>
      <c r="EX10" s="38">
        <v>0</v>
      </c>
      <c r="EY10" s="38">
        <v>0</v>
      </c>
      <c r="EZ10" s="38">
        <v>0</v>
      </c>
      <c r="FA10" s="38">
        <v>0</v>
      </c>
      <c r="FB10" s="38">
        <v>0</v>
      </c>
      <c r="FC10" s="38">
        <v>0</v>
      </c>
      <c r="FD10" s="38">
        <v>0</v>
      </c>
      <c r="FE10" s="38">
        <v>0</v>
      </c>
      <c r="FF10" s="38">
        <v>0</v>
      </c>
      <c r="FG10" s="38">
        <v>0</v>
      </c>
      <c r="FH10" s="38">
        <v>0</v>
      </c>
      <c r="FI10" s="38">
        <v>0</v>
      </c>
      <c r="FJ10" s="38">
        <v>0</v>
      </c>
      <c r="FK10" s="38">
        <v>0</v>
      </c>
      <c r="FL10" s="38">
        <v>0</v>
      </c>
      <c r="FM10" s="38">
        <v>0</v>
      </c>
      <c r="FN10" s="38">
        <v>0</v>
      </c>
      <c r="FO10" s="38">
        <v>0</v>
      </c>
      <c r="FP10" s="38">
        <v>0</v>
      </c>
      <c r="FQ10" s="38">
        <v>1314</v>
      </c>
      <c r="FR10" s="38">
        <v>0</v>
      </c>
      <c r="FS10" s="38">
        <v>0</v>
      </c>
      <c r="FT10" s="38">
        <v>0</v>
      </c>
      <c r="FU10" s="38">
        <v>0</v>
      </c>
      <c r="FV10" s="38">
        <v>0</v>
      </c>
      <c r="FW10" s="38">
        <v>0</v>
      </c>
      <c r="FX10" s="38">
        <v>0</v>
      </c>
      <c r="FY10" s="38">
        <v>0</v>
      </c>
      <c r="FZ10" s="38">
        <v>0</v>
      </c>
      <c r="GA10" s="38">
        <v>0</v>
      </c>
      <c r="GB10" s="38">
        <v>0</v>
      </c>
      <c r="GC10" s="38">
        <v>0</v>
      </c>
      <c r="GD10" s="38">
        <v>0</v>
      </c>
      <c r="GE10" s="38">
        <v>0</v>
      </c>
      <c r="GF10" s="38">
        <v>0</v>
      </c>
      <c r="GG10" s="38">
        <v>0</v>
      </c>
      <c r="GH10" s="38">
        <v>0</v>
      </c>
      <c r="GI10" s="38">
        <v>0</v>
      </c>
      <c r="GJ10" s="38">
        <v>0</v>
      </c>
      <c r="GK10" s="38">
        <v>0</v>
      </c>
      <c r="GL10" s="38">
        <v>27</v>
      </c>
      <c r="GM10" s="38">
        <v>0</v>
      </c>
      <c r="GN10" s="38">
        <v>0</v>
      </c>
      <c r="GO10" s="38">
        <v>0</v>
      </c>
      <c r="GP10" s="38">
        <v>0</v>
      </c>
      <c r="GQ10" s="38">
        <v>0</v>
      </c>
      <c r="GR10" s="38">
        <v>0</v>
      </c>
      <c r="GS10" s="38"/>
      <c r="GT10" s="38"/>
      <c r="GU10" s="38"/>
      <c r="GV10" s="38"/>
    </row>
    <row r="11" spans="1:204">
      <c r="A11" s="34" t="s">
        <v>344</v>
      </c>
      <c r="B11" s="45">
        <v>0.65</v>
      </c>
      <c r="C11" s="63">
        <f t="shared" si="0"/>
        <v>0</v>
      </c>
      <c r="D11" s="38">
        <v>0</v>
      </c>
      <c r="E11" s="38">
        <v>0</v>
      </c>
      <c r="F11" s="38">
        <v>0</v>
      </c>
      <c r="G11" s="38">
        <v>0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8">
        <v>0</v>
      </c>
      <c r="X11" s="38">
        <v>0</v>
      </c>
      <c r="Y11" s="38">
        <v>0</v>
      </c>
      <c r="Z11" s="38">
        <v>0</v>
      </c>
      <c r="AA11" s="38">
        <v>0</v>
      </c>
      <c r="AB11" s="38">
        <v>0</v>
      </c>
      <c r="AC11" s="38">
        <v>0</v>
      </c>
      <c r="AD11" s="38">
        <v>0</v>
      </c>
      <c r="AE11" s="38">
        <v>0</v>
      </c>
      <c r="AF11" s="38">
        <v>0</v>
      </c>
      <c r="AG11" s="38">
        <v>0</v>
      </c>
      <c r="AH11" s="38">
        <v>0</v>
      </c>
      <c r="AI11" s="38">
        <v>0</v>
      </c>
      <c r="AJ11" s="38">
        <v>0</v>
      </c>
      <c r="AK11" s="38">
        <v>0</v>
      </c>
      <c r="AL11" s="38">
        <v>0</v>
      </c>
      <c r="AM11" s="38">
        <v>0</v>
      </c>
      <c r="AN11" s="38">
        <v>0</v>
      </c>
      <c r="AO11" s="38">
        <v>0</v>
      </c>
      <c r="AP11" s="38">
        <v>0</v>
      </c>
      <c r="AQ11" s="38">
        <v>0</v>
      </c>
      <c r="AR11" s="38">
        <v>0</v>
      </c>
      <c r="AS11" s="38">
        <v>0</v>
      </c>
      <c r="AT11" s="38">
        <v>0</v>
      </c>
      <c r="AU11" s="38">
        <v>0</v>
      </c>
      <c r="AV11" s="38">
        <v>0</v>
      </c>
      <c r="AW11" s="38">
        <v>0</v>
      </c>
      <c r="AX11" s="38">
        <v>0</v>
      </c>
      <c r="AY11" s="38">
        <v>0</v>
      </c>
      <c r="AZ11" s="38">
        <v>0</v>
      </c>
      <c r="BA11" s="38">
        <v>0</v>
      </c>
      <c r="BB11" s="38">
        <v>0</v>
      </c>
      <c r="BC11" s="38">
        <v>0</v>
      </c>
      <c r="BD11" s="38">
        <v>0</v>
      </c>
      <c r="BE11" s="38">
        <v>0</v>
      </c>
      <c r="BF11" s="38">
        <v>0</v>
      </c>
      <c r="BG11" s="38">
        <v>0</v>
      </c>
      <c r="BH11" s="38">
        <v>0</v>
      </c>
      <c r="BI11" s="38">
        <v>0</v>
      </c>
      <c r="BJ11" s="38">
        <v>0</v>
      </c>
      <c r="BK11" s="38">
        <v>0</v>
      </c>
      <c r="BL11" s="38">
        <v>0</v>
      </c>
      <c r="BM11" s="38">
        <v>0</v>
      </c>
      <c r="BN11" s="38">
        <v>0</v>
      </c>
      <c r="BO11" s="38">
        <v>0</v>
      </c>
      <c r="BP11" s="38">
        <v>0</v>
      </c>
      <c r="BQ11" s="38">
        <v>0</v>
      </c>
      <c r="BR11" s="38">
        <v>0</v>
      </c>
      <c r="BS11" s="38">
        <v>0</v>
      </c>
      <c r="BT11" s="38">
        <v>0</v>
      </c>
      <c r="BU11" s="38">
        <v>0</v>
      </c>
      <c r="BV11" s="38">
        <v>0</v>
      </c>
      <c r="BW11" s="38">
        <v>0</v>
      </c>
      <c r="BX11" s="38">
        <v>0</v>
      </c>
      <c r="BY11" s="38">
        <v>0</v>
      </c>
      <c r="BZ11" s="38">
        <v>0</v>
      </c>
      <c r="CA11" s="38">
        <v>0</v>
      </c>
      <c r="CB11" s="38">
        <v>0</v>
      </c>
      <c r="CC11" s="38">
        <v>0</v>
      </c>
      <c r="CD11" s="38">
        <v>0</v>
      </c>
      <c r="CE11" s="38">
        <v>0</v>
      </c>
      <c r="CF11" s="38">
        <v>0</v>
      </c>
      <c r="CG11" s="38">
        <v>0</v>
      </c>
      <c r="CH11" s="38">
        <v>0</v>
      </c>
      <c r="CI11" s="38">
        <v>0</v>
      </c>
      <c r="CJ11" s="38">
        <v>0</v>
      </c>
      <c r="CK11" s="38">
        <v>0</v>
      </c>
      <c r="CL11" s="38">
        <v>0</v>
      </c>
      <c r="CM11" s="38">
        <v>0</v>
      </c>
      <c r="CN11" s="38">
        <v>0</v>
      </c>
      <c r="CO11" s="38">
        <v>0</v>
      </c>
      <c r="CP11" s="38">
        <v>0</v>
      </c>
      <c r="CQ11" s="38">
        <v>0</v>
      </c>
      <c r="CR11" s="38">
        <v>0</v>
      </c>
      <c r="CS11" s="38">
        <v>0</v>
      </c>
      <c r="CT11" s="38">
        <v>0</v>
      </c>
      <c r="CU11" s="38">
        <v>0</v>
      </c>
      <c r="CV11" s="38">
        <v>0</v>
      </c>
      <c r="CW11" s="38">
        <v>0</v>
      </c>
      <c r="CX11" s="38">
        <v>0</v>
      </c>
      <c r="CY11" s="38">
        <v>0</v>
      </c>
      <c r="CZ11" s="38">
        <v>0</v>
      </c>
      <c r="DA11" s="38">
        <v>0</v>
      </c>
      <c r="DB11" s="38">
        <v>0</v>
      </c>
      <c r="DC11" s="38">
        <v>0</v>
      </c>
      <c r="DD11" s="38">
        <v>0</v>
      </c>
      <c r="DE11" s="38">
        <v>0</v>
      </c>
      <c r="DF11" s="38">
        <v>0</v>
      </c>
      <c r="DG11" s="38">
        <v>0</v>
      </c>
      <c r="DH11" s="38">
        <v>0</v>
      </c>
      <c r="DI11" s="38">
        <v>0</v>
      </c>
      <c r="DJ11" s="38">
        <v>0</v>
      </c>
      <c r="DK11" s="38">
        <v>0</v>
      </c>
      <c r="DL11" s="38">
        <v>0</v>
      </c>
      <c r="DM11" s="38">
        <v>0</v>
      </c>
      <c r="DN11" s="38">
        <v>0</v>
      </c>
      <c r="DO11" s="38">
        <v>0</v>
      </c>
      <c r="DP11" s="38">
        <v>0</v>
      </c>
      <c r="DQ11" s="38">
        <v>0</v>
      </c>
      <c r="DR11" s="38">
        <v>0</v>
      </c>
      <c r="DS11" s="38">
        <v>0</v>
      </c>
      <c r="DT11" s="38">
        <v>0</v>
      </c>
      <c r="DU11" s="38">
        <v>0</v>
      </c>
      <c r="DV11" s="38">
        <v>0</v>
      </c>
      <c r="DW11" s="38">
        <v>0</v>
      </c>
      <c r="DX11" s="38">
        <v>0</v>
      </c>
      <c r="DY11" s="38">
        <v>0</v>
      </c>
      <c r="DZ11" s="38">
        <v>0</v>
      </c>
      <c r="EA11" s="38">
        <v>0</v>
      </c>
      <c r="EB11" s="38">
        <v>0</v>
      </c>
      <c r="EC11" s="38">
        <v>0</v>
      </c>
      <c r="ED11" s="38">
        <v>0</v>
      </c>
      <c r="EE11" s="38">
        <v>0</v>
      </c>
      <c r="EF11" s="38">
        <v>0</v>
      </c>
      <c r="EG11" s="38">
        <v>0</v>
      </c>
      <c r="EH11" s="38">
        <v>0</v>
      </c>
      <c r="EI11" s="38">
        <v>0</v>
      </c>
      <c r="EJ11" s="38">
        <v>0</v>
      </c>
      <c r="EK11" s="38">
        <v>0</v>
      </c>
      <c r="EL11" s="38">
        <v>0</v>
      </c>
      <c r="EM11" s="38">
        <v>0</v>
      </c>
      <c r="EN11" s="38">
        <v>0</v>
      </c>
      <c r="EO11" s="38">
        <v>0</v>
      </c>
      <c r="EP11" s="38">
        <v>0</v>
      </c>
      <c r="EQ11" s="38">
        <v>0</v>
      </c>
      <c r="ER11" s="38">
        <v>0</v>
      </c>
      <c r="ES11" s="38">
        <v>0</v>
      </c>
      <c r="ET11" s="38">
        <v>0</v>
      </c>
      <c r="EU11" s="38">
        <v>0</v>
      </c>
      <c r="EV11" s="38">
        <v>0</v>
      </c>
      <c r="EW11" s="38">
        <v>0</v>
      </c>
      <c r="EX11" s="38">
        <v>0</v>
      </c>
      <c r="EY11" s="38">
        <v>0</v>
      </c>
      <c r="EZ11" s="38">
        <v>0</v>
      </c>
      <c r="FA11" s="38">
        <v>0</v>
      </c>
      <c r="FB11" s="38">
        <v>0</v>
      </c>
      <c r="FC11" s="38">
        <v>0</v>
      </c>
      <c r="FD11" s="38">
        <v>0</v>
      </c>
      <c r="FE11" s="38">
        <v>0</v>
      </c>
      <c r="FF11" s="38">
        <v>0</v>
      </c>
      <c r="FG11" s="38">
        <v>0</v>
      </c>
      <c r="FH11" s="38">
        <v>0</v>
      </c>
      <c r="FI11" s="38">
        <v>0</v>
      </c>
      <c r="FJ11" s="38">
        <v>0</v>
      </c>
      <c r="FK11" s="38">
        <v>0</v>
      </c>
      <c r="FL11" s="38">
        <v>0</v>
      </c>
      <c r="FM11" s="38">
        <v>0</v>
      </c>
      <c r="FN11" s="38">
        <v>0</v>
      </c>
      <c r="FO11" s="38">
        <v>0</v>
      </c>
      <c r="FP11" s="38">
        <v>0</v>
      </c>
      <c r="FQ11" s="38">
        <v>0</v>
      </c>
      <c r="FR11" s="38">
        <v>0</v>
      </c>
      <c r="FS11" s="38">
        <v>0</v>
      </c>
      <c r="FT11" s="38">
        <v>0</v>
      </c>
      <c r="FU11" s="38">
        <v>0</v>
      </c>
      <c r="FV11" s="38">
        <v>0</v>
      </c>
      <c r="FW11" s="38">
        <v>0</v>
      </c>
      <c r="FX11" s="38">
        <v>0</v>
      </c>
      <c r="FY11" s="38">
        <v>0</v>
      </c>
      <c r="FZ11" s="38">
        <v>0</v>
      </c>
      <c r="GA11" s="38">
        <v>0</v>
      </c>
      <c r="GB11" s="38">
        <v>0</v>
      </c>
      <c r="GC11" s="38">
        <v>0</v>
      </c>
      <c r="GD11" s="38">
        <v>0</v>
      </c>
      <c r="GE11" s="38">
        <v>0</v>
      </c>
      <c r="GF11" s="38">
        <v>0</v>
      </c>
      <c r="GG11" s="38">
        <v>0</v>
      </c>
      <c r="GH11" s="38">
        <v>0</v>
      </c>
      <c r="GI11" s="38">
        <v>0</v>
      </c>
      <c r="GJ11" s="38">
        <v>0</v>
      </c>
      <c r="GK11" s="38">
        <v>0</v>
      </c>
      <c r="GL11" s="38">
        <v>0</v>
      </c>
      <c r="GM11" s="38">
        <v>0</v>
      </c>
      <c r="GN11" s="38">
        <v>0</v>
      </c>
      <c r="GO11" s="38">
        <v>0</v>
      </c>
      <c r="GP11" s="38">
        <v>0</v>
      </c>
      <c r="GQ11" s="38">
        <v>0</v>
      </c>
      <c r="GR11" s="38">
        <v>0</v>
      </c>
      <c r="GS11" s="38"/>
      <c r="GT11" s="38"/>
      <c r="GU11" s="38"/>
      <c r="GV11" s="38"/>
    </row>
    <row r="12" spans="1:204">
      <c r="A12" s="34" t="s">
        <v>345</v>
      </c>
      <c r="B12" s="45">
        <v>0.65</v>
      </c>
      <c r="C12" s="63">
        <f t="shared" si="0"/>
        <v>0</v>
      </c>
      <c r="D12" s="38">
        <v>0</v>
      </c>
      <c r="E12" s="38">
        <v>0</v>
      </c>
      <c r="F12" s="38">
        <v>0</v>
      </c>
      <c r="G12" s="38">
        <v>0</v>
      </c>
      <c r="H12" s="38">
        <v>0</v>
      </c>
      <c r="I12" s="38">
        <v>0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  <c r="Q12" s="38">
        <v>0</v>
      </c>
      <c r="R12" s="38">
        <v>0</v>
      </c>
      <c r="S12" s="38">
        <v>0</v>
      </c>
      <c r="T12" s="38">
        <v>0</v>
      </c>
      <c r="U12" s="38">
        <v>0</v>
      </c>
      <c r="V12" s="38">
        <v>0</v>
      </c>
      <c r="W12" s="38">
        <v>0</v>
      </c>
      <c r="X12" s="38">
        <v>0</v>
      </c>
      <c r="Y12" s="38">
        <v>0</v>
      </c>
      <c r="Z12" s="38">
        <v>0</v>
      </c>
      <c r="AA12" s="38">
        <v>0</v>
      </c>
      <c r="AB12" s="38">
        <v>0</v>
      </c>
      <c r="AC12" s="38">
        <v>0</v>
      </c>
      <c r="AD12" s="38">
        <v>0</v>
      </c>
      <c r="AE12" s="38">
        <v>0</v>
      </c>
      <c r="AF12" s="38">
        <v>0</v>
      </c>
      <c r="AG12" s="38">
        <v>0</v>
      </c>
      <c r="AH12" s="38">
        <v>0</v>
      </c>
      <c r="AI12" s="38">
        <v>0</v>
      </c>
      <c r="AJ12" s="38">
        <v>0</v>
      </c>
      <c r="AK12" s="38">
        <v>0</v>
      </c>
      <c r="AL12" s="38">
        <v>0</v>
      </c>
      <c r="AM12" s="38">
        <v>0</v>
      </c>
      <c r="AN12" s="38">
        <v>0</v>
      </c>
      <c r="AO12" s="38">
        <v>0</v>
      </c>
      <c r="AP12" s="38">
        <v>0</v>
      </c>
      <c r="AQ12" s="38">
        <v>0</v>
      </c>
      <c r="AR12" s="38">
        <v>0</v>
      </c>
      <c r="AS12" s="38">
        <v>0</v>
      </c>
      <c r="AT12" s="38">
        <v>0</v>
      </c>
      <c r="AU12" s="38">
        <v>0</v>
      </c>
      <c r="AV12" s="38">
        <v>0</v>
      </c>
      <c r="AW12" s="38">
        <v>0</v>
      </c>
      <c r="AX12" s="38">
        <v>0</v>
      </c>
      <c r="AY12" s="38">
        <v>0</v>
      </c>
      <c r="AZ12" s="38">
        <v>0</v>
      </c>
      <c r="BA12" s="38">
        <v>0</v>
      </c>
      <c r="BB12" s="38">
        <v>0</v>
      </c>
      <c r="BC12" s="38">
        <v>0</v>
      </c>
      <c r="BD12" s="38">
        <v>0</v>
      </c>
      <c r="BE12" s="38">
        <v>0</v>
      </c>
      <c r="BF12" s="38">
        <v>0</v>
      </c>
      <c r="BG12" s="38">
        <v>0</v>
      </c>
      <c r="BH12" s="38">
        <v>0</v>
      </c>
      <c r="BI12" s="38">
        <v>0</v>
      </c>
      <c r="BJ12" s="38">
        <v>0</v>
      </c>
      <c r="BK12" s="38">
        <v>0</v>
      </c>
      <c r="BL12" s="38">
        <v>0</v>
      </c>
      <c r="BM12" s="38">
        <v>0</v>
      </c>
      <c r="BN12" s="38">
        <v>0</v>
      </c>
      <c r="BO12" s="38">
        <v>0</v>
      </c>
      <c r="BP12" s="38">
        <v>0</v>
      </c>
      <c r="BQ12" s="38">
        <v>0</v>
      </c>
      <c r="BR12" s="38">
        <v>0</v>
      </c>
      <c r="BS12" s="38">
        <v>0</v>
      </c>
      <c r="BT12" s="38">
        <v>0</v>
      </c>
      <c r="BU12" s="38">
        <v>0</v>
      </c>
      <c r="BV12" s="38">
        <v>0</v>
      </c>
      <c r="BW12" s="38">
        <v>0</v>
      </c>
      <c r="BX12" s="38">
        <v>0</v>
      </c>
      <c r="BY12" s="38">
        <v>0</v>
      </c>
      <c r="BZ12" s="38">
        <v>0</v>
      </c>
      <c r="CA12" s="38">
        <v>0</v>
      </c>
      <c r="CB12" s="38">
        <v>0</v>
      </c>
      <c r="CC12" s="38">
        <v>0</v>
      </c>
      <c r="CD12" s="38">
        <v>0</v>
      </c>
      <c r="CE12" s="38">
        <v>0</v>
      </c>
      <c r="CF12" s="38">
        <v>0</v>
      </c>
      <c r="CG12" s="38">
        <v>0</v>
      </c>
      <c r="CH12" s="38">
        <v>0</v>
      </c>
      <c r="CI12" s="38">
        <v>0</v>
      </c>
      <c r="CJ12" s="38">
        <v>0</v>
      </c>
      <c r="CK12" s="38">
        <v>0</v>
      </c>
      <c r="CL12" s="38">
        <v>0</v>
      </c>
      <c r="CM12" s="38">
        <v>0</v>
      </c>
      <c r="CN12" s="38">
        <v>0</v>
      </c>
      <c r="CO12" s="38">
        <v>0</v>
      </c>
      <c r="CP12" s="38">
        <v>0</v>
      </c>
      <c r="CQ12" s="38">
        <v>0</v>
      </c>
      <c r="CR12" s="38">
        <v>0</v>
      </c>
      <c r="CS12" s="38">
        <v>0</v>
      </c>
      <c r="CT12" s="38">
        <v>0</v>
      </c>
      <c r="CU12" s="38">
        <v>0</v>
      </c>
      <c r="CV12" s="38">
        <v>0</v>
      </c>
      <c r="CW12" s="38">
        <v>0</v>
      </c>
      <c r="CX12" s="38">
        <v>0</v>
      </c>
      <c r="CY12" s="38">
        <v>0</v>
      </c>
      <c r="CZ12" s="38">
        <v>0</v>
      </c>
      <c r="DA12" s="38">
        <v>0</v>
      </c>
      <c r="DB12" s="38">
        <v>0</v>
      </c>
      <c r="DC12" s="38">
        <v>0</v>
      </c>
      <c r="DD12" s="38">
        <v>0</v>
      </c>
      <c r="DE12" s="38">
        <v>0</v>
      </c>
      <c r="DF12" s="38">
        <v>0</v>
      </c>
      <c r="DG12" s="38">
        <v>0</v>
      </c>
      <c r="DH12" s="38">
        <v>0</v>
      </c>
      <c r="DI12" s="38">
        <v>0</v>
      </c>
      <c r="DJ12" s="38">
        <v>0</v>
      </c>
      <c r="DK12" s="38">
        <v>0</v>
      </c>
      <c r="DL12" s="38">
        <v>0</v>
      </c>
      <c r="DM12" s="38">
        <v>0</v>
      </c>
      <c r="DN12" s="38">
        <v>0</v>
      </c>
      <c r="DO12" s="38">
        <v>0</v>
      </c>
      <c r="DP12" s="38">
        <v>0</v>
      </c>
      <c r="DQ12" s="38">
        <v>0</v>
      </c>
      <c r="DR12" s="38">
        <v>0</v>
      </c>
      <c r="DS12" s="38">
        <v>0</v>
      </c>
      <c r="DT12" s="38">
        <v>0</v>
      </c>
      <c r="DU12" s="38">
        <v>0</v>
      </c>
      <c r="DV12" s="38">
        <v>0</v>
      </c>
      <c r="DW12" s="38">
        <v>0</v>
      </c>
      <c r="DX12" s="38">
        <v>0</v>
      </c>
      <c r="DY12" s="38">
        <v>0</v>
      </c>
      <c r="DZ12" s="38">
        <v>0</v>
      </c>
      <c r="EA12" s="38">
        <v>0</v>
      </c>
      <c r="EB12" s="38">
        <v>0</v>
      </c>
      <c r="EC12" s="38">
        <v>0</v>
      </c>
      <c r="ED12" s="38">
        <v>0</v>
      </c>
      <c r="EE12" s="38">
        <v>0</v>
      </c>
      <c r="EF12" s="38">
        <v>0</v>
      </c>
      <c r="EG12" s="38">
        <v>0</v>
      </c>
      <c r="EH12" s="38">
        <v>0</v>
      </c>
      <c r="EI12" s="38">
        <v>0</v>
      </c>
      <c r="EJ12" s="38">
        <v>0</v>
      </c>
      <c r="EK12" s="38">
        <v>0</v>
      </c>
      <c r="EL12" s="38">
        <v>0</v>
      </c>
      <c r="EM12" s="38">
        <v>0</v>
      </c>
      <c r="EN12" s="38">
        <v>0</v>
      </c>
      <c r="EO12" s="38">
        <v>0</v>
      </c>
      <c r="EP12" s="38">
        <v>0</v>
      </c>
      <c r="EQ12" s="38">
        <v>0</v>
      </c>
      <c r="ER12" s="38">
        <v>0</v>
      </c>
      <c r="ES12" s="38">
        <v>0</v>
      </c>
      <c r="ET12" s="38">
        <v>0</v>
      </c>
      <c r="EU12" s="38">
        <v>0</v>
      </c>
      <c r="EV12" s="38">
        <v>0</v>
      </c>
      <c r="EW12" s="38">
        <v>0</v>
      </c>
      <c r="EX12" s="38">
        <v>0</v>
      </c>
      <c r="EY12" s="38">
        <v>0</v>
      </c>
      <c r="EZ12" s="38">
        <v>0</v>
      </c>
      <c r="FA12" s="38">
        <v>0</v>
      </c>
      <c r="FB12" s="38">
        <v>0</v>
      </c>
      <c r="FC12" s="38">
        <v>0</v>
      </c>
      <c r="FD12" s="38">
        <v>0</v>
      </c>
      <c r="FE12" s="38">
        <v>0</v>
      </c>
      <c r="FF12" s="38">
        <v>0</v>
      </c>
      <c r="FG12" s="38">
        <v>0</v>
      </c>
      <c r="FH12" s="38">
        <v>0</v>
      </c>
      <c r="FI12" s="38">
        <v>0</v>
      </c>
      <c r="FJ12" s="38">
        <v>0</v>
      </c>
      <c r="FK12" s="38">
        <v>0</v>
      </c>
      <c r="FL12" s="38">
        <v>0</v>
      </c>
      <c r="FM12" s="38">
        <v>0</v>
      </c>
      <c r="FN12" s="38">
        <v>0</v>
      </c>
      <c r="FO12" s="38">
        <v>0</v>
      </c>
      <c r="FP12" s="38">
        <v>0</v>
      </c>
      <c r="FQ12" s="38">
        <v>0</v>
      </c>
      <c r="FR12" s="38">
        <v>0</v>
      </c>
      <c r="FS12" s="38">
        <v>0</v>
      </c>
      <c r="FT12" s="38">
        <v>0</v>
      </c>
      <c r="FU12" s="38">
        <v>0</v>
      </c>
      <c r="FV12" s="38">
        <v>0</v>
      </c>
      <c r="FW12" s="38">
        <v>0</v>
      </c>
      <c r="FX12" s="38">
        <v>0</v>
      </c>
      <c r="FY12" s="38">
        <v>0</v>
      </c>
      <c r="FZ12" s="38">
        <v>0</v>
      </c>
      <c r="GA12" s="38">
        <v>0</v>
      </c>
      <c r="GB12" s="38">
        <v>0</v>
      </c>
      <c r="GC12" s="38">
        <v>0</v>
      </c>
      <c r="GD12" s="38">
        <v>0</v>
      </c>
      <c r="GE12" s="38">
        <v>0</v>
      </c>
      <c r="GF12" s="38">
        <v>0</v>
      </c>
      <c r="GG12" s="38">
        <v>0</v>
      </c>
      <c r="GH12" s="38">
        <v>0</v>
      </c>
      <c r="GI12" s="38">
        <v>0</v>
      </c>
      <c r="GJ12" s="38">
        <v>0</v>
      </c>
      <c r="GK12" s="38">
        <v>0</v>
      </c>
      <c r="GL12" s="38">
        <v>0</v>
      </c>
      <c r="GM12" s="38">
        <v>0</v>
      </c>
      <c r="GN12" s="38">
        <v>0</v>
      </c>
      <c r="GO12" s="38">
        <v>0</v>
      </c>
      <c r="GP12" s="38">
        <v>0</v>
      </c>
      <c r="GQ12" s="38">
        <v>0</v>
      </c>
      <c r="GR12" s="38">
        <v>0</v>
      </c>
      <c r="GS12" s="38"/>
      <c r="GT12" s="38"/>
      <c r="GU12" s="38"/>
      <c r="GV12" s="38"/>
    </row>
    <row r="13" spans="1:204">
      <c r="A13" s="34" t="s">
        <v>346</v>
      </c>
      <c r="B13" s="45">
        <v>0.65</v>
      </c>
      <c r="C13" s="63">
        <f t="shared" si="0"/>
        <v>17149</v>
      </c>
      <c r="D13" s="38">
        <v>0</v>
      </c>
      <c r="E13" s="38">
        <v>258</v>
      </c>
      <c r="F13" s="38">
        <v>0</v>
      </c>
      <c r="G13" s="38">
        <v>16</v>
      </c>
      <c r="H13" s="38">
        <v>0</v>
      </c>
      <c r="I13" s="38">
        <v>0</v>
      </c>
      <c r="J13" s="38">
        <v>0</v>
      </c>
      <c r="K13" s="38">
        <v>0</v>
      </c>
      <c r="L13" s="38">
        <v>0</v>
      </c>
      <c r="M13" s="38">
        <v>0</v>
      </c>
      <c r="N13" s="38">
        <v>393</v>
      </c>
      <c r="O13" s="38">
        <v>0</v>
      </c>
      <c r="P13" s="38">
        <v>0</v>
      </c>
      <c r="Q13" s="38">
        <v>0</v>
      </c>
      <c r="R13" s="38">
        <v>0</v>
      </c>
      <c r="S13" s="38">
        <v>43</v>
      </c>
      <c r="T13" s="38">
        <v>0</v>
      </c>
      <c r="U13" s="38">
        <v>1</v>
      </c>
      <c r="V13" s="38">
        <v>0</v>
      </c>
      <c r="W13" s="38">
        <v>0</v>
      </c>
      <c r="X13" s="38">
        <v>0</v>
      </c>
      <c r="Y13" s="38">
        <v>0</v>
      </c>
      <c r="Z13" s="38">
        <v>17</v>
      </c>
      <c r="AA13" s="38">
        <v>0</v>
      </c>
      <c r="AB13" s="38">
        <v>0</v>
      </c>
      <c r="AC13" s="38">
        <v>0</v>
      </c>
      <c r="AD13" s="38">
        <v>37</v>
      </c>
      <c r="AE13" s="38">
        <v>123</v>
      </c>
      <c r="AF13" s="38">
        <v>0</v>
      </c>
      <c r="AG13" s="38">
        <v>0</v>
      </c>
      <c r="AH13" s="38">
        <v>49</v>
      </c>
      <c r="AI13" s="38">
        <v>0</v>
      </c>
      <c r="AJ13" s="38">
        <v>0</v>
      </c>
      <c r="AK13" s="38">
        <v>31</v>
      </c>
      <c r="AL13" s="38">
        <v>0</v>
      </c>
      <c r="AM13" s="38">
        <v>0</v>
      </c>
      <c r="AN13" s="38">
        <v>0</v>
      </c>
      <c r="AO13" s="38">
        <v>33</v>
      </c>
      <c r="AP13" s="38">
        <v>0</v>
      </c>
      <c r="AQ13" s="38">
        <v>0</v>
      </c>
      <c r="AR13" s="38">
        <v>0</v>
      </c>
      <c r="AS13" s="38">
        <v>0</v>
      </c>
      <c r="AT13" s="38">
        <v>0</v>
      </c>
      <c r="AU13" s="38">
        <v>11</v>
      </c>
      <c r="AV13" s="38">
        <v>5</v>
      </c>
      <c r="AW13" s="38">
        <v>123</v>
      </c>
      <c r="AX13" s="38">
        <v>329</v>
      </c>
      <c r="AY13" s="38">
        <v>58</v>
      </c>
      <c r="AZ13" s="38">
        <v>0</v>
      </c>
      <c r="BA13" s="38">
        <v>147</v>
      </c>
      <c r="BB13" s="38">
        <v>0</v>
      </c>
      <c r="BC13" s="38">
        <v>143</v>
      </c>
      <c r="BD13" s="38">
        <v>239</v>
      </c>
      <c r="BE13" s="38">
        <v>390</v>
      </c>
      <c r="BF13" s="38">
        <v>0</v>
      </c>
      <c r="BG13" s="38">
        <v>0</v>
      </c>
      <c r="BH13" s="38">
        <v>10</v>
      </c>
      <c r="BI13" s="38">
        <v>20</v>
      </c>
      <c r="BJ13" s="38">
        <v>0</v>
      </c>
      <c r="BK13" s="38">
        <v>0</v>
      </c>
      <c r="BL13" s="38">
        <v>0</v>
      </c>
      <c r="BM13" s="38">
        <v>0</v>
      </c>
      <c r="BN13" s="38">
        <v>98</v>
      </c>
      <c r="BO13" s="38">
        <v>0</v>
      </c>
      <c r="BP13" s="38">
        <v>0</v>
      </c>
      <c r="BQ13" s="38">
        <v>0</v>
      </c>
      <c r="BR13" s="38">
        <v>0</v>
      </c>
      <c r="BS13" s="38">
        <v>180</v>
      </c>
      <c r="BT13" s="38">
        <v>0</v>
      </c>
      <c r="BU13" s="38">
        <v>0</v>
      </c>
      <c r="BV13" s="38">
        <v>0</v>
      </c>
      <c r="BW13" s="38">
        <v>0</v>
      </c>
      <c r="BX13" s="38">
        <v>0</v>
      </c>
      <c r="BY13" s="38">
        <v>0</v>
      </c>
      <c r="BZ13" s="38">
        <v>0</v>
      </c>
      <c r="CA13" s="38">
        <v>0</v>
      </c>
      <c r="CB13" s="38">
        <v>0</v>
      </c>
      <c r="CC13" s="38">
        <v>481</v>
      </c>
      <c r="CD13" s="38">
        <v>2238</v>
      </c>
      <c r="CE13" s="38">
        <v>0</v>
      </c>
      <c r="CF13" s="38">
        <v>170</v>
      </c>
      <c r="CG13" s="38">
        <v>0</v>
      </c>
      <c r="CH13" s="38">
        <v>141</v>
      </c>
      <c r="CI13" s="38">
        <v>0</v>
      </c>
      <c r="CJ13" s="38">
        <v>0</v>
      </c>
      <c r="CK13" s="38">
        <v>0</v>
      </c>
      <c r="CL13" s="38">
        <v>0</v>
      </c>
      <c r="CM13" s="38">
        <v>0</v>
      </c>
      <c r="CN13" s="38">
        <v>610</v>
      </c>
      <c r="CO13" s="38">
        <v>24</v>
      </c>
      <c r="CP13" s="38">
        <v>0</v>
      </c>
      <c r="CQ13" s="38">
        <v>0</v>
      </c>
      <c r="CR13" s="38">
        <v>0</v>
      </c>
      <c r="CS13" s="38">
        <v>1</v>
      </c>
      <c r="CT13" s="38">
        <v>345</v>
      </c>
      <c r="CU13" s="38">
        <v>0</v>
      </c>
      <c r="CV13" s="38">
        <v>0</v>
      </c>
      <c r="CW13" s="38">
        <v>0</v>
      </c>
      <c r="CX13" s="38">
        <v>0</v>
      </c>
      <c r="CY13" s="38">
        <v>4</v>
      </c>
      <c r="CZ13" s="38">
        <v>110</v>
      </c>
      <c r="DA13" s="38">
        <v>746</v>
      </c>
      <c r="DB13" s="38">
        <v>0</v>
      </c>
      <c r="DC13" s="38">
        <v>0</v>
      </c>
      <c r="DD13" s="38">
        <v>11</v>
      </c>
      <c r="DE13" s="38">
        <v>20</v>
      </c>
      <c r="DF13" s="38">
        <v>0</v>
      </c>
      <c r="DG13" s="38">
        <v>0</v>
      </c>
      <c r="DH13" s="38">
        <v>0</v>
      </c>
      <c r="DI13" s="38">
        <v>0</v>
      </c>
      <c r="DJ13" s="38">
        <v>0</v>
      </c>
      <c r="DK13" s="38">
        <v>0</v>
      </c>
      <c r="DL13" s="38">
        <v>13</v>
      </c>
      <c r="DM13" s="38">
        <v>0</v>
      </c>
      <c r="DN13" s="38">
        <v>50</v>
      </c>
      <c r="DO13" s="38">
        <v>134</v>
      </c>
      <c r="DP13" s="38">
        <v>27</v>
      </c>
      <c r="DQ13" s="38">
        <v>0</v>
      </c>
      <c r="DR13" s="38">
        <v>0</v>
      </c>
      <c r="DS13" s="38">
        <v>519</v>
      </c>
      <c r="DT13" s="38">
        <v>0</v>
      </c>
      <c r="DU13" s="38">
        <v>41</v>
      </c>
      <c r="DV13" s="38">
        <v>0</v>
      </c>
      <c r="DW13" s="38">
        <v>0</v>
      </c>
      <c r="DX13" s="38">
        <v>458</v>
      </c>
      <c r="DY13" s="38">
        <v>79</v>
      </c>
      <c r="DZ13" s="38">
        <v>11</v>
      </c>
      <c r="EA13" s="38">
        <v>0</v>
      </c>
      <c r="EB13" s="38">
        <v>127</v>
      </c>
      <c r="EC13" s="38">
        <v>0</v>
      </c>
      <c r="ED13" s="38">
        <v>0</v>
      </c>
      <c r="EE13" s="38">
        <v>0</v>
      </c>
      <c r="EF13" s="38">
        <v>0</v>
      </c>
      <c r="EG13" s="38">
        <v>0</v>
      </c>
      <c r="EH13" s="38">
        <v>1</v>
      </c>
      <c r="EI13" s="38">
        <v>0</v>
      </c>
      <c r="EJ13" s="38">
        <v>645</v>
      </c>
      <c r="EK13" s="38">
        <v>234</v>
      </c>
      <c r="EL13" s="38">
        <v>0</v>
      </c>
      <c r="EM13" s="38">
        <v>0</v>
      </c>
      <c r="EN13" s="38">
        <v>0</v>
      </c>
      <c r="EO13" s="38">
        <v>729</v>
      </c>
      <c r="EP13" s="38">
        <v>0</v>
      </c>
      <c r="EQ13" s="38">
        <v>0</v>
      </c>
      <c r="ER13" s="38">
        <v>10</v>
      </c>
      <c r="ES13" s="38">
        <v>0</v>
      </c>
      <c r="ET13" s="38">
        <v>0</v>
      </c>
      <c r="EU13" s="38">
        <v>119</v>
      </c>
      <c r="EV13" s="38">
        <v>181</v>
      </c>
      <c r="EW13" s="38">
        <v>0</v>
      </c>
      <c r="EX13" s="38">
        <v>530</v>
      </c>
      <c r="EY13" s="38">
        <v>134</v>
      </c>
      <c r="EZ13" s="38">
        <v>254</v>
      </c>
      <c r="FA13" s="38">
        <v>0</v>
      </c>
      <c r="FB13" s="38">
        <v>39</v>
      </c>
      <c r="FC13" s="38">
        <v>0</v>
      </c>
      <c r="FD13" s="38">
        <v>0</v>
      </c>
      <c r="FE13" s="38">
        <v>0</v>
      </c>
      <c r="FF13" s="38">
        <v>68</v>
      </c>
      <c r="FG13" s="38">
        <v>0</v>
      </c>
      <c r="FH13" s="38">
        <v>578</v>
      </c>
      <c r="FI13" s="38">
        <v>0</v>
      </c>
      <c r="FJ13" s="38">
        <v>0</v>
      </c>
      <c r="FK13" s="38">
        <v>0</v>
      </c>
      <c r="FL13" s="38">
        <v>0</v>
      </c>
      <c r="FM13" s="38">
        <v>0</v>
      </c>
      <c r="FN13" s="38">
        <v>0</v>
      </c>
      <c r="FO13" s="38">
        <v>104</v>
      </c>
      <c r="FP13" s="38">
        <v>0</v>
      </c>
      <c r="FQ13" s="38">
        <v>322</v>
      </c>
      <c r="FR13" s="38">
        <v>0</v>
      </c>
      <c r="FS13" s="38">
        <v>316</v>
      </c>
      <c r="FT13" s="38">
        <v>785</v>
      </c>
      <c r="FU13" s="38">
        <v>0</v>
      </c>
      <c r="FV13" s="38">
        <v>0</v>
      </c>
      <c r="FW13" s="38">
        <v>0</v>
      </c>
      <c r="FX13" s="38">
        <v>0</v>
      </c>
      <c r="FY13" s="38">
        <v>0</v>
      </c>
      <c r="FZ13" s="38">
        <v>804</v>
      </c>
      <c r="GA13" s="38">
        <v>10</v>
      </c>
      <c r="GB13" s="38">
        <v>5</v>
      </c>
      <c r="GC13" s="38">
        <v>0</v>
      </c>
      <c r="GD13" s="38">
        <v>0</v>
      </c>
      <c r="GE13" s="38">
        <v>1227</v>
      </c>
      <c r="GF13" s="38">
        <v>152</v>
      </c>
      <c r="GG13" s="38">
        <v>0</v>
      </c>
      <c r="GH13" s="38">
        <v>0</v>
      </c>
      <c r="GI13" s="38">
        <v>23</v>
      </c>
      <c r="GJ13" s="38">
        <v>0</v>
      </c>
      <c r="GK13" s="38">
        <v>328</v>
      </c>
      <c r="GL13" s="38">
        <v>111</v>
      </c>
      <c r="GM13" s="38">
        <v>0</v>
      </c>
      <c r="GN13" s="38">
        <v>0</v>
      </c>
      <c r="GO13" s="38">
        <v>326</v>
      </c>
      <c r="GP13" s="38">
        <v>0</v>
      </c>
      <c r="GQ13" s="38">
        <v>0</v>
      </c>
      <c r="GR13" s="38">
        <v>0</v>
      </c>
      <c r="GS13" s="38"/>
      <c r="GT13" s="38"/>
      <c r="GU13" s="38"/>
      <c r="GV13" s="38"/>
    </row>
    <row r="14" spans="1:204">
      <c r="A14" s="34" t="s">
        <v>347</v>
      </c>
      <c r="B14" s="45">
        <v>0.65</v>
      </c>
      <c r="C14" s="63">
        <f t="shared" si="0"/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38">
        <v>0</v>
      </c>
      <c r="AC14" s="38">
        <v>0</v>
      </c>
      <c r="AD14" s="38">
        <v>0</v>
      </c>
      <c r="AE14" s="38">
        <v>0</v>
      </c>
      <c r="AF14" s="38">
        <v>0</v>
      </c>
      <c r="AG14" s="38">
        <v>0</v>
      </c>
      <c r="AH14" s="38">
        <v>0</v>
      </c>
      <c r="AI14" s="38">
        <v>0</v>
      </c>
      <c r="AJ14" s="38">
        <v>0</v>
      </c>
      <c r="AK14" s="38">
        <v>0</v>
      </c>
      <c r="AL14" s="38">
        <v>0</v>
      </c>
      <c r="AM14" s="38">
        <v>0</v>
      </c>
      <c r="AN14" s="38">
        <v>0</v>
      </c>
      <c r="AO14" s="38">
        <v>0</v>
      </c>
      <c r="AP14" s="38">
        <v>0</v>
      </c>
      <c r="AQ14" s="38">
        <v>0</v>
      </c>
      <c r="AR14" s="38">
        <v>0</v>
      </c>
      <c r="AS14" s="38">
        <v>0</v>
      </c>
      <c r="AT14" s="38">
        <v>0</v>
      </c>
      <c r="AU14" s="38">
        <v>0</v>
      </c>
      <c r="AV14" s="38">
        <v>0</v>
      </c>
      <c r="AW14" s="38">
        <v>0</v>
      </c>
      <c r="AX14" s="38">
        <v>0</v>
      </c>
      <c r="AY14" s="38">
        <v>0</v>
      </c>
      <c r="AZ14" s="38">
        <v>0</v>
      </c>
      <c r="BA14" s="38">
        <v>0</v>
      </c>
      <c r="BB14" s="38">
        <v>0</v>
      </c>
      <c r="BC14" s="38">
        <v>0</v>
      </c>
      <c r="BD14" s="38">
        <v>0</v>
      </c>
      <c r="BE14" s="38">
        <v>0</v>
      </c>
      <c r="BF14" s="38">
        <v>0</v>
      </c>
      <c r="BG14" s="38">
        <v>0</v>
      </c>
      <c r="BH14" s="38">
        <v>0</v>
      </c>
      <c r="BI14" s="38">
        <v>0</v>
      </c>
      <c r="BJ14" s="38">
        <v>0</v>
      </c>
      <c r="BK14" s="38">
        <v>0</v>
      </c>
      <c r="BL14" s="38">
        <v>0</v>
      </c>
      <c r="BM14" s="38">
        <v>0</v>
      </c>
      <c r="BN14" s="38">
        <v>0</v>
      </c>
      <c r="BO14" s="38">
        <v>0</v>
      </c>
      <c r="BP14" s="38">
        <v>0</v>
      </c>
      <c r="BQ14" s="38">
        <v>0</v>
      </c>
      <c r="BR14" s="38">
        <v>0</v>
      </c>
      <c r="BS14" s="38">
        <v>0</v>
      </c>
      <c r="BT14" s="38">
        <v>0</v>
      </c>
      <c r="BU14" s="38">
        <v>0</v>
      </c>
      <c r="BV14" s="38">
        <v>0</v>
      </c>
      <c r="BW14" s="38">
        <v>0</v>
      </c>
      <c r="BX14" s="38">
        <v>0</v>
      </c>
      <c r="BY14" s="38">
        <v>0</v>
      </c>
      <c r="BZ14" s="38">
        <v>0</v>
      </c>
      <c r="CA14" s="38">
        <v>0</v>
      </c>
      <c r="CB14" s="38">
        <v>0</v>
      </c>
      <c r="CC14" s="38">
        <v>0</v>
      </c>
      <c r="CD14" s="38">
        <v>0</v>
      </c>
      <c r="CE14" s="38">
        <v>0</v>
      </c>
      <c r="CF14" s="38">
        <v>0</v>
      </c>
      <c r="CG14" s="38">
        <v>0</v>
      </c>
      <c r="CH14" s="38">
        <v>0</v>
      </c>
      <c r="CI14" s="38">
        <v>0</v>
      </c>
      <c r="CJ14" s="38">
        <v>0</v>
      </c>
      <c r="CK14" s="38">
        <v>0</v>
      </c>
      <c r="CL14" s="38">
        <v>0</v>
      </c>
      <c r="CM14" s="38">
        <v>0</v>
      </c>
      <c r="CN14" s="38">
        <v>0</v>
      </c>
      <c r="CO14" s="38">
        <v>0</v>
      </c>
      <c r="CP14" s="38">
        <v>0</v>
      </c>
      <c r="CQ14" s="38">
        <v>0</v>
      </c>
      <c r="CR14" s="38">
        <v>0</v>
      </c>
      <c r="CS14" s="38">
        <v>0</v>
      </c>
      <c r="CT14" s="38">
        <v>0</v>
      </c>
      <c r="CU14" s="38">
        <v>0</v>
      </c>
      <c r="CV14" s="38">
        <v>0</v>
      </c>
      <c r="CW14" s="38">
        <v>0</v>
      </c>
      <c r="CX14" s="38">
        <v>0</v>
      </c>
      <c r="CY14" s="38">
        <v>0</v>
      </c>
      <c r="CZ14" s="38">
        <v>0</v>
      </c>
      <c r="DA14" s="38">
        <v>0</v>
      </c>
      <c r="DB14" s="38">
        <v>0</v>
      </c>
      <c r="DC14" s="38">
        <v>0</v>
      </c>
      <c r="DD14" s="38">
        <v>0</v>
      </c>
      <c r="DE14" s="38">
        <v>0</v>
      </c>
      <c r="DF14" s="38">
        <v>0</v>
      </c>
      <c r="DG14" s="38">
        <v>0</v>
      </c>
      <c r="DH14" s="38">
        <v>0</v>
      </c>
      <c r="DI14" s="38">
        <v>0</v>
      </c>
      <c r="DJ14" s="38">
        <v>0</v>
      </c>
      <c r="DK14" s="38">
        <v>0</v>
      </c>
      <c r="DL14" s="38">
        <v>0</v>
      </c>
      <c r="DM14" s="38">
        <v>0</v>
      </c>
      <c r="DN14" s="38">
        <v>0</v>
      </c>
      <c r="DO14" s="38">
        <v>0</v>
      </c>
      <c r="DP14" s="38">
        <v>0</v>
      </c>
      <c r="DQ14" s="38">
        <v>0</v>
      </c>
      <c r="DR14" s="38">
        <v>0</v>
      </c>
      <c r="DS14" s="38">
        <v>0</v>
      </c>
      <c r="DT14" s="38">
        <v>0</v>
      </c>
      <c r="DU14" s="38">
        <v>0</v>
      </c>
      <c r="DV14" s="38">
        <v>0</v>
      </c>
      <c r="DW14" s="38">
        <v>0</v>
      </c>
      <c r="DX14" s="38">
        <v>0</v>
      </c>
      <c r="DY14" s="38">
        <v>0</v>
      </c>
      <c r="DZ14" s="38">
        <v>0</v>
      </c>
      <c r="EA14" s="38">
        <v>0</v>
      </c>
      <c r="EB14" s="38">
        <v>0</v>
      </c>
      <c r="EC14" s="38">
        <v>0</v>
      </c>
      <c r="ED14" s="38">
        <v>0</v>
      </c>
      <c r="EE14" s="38">
        <v>0</v>
      </c>
      <c r="EF14" s="38">
        <v>0</v>
      </c>
      <c r="EG14" s="38">
        <v>0</v>
      </c>
      <c r="EH14" s="38">
        <v>0</v>
      </c>
      <c r="EI14" s="38">
        <v>0</v>
      </c>
      <c r="EJ14" s="38">
        <v>0</v>
      </c>
      <c r="EK14" s="38">
        <v>0</v>
      </c>
      <c r="EL14" s="38">
        <v>0</v>
      </c>
      <c r="EM14" s="38">
        <v>0</v>
      </c>
      <c r="EN14" s="38">
        <v>0</v>
      </c>
      <c r="EO14" s="38">
        <v>0</v>
      </c>
      <c r="EP14" s="38">
        <v>0</v>
      </c>
      <c r="EQ14" s="38">
        <v>0</v>
      </c>
      <c r="ER14" s="38">
        <v>0</v>
      </c>
      <c r="ES14" s="38">
        <v>0</v>
      </c>
      <c r="ET14" s="38">
        <v>0</v>
      </c>
      <c r="EU14" s="38">
        <v>0</v>
      </c>
      <c r="EV14" s="38">
        <v>0</v>
      </c>
      <c r="EW14" s="38">
        <v>0</v>
      </c>
      <c r="EX14" s="38">
        <v>0</v>
      </c>
      <c r="EY14" s="38">
        <v>0</v>
      </c>
      <c r="EZ14" s="38">
        <v>0</v>
      </c>
      <c r="FA14" s="38">
        <v>0</v>
      </c>
      <c r="FB14" s="38">
        <v>0</v>
      </c>
      <c r="FC14" s="38">
        <v>0</v>
      </c>
      <c r="FD14" s="38">
        <v>0</v>
      </c>
      <c r="FE14" s="38">
        <v>0</v>
      </c>
      <c r="FF14" s="38">
        <v>0</v>
      </c>
      <c r="FG14" s="38">
        <v>0</v>
      </c>
      <c r="FH14" s="38">
        <v>0</v>
      </c>
      <c r="FI14" s="38">
        <v>0</v>
      </c>
      <c r="FJ14" s="38">
        <v>0</v>
      </c>
      <c r="FK14" s="38">
        <v>0</v>
      </c>
      <c r="FL14" s="38">
        <v>0</v>
      </c>
      <c r="FM14" s="38">
        <v>0</v>
      </c>
      <c r="FN14" s="38">
        <v>0</v>
      </c>
      <c r="FO14" s="38">
        <v>0</v>
      </c>
      <c r="FP14" s="38">
        <v>0</v>
      </c>
      <c r="FQ14" s="38">
        <v>0</v>
      </c>
      <c r="FR14" s="38">
        <v>0</v>
      </c>
      <c r="FS14" s="38">
        <v>0</v>
      </c>
      <c r="FT14" s="38">
        <v>0</v>
      </c>
      <c r="FU14" s="38">
        <v>0</v>
      </c>
      <c r="FV14" s="38">
        <v>0</v>
      </c>
      <c r="FW14" s="38">
        <v>0</v>
      </c>
      <c r="FX14" s="38">
        <v>0</v>
      </c>
      <c r="FY14" s="38">
        <v>0</v>
      </c>
      <c r="FZ14" s="38">
        <v>0</v>
      </c>
      <c r="GA14" s="38">
        <v>0</v>
      </c>
      <c r="GB14" s="38">
        <v>0</v>
      </c>
      <c r="GC14" s="38">
        <v>0</v>
      </c>
      <c r="GD14" s="38">
        <v>0</v>
      </c>
      <c r="GE14" s="38">
        <v>0</v>
      </c>
      <c r="GF14" s="38">
        <v>0</v>
      </c>
      <c r="GG14" s="38">
        <v>0</v>
      </c>
      <c r="GH14" s="38">
        <v>0</v>
      </c>
      <c r="GI14" s="38">
        <v>0</v>
      </c>
      <c r="GJ14" s="38">
        <v>0</v>
      </c>
      <c r="GK14" s="38">
        <v>0</v>
      </c>
      <c r="GL14" s="38">
        <v>0</v>
      </c>
      <c r="GM14" s="38">
        <v>0</v>
      </c>
      <c r="GN14" s="38">
        <v>0</v>
      </c>
      <c r="GO14" s="38">
        <v>0</v>
      </c>
      <c r="GP14" s="38">
        <v>0</v>
      </c>
      <c r="GQ14" s="38">
        <v>0</v>
      </c>
      <c r="GR14" s="38">
        <v>0</v>
      </c>
      <c r="GS14" s="38"/>
      <c r="GT14" s="38"/>
      <c r="GU14" s="38"/>
      <c r="GV14" s="38"/>
    </row>
    <row r="15" spans="1:204">
      <c r="A15" s="34" t="s">
        <v>348</v>
      </c>
      <c r="B15" s="45">
        <v>0.65</v>
      </c>
      <c r="C15" s="63">
        <f t="shared" si="0"/>
        <v>1</v>
      </c>
      <c r="D15" s="38">
        <v>0</v>
      </c>
      <c r="E15" s="38">
        <v>0</v>
      </c>
      <c r="F15" s="38">
        <v>0</v>
      </c>
      <c r="G15" s="38">
        <v>0</v>
      </c>
      <c r="H15" s="38">
        <v>0</v>
      </c>
      <c r="I15" s="38">
        <v>0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  <c r="R15" s="38">
        <v>0</v>
      </c>
      <c r="S15" s="38">
        <v>0</v>
      </c>
      <c r="T15" s="38">
        <v>0</v>
      </c>
      <c r="U15" s="38">
        <v>0</v>
      </c>
      <c r="V15" s="38">
        <v>0</v>
      </c>
      <c r="W15" s="38">
        <v>0</v>
      </c>
      <c r="X15" s="38">
        <v>0</v>
      </c>
      <c r="Y15" s="38">
        <v>0</v>
      </c>
      <c r="Z15" s="38">
        <v>0</v>
      </c>
      <c r="AA15" s="38">
        <v>0</v>
      </c>
      <c r="AB15" s="38">
        <v>0</v>
      </c>
      <c r="AC15" s="38">
        <v>0</v>
      </c>
      <c r="AD15" s="38">
        <v>0</v>
      </c>
      <c r="AE15" s="38">
        <v>0</v>
      </c>
      <c r="AF15" s="38">
        <v>0</v>
      </c>
      <c r="AG15" s="38">
        <v>0</v>
      </c>
      <c r="AH15" s="38">
        <v>0</v>
      </c>
      <c r="AI15" s="38">
        <v>0</v>
      </c>
      <c r="AJ15" s="38">
        <v>0</v>
      </c>
      <c r="AK15" s="38">
        <v>0</v>
      </c>
      <c r="AL15" s="38">
        <v>0</v>
      </c>
      <c r="AM15" s="38">
        <v>0</v>
      </c>
      <c r="AN15" s="38">
        <v>0</v>
      </c>
      <c r="AO15" s="38">
        <v>0</v>
      </c>
      <c r="AP15" s="38">
        <v>0</v>
      </c>
      <c r="AQ15" s="38">
        <v>0</v>
      </c>
      <c r="AR15" s="38">
        <v>0</v>
      </c>
      <c r="AS15" s="38">
        <v>0</v>
      </c>
      <c r="AT15" s="38">
        <v>0</v>
      </c>
      <c r="AU15" s="38">
        <v>0</v>
      </c>
      <c r="AV15" s="38">
        <v>0</v>
      </c>
      <c r="AW15" s="38">
        <v>0</v>
      </c>
      <c r="AX15" s="38">
        <v>0</v>
      </c>
      <c r="AY15" s="38">
        <v>0</v>
      </c>
      <c r="AZ15" s="38">
        <v>0</v>
      </c>
      <c r="BA15" s="38">
        <v>0</v>
      </c>
      <c r="BB15" s="38">
        <v>0</v>
      </c>
      <c r="BC15" s="38">
        <v>0</v>
      </c>
      <c r="BD15" s="38">
        <v>0</v>
      </c>
      <c r="BE15" s="38">
        <v>0</v>
      </c>
      <c r="BF15" s="38">
        <v>0</v>
      </c>
      <c r="BG15" s="38">
        <v>0</v>
      </c>
      <c r="BH15" s="38">
        <v>0</v>
      </c>
      <c r="BI15" s="38">
        <v>0</v>
      </c>
      <c r="BJ15" s="38">
        <v>0</v>
      </c>
      <c r="BK15" s="38">
        <v>0</v>
      </c>
      <c r="BL15" s="38">
        <v>0</v>
      </c>
      <c r="BM15" s="38">
        <v>0</v>
      </c>
      <c r="BN15" s="38">
        <v>0</v>
      </c>
      <c r="BO15" s="38">
        <v>0</v>
      </c>
      <c r="BP15" s="38">
        <v>0</v>
      </c>
      <c r="BQ15" s="38">
        <v>0</v>
      </c>
      <c r="BR15" s="38">
        <v>0</v>
      </c>
      <c r="BS15" s="38">
        <v>0</v>
      </c>
      <c r="BT15" s="38">
        <v>0</v>
      </c>
      <c r="BU15" s="38">
        <v>0</v>
      </c>
      <c r="BV15" s="38">
        <v>0</v>
      </c>
      <c r="BW15" s="38">
        <v>0</v>
      </c>
      <c r="BX15" s="38">
        <v>0</v>
      </c>
      <c r="BY15" s="38">
        <v>0</v>
      </c>
      <c r="BZ15" s="38">
        <v>0</v>
      </c>
      <c r="CA15" s="38">
        <v>0</v>
      </c>
      <c r="CB15" s="38">
        <v>0</v>
      </c>
      <c r="CC15" s="38">
        <v>0</v>
      </c>
      <c r="CD15" s="38">
        <v>0</v>
      </c>
      <c r="CE15" s="38">
        <v>0</v>
      </c>
      <c r="CF15" s="38">
        <v>0</v>
      </c>
      <c r="CG15" s="38">
        <v>0</v>
      </c>
      <c r="CH15" s="38">
        <v>0</v>
      </c>
      <c r="CI15" s="38">
        <v>0</v>
      </c>
      <c r="CJ15" s="38">
        <v>0</v>
      </c>
      <c r="CK15" s="38">
        <v>0</v>
      </c>
      <c r="CL15" s="38">
        <v>0</v>
      </c>
      <c r="CM15" s="38">
        <v>0</v>
      </c>
      <c r="CN15" s="38">
        <v>0</v>
      </c>
      <c r="CO15" s="38">
        <v>0</v>
      </c>
      <c r="CP15" s="38">
        <v>0</v>
      </c>
      <c r="CQ15" s="38">
        <v>0</v>
      </c>
      <c r="CR15" s="38">
        <v>0</v>
      </c>
      <c r="CS15" s="38">
        <v>0</v>
      </c>
      <c r="CT15" s="38">
        <v>0</v>
      </c>
      <c r="CU15" s="38">
        <v>0</v>
      </c>
      <c r="CV15" s="38">
        <v>0</v>
      </c>
      <c r="CW15" s="38">
        <v>0</v>
      </c>
      <c r="CX15" s="38">
        <v>0</v>
      </c>
      <c r="CY15" s="38">
        <v>0</v>
      </c>
      <c r="CZ15" s="38">
        <v>0</v>
      </c>
      <c r="DA15" s="38">
        <v>0</v>
      </c>
      <c r="DB15" s="38">
        <v>0</v>
      </c>
      <c r="DC15" s="38">
        <v>0</v>
      </c>
      <c r="DD15" s="38">
        <v>0</v>
      </c>
      <c r="DE15" s="38">
        <v>0</v>
      </c>
      <c r="DF15" s="38">
        <v>0</v>
      </c>
      <c r="DG15" s="38">
        <v>0</v>
      </c>
      <c r="DH15" s="38">
        <v>0</v>
      </c>
      <c r="DI15" s="38">
        <v>0</v>
      </c>
      <c r="DJ15" s="38">
        <v>0</v>
      </c>
      <c r="DK15" s="38">
        <v>0</v>
      </c>
      <c r="DL15" s="38">
        <v>0</v>
      </c>
      <c r="DM15" s="38">
        <v>0</v>
      </c>
      <c r="DN15" s="38">
        <v>0</v>
      </c>
      <c r="DO15" s="38">
        <v>0</v>
      </c>
      <c r="DP15" s="38">
        <v>0</v>
      </c>
      <c r="DQ15" s="38">
        <v>0</v>
      </c>
      <c r="DR15" s="38">
        <v>0</v>
      </c>
      <c r="DS15" s="38">
        <v>0</v>
      </c>
      <c r="DT15" s="38">
        <v>0</v>
      </c>
      <c r="DU15" s="38">
        <v>0</v>
      </c>
      <c r="DV15" s="38">
        <v>0</v>
      </c>
      <c r="DW15" s="38">
        <v>0</v>
      </c>
      <c r="DX15" s="38">
        <v>0</v>
      </c>
      <c r="DY15" s="38">
        <v>1</v>
      </c>
      <c r="DZ15" s="38">
        <v>0</v>
      </c>
      <c r="EA15" s="38">
        <v>0</v>
      </c>
      <c r="EB15" s="38">
        <v>0</v>
      </c>
      <c r="EC15" s="38">
        <v>0</v>
      </c>
      <c r="ED15" s="38">
        <v>0</v>
      </c>
      <c r="EE15" s="38">
        <v>0</v>
      </c>
      <c r="EF15" s="38">
        <v>0</v>
      </c>
      <c r="EG15" s="38">
        <v>0</v>
      </c>
      <c r="EH15" s="38">
        <v>0</v>
      </c>
      <c r="EI15" s="38">
        <v>0</v>
      </c>
      <c r="EJ15" s="38">
        <v>0</v>
      </c>
      <c r="EK15" s="38">
        <v>0</v>
      </c>
      <c r="EL15" s="38">
        <v>0</v>
      </c>
      <c r="EM15" s="38">
        <v>0</v>
      </c>
      <c r="EN15" s="38">
        <v>0</v>
      </c>
      <c r="EO15" s="38">
        <v>0</v>
      </c>
      <c r="EP15" s="38">
        <v>0</v>
      </c>
      <c r="EQ15" s="38">
        <v>0</v>
      </c>
      <c r="ER15" s="38">
        <v>0</v>
      </c>
      <c r="ES15" s="38">
        <v>0</v>
      </c>
      <c r="ET15" s="38">
        <v>0</v>
      </c>
      <c r="EU15" s="38">
        <v>0</v>
      </c>
      <c r="EV15" s="38">
        <v>0</v>
      </c>
      <c r="EW15" s="38">
        <v>0</v>
      </c>
      <c r="EX15" s="38">
        <v>0</v>
      </c>
      <c r="EY15" s="38">
        <v>0</v>
      </c>
      <c r="EZ15" s="38">
        <v>0</v>
      </c>
      <c r="FA15" s="38">
        <v>0</v>
      </c>
      <c r="FB15" s="38">
        <v>0</v>
      </c>
      <c r="FC15" s="38">
        <v>0</v>
      </c>
      <c r="FD15" s="38">
        <v>0</v>
      </c>
      <c r="FE15" s="38">
        <v>0</v>
      </c>
      <c r="FF15" s="38">
        <v>0</v>
      </c>
      <c r="FG15" s="38">
        <v>0</v>
      </c>
      <c r="FH15" s="38">
        <v>0</v>
      </c>
      <c r="FI15" s="38">
        <v>0</v>
      </c>
      <c r="FJ15" s="38">
        <v>0</v>
      </c>
      <c r="FK15" s="38">
        <v>0</v>
      </c>
      <c r="FL15" s="38">
        <v>0</v>
      </c>
      <c r="FM15" s="38">
        <v>0</v>
      </c>
      <c r="FN15" s="38">
        <v>0</v>
      </c>
      <c r="FO15" s="38">
        <v>0</v>
      </c>
      <c r="FP15" s="38">
        <v>0</v>
      </c>
      <c r="FQ15" s="38">
        <v>0</v>
      </c>
      <c r="FR15" s="38">
        <v>0</v>
      </c>
      <c r="FS15" s="38">
        <v>0</v>
      </c>
      <c r="FT15" s="38">
        <v>0</v>
      </c>
      <c r="FU15" s="38">
        <v>0</v>
      </c>
      <c r="FV15" s="38">
        <v>0</v>
      </c>
      <c r="FW15" s="38">
        <v>0</v>
      </c>
      <c r="FX15" s="38">
        <v>0</v>
      </c>
      <c r="FY15" s="38">
        <v>0</v>
      </c>
      <c r="FZ15" s="38">
        <v>0</v>
      </c>
      <c r="GA15" s="38">
        <v>0</v>
      </c>
      <c r="GB15" s="38">
        <v>0</v>
      </c>
      <c r="GC15" s="38">
        <v>0</v>
      </c>
      <c r="GD15" s="38">
        <v>0</v>
      </c>
      <c r="GE15" s="38">
        <v>0</v>
      </c>
      <c r="GF15" s="38">
        <v>0</v>
      </c>
      <c r="GG15" s="38">
        <v>0</v>
      </c>
      <c r="GH15" s="38">
        <v>0</v>
      </c>
      <c r="GI15" s="38">
        <v>0</v>
      </c>
      <c r="GJ15" s="38">
        <v>0</v>
      </c>
      <c r="GK15" s="38">
        <v>0</v>
      </c>
      <c r="GL15" s="38">
        <v>0</v>
      </c>
      <c r="GM15" s="38">
        <v>0</v>
      </c>
      <c r="GN15" s="38">
        <v>0</v>
      </c>
      <c r="GO15" s="38">
        <v>0</v>
      </c>
      <c r="GP15" s="38">
        <v>0</v>
      </c>
      <c r="GQ15" s="38">
        <v>0</v>
      </c>
      <c r="GR15" s="38">
        <v>0</v>
      </c>
      <c r="GS15" s="38"/>
      <c r="GT15" s="38"/>
      <c r="GU15" s="38"/>
      <c r="GV15" s="38"/>
    </row>
    <row r="16" spans="1:204">
      <c r="A16" s="34" t="s">
        <v>349</v>
      </c>
      <c r="B16" s="45">
        <v>0.65</v>
      </c>
      <c r="C16" s="63">
        <f t="shared" si="0"/>
        <v>387</v>
      </c>
      <c r="D16" s="38">
        <v>0</v>
      </c>
      <c r="E16" s="38">
        <v>0</v>
      </c>
      <c r="F16" s="38">
        <v>0</v>
      </c>
      <c r="G16" s="38">
        <v>0</v>
      </c>
      <c r="H16" s="38">
        <v>0</v>
      </c>
      <c r="I16" s="38">
        <v>0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  <c r="R16" s="38">
        <v>0</v>
      </c>
      <c r="S16" s="38">
        <v>268</v>
      </c>
      <c r="T16" s="38">
        <v>0</v>
      </c>
      <c r="U16" s="38">
        <v>0</v>
      </c>
      <c r="V16" s="38">
        <v>0</v>
      </c>
      <c r="W16" s="38">
        <v>0</v>
      </c>
      <c r="X16" s="38">
        <v>0</v>
      </c>
      <c r="Y16" s="38">
        <v>0</v>
      </c>
      <c r="Z16" s="38">
        <v>0</v>
      </c>
      <c r="AA16" s="38">
        <v>0</v>
      </c>
      <c r="AB16" s="38">
        <v>0</v>
      </c>
      <c r="AC16" s="38">
        <v>0</v>
      </c>
      <c r="AD16" s="38">
        <v>0</v>
      </c>
      <c r="AE16" s="38">
        <v>0</v>
      </c>
      <c r="AF16" s="38">
        <v>0</v>
      </c>
      <c r="AG16" s="38">
        <v>0</v>
      </c>
      <c r="AH16" s="38">
        <v>0</v>
      </c>
      <c r="AI16" s="38">
        <v>0</v>
      </c>
      <c r="AJ16" s="38">
        <v>0</v>
      </c>
      <c r="AK16" s="38">
        <v>0</v>
      </c>
      <c r="AL16" s="38">
        <v>0</v>
      </c>
      <c r="AM16" s="38">
        <v>0</v>
      </c>
      <c r="AN16" s="38">
        <v>0</v>
      </c>
      <c r="AO16" s="38">
        <v>0</v>
      </c>
      <c r="AP16" s="38">
        <v>0</v>
      </c>
      <c r="AQ16" s="38">
        <v>0</v>
      </c>
      <c r="AR16" s="38">
        <v>0</v>
      </c>
      <c r="AS16" s="38">
        <v>0</v>
      </c>
      <c r="AT16" s="38">
        <v>0</v>
      </c>
      <c r="AU16" s="38">
        <v>0</v>
      </c>
      <c r="AV16" s="38">
        <v>0</v>
      </c>
      <c r="AW16" s="38">
        <v>0</v>
      </c>
      <c r="AX16" s="38">
        <v>0</v>
      </c>
      <c r="AY16" s="38">
        <v>0</v>
      </c>
      <c r="AZ16" s="38">
        <v>0</v>
      </c>
      <c r="BA16" s="38">
        <v>0</v>
      </c>
      <c r="BB16" s="38">
        <v>0</v>
      </c>
      <c r="BC16" s="38">
        <v>0</v>
      </c>
      <c r="BD16" s="38">
        <v>0</v>
      </c>
      <c r="BE16" s="38">
        <v>0</v>
      </c>
      <c r="BF16" s="38">
        <v>0</v>
      </c>
      <c r="BG16" s="38">
        <v>0</v>
      </c>
      <c r="BH16" s="38">
        <v>0</v>
      </c>
      <c r="BI16" s="38">
        <v>0</v>
      </c>
      <c r="BJ16" s="38">
        <v>0</v>
      </c>
      <c r="BK16" s="38">
        <v>0</v>
      </c>
      <c r="BL16" s="38">
        <v>0</v>
      </c>
      <c r="BM16" s="38">
        <v>0</v>
      </c>
      <c r="BN16" s="38">
        <v>0</v>
      </c>
      <c r="BO16" s="38">
        <v>0</v>
      </c>
      <c r="BP16" s="38">
        <v>0</v>
      </c>
      <c r="BQ16" s="38">
        <v>0</v>
      </c>
      <c r="BR16" s="38">
        <v>0</v>
      </c>
      <c r="BS16" s="38">
        <v>0</v>
      </c>
      <c r="BT16" s="38">
        <v>0</v>
      </c>
      <c r="BU16" s="38">
        <v>0</v>
      </c>
      <c r="BV16" s="38">
        <v>0</v>
      </c>
      <c r="BW16" s="38">
        <v>0</v>
      </c>
      <c r="BX16" s="38">
        <v>0</v>
      </c>
      <c r="BY16" s="38">
        <v>0</v>
      </c>
      <c r="BZ16" s="38">
        <v>0</v>
      </c>
      <c r="CA16" s="38">
        <v>0</v>
      </c>
      <c r="CB16" s="38">
        <v>0</v>
      </c>
      <c r="CC16" s="38">
        <v>0</v>
      </c>
      <c r="CD16" s="38">
        <v>0</v>
      </c>
      <c r="CE16" s="38">
        <v>0</v>
      </c>
      <c r="CF16" s="38">
        <v>0</v>
      </c>
      <c r="CG16" s="38">
        <v>0</v>
      </c>
      <c r="CH16" s="38">
        <v>0</v>
      </c>
      <c r="CI16" s="38">
        <v>0</v>
      </c>
      <c r="CJ16" s="38">
        <v>0</v>
      </c>
      <c r="CK16" s="38">
        <v>0</v>
      </c>
      <c r="CL16" s="38">
        <v>0</v>
      </c>
      <c r="CM16" s="38">
        <v>0</v>
      </c>
      <c r="CN16" s="38">
        <v>0</v>
      </c>
      <c r="CO16" s="38">
        <v>0</v>
      </c>
      <c r="CP16" s="38">
        <v>0</v>
      </c>
      <c r="CQ16" s="38">
        <v>0</v>
      </c>
      <c r="CR16" s="38">
        <v>0</v>
      </c>
      <c r="CS16" s="38">
        <v>0</v>
      </c>
      <c r="CT16" s="38">
        <v>0</v>
      </c>
      <c r="CU16" s="38">
        <v>0</v>
      </c>
      <c r="CV16" s="38">
        <v>0</v>
      </c>
      <c r="CW16" s="38">
        <v>0</v>
      </c>
      <c r="CX16" s="38">
        <v>0</v>
      </c>
      <c r="CY16" s="38">
        <v>0</v>
      </c>
      <c r="CZ16" s="38">
        <v>99</v>
      </c>
      <c r="DA16" s="38">
        <v>0</v>
      </c>
      <c r="DB16" s="38">
        <v>0</v>
      </c>
      <c r="DC16" s="38">
        <v>0</v>
      </c>
      <c r="DD16" s="38">
        <v>0</v>
      </c>
      <c r="DE16" s="38">
        <v>0</v>
      </c>
      <c r="DF16" s="38">
        <v>0</v>
      </c>
      <c r="DG16" s="38">
        <v>0</v>
      </c>
      <c r="DH16" s="38">
        <v>0</v>
      </c>
      <c r="DI16" s="38">
        <v>0</v>
      </c>
      <c r="DJ16" s="38">
        <v>0</v>
      </c>
      <c r="DK16" s="38">
        <v>0</v>
      </c>
      <c r="DL16" s="38">
        <v>0</v>
      </c>
      <c r="DM16" s="38">
        <v>0</v>
      </c>
      <c r="DN16" s="38">
        <v>0</v>
      </c>
      <c r="DO16" s="38">
        <v>0</v>
      </c>
      <c r="DP16" s="38">
        <v>0</v>
      </c>
      <c r="DQ16" s="38">
        <v>0</v>
      </c>
      <c r="DR16" s="38">
        <v>0</v>
      </c>
      <c r="DS16" s="38">
        <v>0</v>
      </c>
      <c r="DT16" s="38">
        <v>0</v>
      </c>
      <c r="DU16" s="38">
        <v>0</v>
      </c>
      <c r="DV16" s="38">
        <v>0</v>
      </c>
      <c r="DW16" s="38">
        <v>0</v>
      </c>
      <c r="DX16" s="38">
        <v>0</v>
      </c>
      <c r="DY16" s="38">
        <v>20</v>
      </c>
      <c r="DZ16" s="38">
        <v>0</v>
      </c>
      <c r="EA16" s="38">
        <v>0</v>
      </c>
      <c r="EB16" s="38">
        <v>0</v>
      </c>
      <c r="EC16" s="38">
        <v>0</v>
      </c>
      <c r="ED16" s="38">
        <v>0</v>
      </c>
      <c r="EE16" s="38">
        <v>0</v>
      </c>
      <c r="EF16" s="38">
        <v>0</v>
      </c>
      <c r="EG16" s="38">
        <v>0</v>
      </c>
      <c r="EH16" s="38">
        <v>0</v>
      </c>
      <c r="EI16" s="38">
        <v>0</v>
      </c>
      <c r="EJ16" s="38">
        <v>0</v>
      </c>
      <c r="EK16" s="38">
        <v>0</v>
      </c>
      <c r="EL16" s="38">
        <v>0</v>
      </c>
      <c r="EM16" s="38">
        <v>0</v>
      </c>
      <c r="EN16" s="38">
        <v>0</v>
      </c>
      <c r="EO16" s="38">
        <v>0</v>
      </c>
      <c r="EP16" s="38">
        <v>0</v>
      </c>
      <c r="EQ16" s="38">
        <v>0</v>
      </c>
      <c r="ER16" s="38">
        <v>0</v>
      </c>
      <c r="ES16" s="38">
        <v>0</v>
      </c>
      <c r="ET16" s="38">
        <v>0</v>
      </c>
      <c r="EU16" s="38">
        <v>0</v>
      </c>
      <c r="EV16" s="38">
        <v>0</v>
      </c>
      <c r="EW16" s="38">
        <v>0</v>
      </c>
      <c r="EX16" s="38">
        <v>0</v>
      </c>
      <c r="EY16" s="38">
        <v>0</v>
      </c>
      <c r="EZ16" s="38">
        <v>0</v>
      </c>
      <c r="FA16" s="38">
        <v>0</v>
      </c>
      <c r="FB16" s="38">
        <v>0</v>
      </c>
      <c r="FC16" s="38">
        <v>0</v>
      </c>
      <c r="FD16" s="38">
        <v>0</v>
      </c>
      <c r="FE16" s="38">
        <v>0</v>
      </c>
      <c r="FF16" s="38">
        <v>0</v>
      </c>
      <c r="FG16" s="38">
        <v>0</v>
      </c>
      <c r="FH16" s="38">
        <v>0</v>
      </c>
      <c r="FI16" s="38">
        <v>0</v>
      </c>
      <c r="FJ16" s="38">
        <v>0</v>
      </c>
      <c r="FK16" s="38">
        <v>0</v>
      </c>
      <c r="FL16" s="38">
        <v>0</v>
      </c>
      <c r="FM16" s="38">
        <v>0</v>
      </c>
      <c r="FN16" s="38">
        <v>0</v>
      </c>
      <c r="FO16" s="38">
        <v>0</v>
      </c>
      <c r="FP16" s="38">
        <v>0</v>
      </c>
      <c r="FQ16" s="38">
        <v>0</v>
      </c>
      <c r="FR16" s="38">
        <v>0</v>
      </c>
      <c r="FS16" s="38">
        <v>0</v>
      </c>
      <c r="FT16" s="38">
        <v>0</v>
      </c>
      <c r="FU16" s="38">
        <v>0</v>
      </c>
      <c r="FV16" s="38">
        <v>0</v>
      </c>
      <c r="FW16" s="38">
        <v>0</v>
      </c>
      <c r="FX16" s="38">
        <v>0</v>
      </c>
      <c r="FY16" s="38">
        <v>0</v>
      </c>
      <c r="FZ16" s="38">
        <v>0</v>
      </c>
      <c r="GA16" s="38">
        <v>0</v>
      </c>
      <c r="GB16" s="38">
        <v>0</v>
      </c>
      <c r="GC16" s="38">
        <v>0</v>
      </c>
      <c r="GD16" s="38">
        <v>0</v>
      </c>
      <c r="GE16" s="38">
        <v>0</v>
      </c>
      <c r="GF16" s="38">
        <v>0</v>
      </c>
      <c r="GG16" s="38">
        <v>0</v>
      </c>
      <c r="GH16" s="38">
        <v>0</v>
      </c>
      <c r="GI16" s="38">
        <v>0</v>
      </c>
      <c r="GJ16" s="38">
        <v>0</v>
      </c>
      <c r="GK16" s="38">
        <v>0</v>
      </c>
      <c r="GL16" s="38">
        <v>0</v>
      </c>
      <c r="GM16" s="38">
        <v>0</v>
      </c>
      <c r="GN16" s="38">
        <v>0</v>
      </c>
      <c r="GO16" s="38">
        <v>0</v>
      </c>
      <c r="GP16" s="38">
        <v>0</v>
      </c>
      <c r="GQ16" s="38">
        <v>0</v>
      </c>
      <c r="GR16" s="38">
        <v>0</v>
      </c>
      <c r="GS16" s="38"/>
      <c r="GT16" s="38"/>
      <c r="GU16" s="38"/>
      <c r="GV16" s="38"/>
    </row>
    <row r="17" spans="1:204">
      <c r="A17" s="34" t="s">
        <v>350</v>
      </c>
      <c r="B17" s="45">
        <v>0.65</v>
      </c>
      <c r="C17" s="63">
        <f t="shared" si="0"/>
        <v>4096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  <c r="R17" s="38">
        <v>0</v>
      </c>
      <c r="S17" s="38">
        <v>0</v>
      </c>
      <c r="T17" s="38">
        <v>0</v>
      </c>
      <c r="U17" s="38">
        <v>0</v>
      </c>
      <c r="V17" s="38">
        <v>0</v>
      </c>
      <c r="W17" s="38">
        <v>0</v>
      </c>
      <c r="X17" s="38">
        <v>0</v>
      </c>
      <c r="Y17" s="38">
        <v>0</v>
      </c>
      <c r="Z17" s="38">
        <v>0</v>
      </c>
      <c r="AA17" s="38">
        <v>0</v>
      </c>
      <c r="AB17" s="38">
        <v>0</v>
      </c>
      <c r="AC17" s="38">
        <v>0</v>
      </c>
      <c r="AD17" s="38">
        <v>984</v>
      </c>
      <c r="AE17" s="38">
        <v>0</v>
      </c>
      <c r="AF17" s="38">
        <v>0</v>
      </c>
      <c r="AG17" s="38">
        <v>0</v>
      </c>
      <c r="AH17" s="38">
        <v>0</v>
      </c>
      <c r="AI17" s="38">
        <v>0</v>
      </c>
      <c r="AJ17" s="38">
        <v>0</v>
      </c>
      <c r="AK17" s="38">
        <v>0</v>
      </c>
      <c r="AL17" s="38">
        <v>0</v>
      </c>
      <c r="AM17" s="38">
        <v>0</v>
      </c>
      <c r="AN17" s="38">
        <v>0</v>
      </c>
      <c r="AO17" s="38">
        <v>0</v>
      </c>
      <c r="AP17" s="38">
        <v>0</v>
      </c>
      <c r="AQ17" s="38">
        <v>0</v>
      </c>
      <c r="AR17" s="38">
        <v>0</v>
      </c>
      <c r="AS17" s="38">
        <v>0</v>
      </c>
      <c r="AT17" s="38">
        <v>0</v>
      </c>
      <c r="AU17" s="38">
        <v>0</v>
      </c>
      <c r="AV17" s="38">
        <v>0</v>
      </c>
      <c r="AW17" s="38">
        <v>0</v>
      </c>
      <c r="AX17" s="38">
        <v>0</v>
      </c>
      <c r="AY17" s="38">
        <v>0</v>
      </c>
      <c r="AZ17" s="38">
        <v>0</v>
      </c>
      <c r="BA17" s="38">
        <v>0</v>
      </c>
      <c r="BB17" s="38">
        <v>0</v>
      </c>
      <c r="BC17" s="38">
        <v>0</v>
      </c>
      <c r="BD17" s="38">
        <v>361</v>
      </c>
      <c r="BE17" s="38">
        <v>0</v>
      </c>
      <c r="BF17" s="38">
        <v>0</v>
      </c>
      <c r="BG17" s="38">
        <v>0</v>
      </c>
      <c r="BH17" s="38">
        <v>0</v>
      </c>
      <c r="BI17" s="38">
        <v>566</v>
      </c>
      <c r="BJ17" s="38">
        <v>0</v>
      </c>
      <c r="BK17" s="38">
        <v>0</v>
      </c>
      <c r="BL17" s="38">
        <v>0</v>
      </c>
      <c r="BM17" s="38">
        <v>0</v>
      </c>
      <c r="BN17" s="38">
        <v>0</v>
      </c>
      <c r="BO17" s="38">
        <v>0</v>
      </c>
      <c r="BP17" s="38">
        <v>0</v>
      </c>
      <c r="BQ17" s="38">
        <v>0</v>
      </c>
      <c r="BR17" s="38">
        <v>0</v>
      </c>
      <c r="BS17" s="38">
        <v>0</v>
      </c>
      <c r="BT17" s="38">
        <v>0</v>
      </c>
      <c r="BU17" s="38">
        <v>0</v>
      </c>
      <c r="BV17" s="38">
        <v>0</v>
      </c>
      <c r="BW17" s="38">
        <v>0</v>
      </c>
      <c r="BX17" s="38">
        <v>0</v>
      </c>
      <c r="BY17" s="38">
        <v>0</v>
      </c>
      <c r="BZ17" s="38">
        <v>0</v>
      </c>
      <c r="CA17" s="38">
        <v>0</v>
      </c>
      <c r="CB17" s="38">
        <v>0</v>
      </c>
      <c r="CC17" s="38">
        <v>0</v>
      </c>
      <c r="CD17" s="38">
        <v>17</v>
      </c>
      <c r="CE17" s="38">
        <v>0</v>
      </c>
      <c r="CF17" s="38">
        <v>0</v>
      </c>
      <c r="CG17" s="38">
        <v>0</v>
      </c>
      <c r="CH17" s="38">
        <v>0</v>
      </c>
      <c r="CI17" s="38">
        <v>0</v>
      </c>
      <c r="CJ17" s="38">
        <v>0</v>
      </c>
      <c r="CK17" s="38">
        <v>0</v>
      </c>
      <c r="CL17" s="38">
        <v>0</v>
      </c>
      <c r="CM17" s="38">
        <v>0</v>
      </c>
      <c r="CN17" s="38">
        <v>0</v>
      </c>
      <c r="CO17" s="38">
        <v>0</v>
      </c>
      <c r="CP17" s="38">
        <v>0</v>
      </c>
      <c r="CQ17" s="38">
        <v>0</v>
      </c>
      <c r="CR17" s="38">
        <v>0</v>
      </c>
      <c r="CS17" s="38">
        <v>0</v>
      </c>
      <c r="CT17" s="38">
        <v>0</v>
      </c>
      <c r="CU17" s="38">
        <v>0</v>
      </c>
      <c r="CV17" s="38">
        <v>0</v>
      </c>
      <c r="CW17" s="38">
        <v>0</v>
      </c>
      <c r="CX17" s="38">
        <v>0</v>
      </c>
      <c r="CY17" s="38">
        <v>0</v>
      </c>
      <c r="CZ17" s="38">
        <v>0</v>
      </c>
      <c r="DA17" s="38">
        <v>0</v>
      </c>
      <c r="DB17" s="38">
        <v>0</v>
      </c>
      <c r="DC17" s="38">
        <v>0</v>
      </c>
      <c r="DD17" s="38">
        <v>0</v>
      </c>
      <c r="DE17" s="38">
        <v>0</v>
      </c>
      <c r="DF17" s="38">
        <v>0</v>
      </c>
      <c r="DG17" s="38">
        <v>0</v>
      </c>
      <c r="DH17" s="38">
        <v>0</v>
      </c>
      <c r="DI17" s="38">
        <v>0</v>
      </c>
      <c r="DJ17" s="38">
        <v>0</v>
      </c>
      <c r="DK17" s="38">
        <v>0</v>
      </c>
      <c r="DL17" s="38">
        <v>0</v>
      </c>
      <c r="DM17" s="38">
        <v>0</v>
      </c>
      <c r="DN17" s="38">
        <v>1186</v>
      </c>
      <c r="DO17" s="38">
        <v>0</v>
      </c>
      <c r="DP17" s="38">
        <v>0</v>
      </c>
      <c r="DQ17" s="38">
        <v>0</v>
      </c>
      <c r="DR17" s="38">
        <v>0</v>
      </c>
      <c r="DS17" s="38">
        <v>0</v>
      </c>
      <c r="DT17" s="38">
        <v>0</v>
      </c>
      <c r="DU17" s="38">
        <v>0</v>
      </c>
      <c r="DV17" s="38">
        <v>0</v>
      </c>
      <c r="DW17" s="38">
        <v>0</v>
      </c>
      <c r="DX17" s="38">
        <v>1</v>
      </c>
      <c r="DY17" s="38">
        <v>0</v>
      </c>
      <c r="DZ17" s="38">
        <v>0</v>
      </c>
      <c r="EA17" s="38">
        <v>0</v>
      </c>
      <c r="EB17" s="38">
        <v>0</v>
      </c>
      <c r="EC17" s="38">
        <v>0</v>
      </c>
      <c r="ED17" s="38">
        <v>0</v>
      </c>
      <c r="EE17" s="38">
        <v>0</v>
      </c>
      <c r="EF17" s="38">
        <v>0</v>
      </c>
      <c r="EG17" s="38">
        <v>0</v>
      </c>
      <c r="EH17" s="38">
        <v>0</v>
      </c>
      <c r="EI17" s="38">
        <v>0</v>
      </c>
      <c r="EJ17" s="38">
        <v>0</v>
      </c>
      <c r="EK17" s="38">
        <v>0</v>
      </c>
      <c r="EL17" s="38">
        <v>0</v>
      </c>
      <c r="EM17" s="38">
        <v>0</v>
      </c>
      <c r="EN17" s="38">
        <v>0</v>
      </c>
      <c r="EO17" s="38">
        <v>0</v>
      </c>
      <c r="EP17" s="38">
        <v>0</v>
      </c>
      <c r="EQ17" s="38">
        <v>0</v>
      </c>
      <c r="ER17" s="38">
        <v>0</v>
      </c>
      <c r="ES17" s="38">
        <v>0</v>
      </c>
      <c r="ET17" s="38">
        <v>0</v>
      </c>
      <c r="EU17" s="38">
        <v>0</v>
      </c>
      <c r="EV17" s="38">
        <v>0</v>
      </c>
      <c r="EW17" s="38">
        <v>0</v>
      </c>
      <c r="EX17" s="38">
        <v>0</v>
      </c>
      <c r="EY17" s="38">
        <v>0</v>
      </c>
      <c r="EZ17" s="38">
        <v>0</v>
      </c>
      <c r="FA17" s="38">
        <v>0</v>
      </c>
      <c r="FB17" s="38">
        <v>0</v>
      </c>
      <c r="FC17" s="38">
        <v>0</v>
      </c>
      <c r="FD17" s="38">
        <v>0</v>
      </c>
      <c r="FE17" s="38">
        <v>0</v>
      </c>
      <c r="FF17" s="38">
        <v>0</v>
      </c>
      <c r="FG17" s="38">
        <v>0</v>
      </c>
      <c r="FH17" s="38">
        <v>239</v>
      </c>
      <c r="FI17" s="38">
        <v>0</v>
      </c>
      <c r="FJ17" s="38">
        <v>0</v>
      </c>
      <c r="FK17" s="38">
        <v>0</v>
      </c>
      <c r="FL17" s="38">
        <v>0</v>
      </c>
      <c r="FM17" s="38">
        <v>0</v>
      </c>
      <c r="FN17" s="38">
        <v>0</v>
      </c>
      <c r="FO17" s="38">
        <v>742</v>
      </c>
      <c r="FP17" s="38">
        <v>0</v>
      </c>
      <c r="FQ17" s="38">
        <v>0</v>
      </c>
      <c r="FR17" s="38">
        <v>0</v>
      </c>
      <c r="FS17" s="38">
        <v>0</v>
      </c>
      <c r="FT17" s="38">
        <v>0</v>
      </c>
      <c r="FU17" s="38">
        <v>0</v>
      </c>
      <c r="FV17" s="38">
        <v>0</v>
      </c>
      <c r="FW17" s="38">
        <v>0</v>
      </c>
      <c r="FX17" s="38">
        <v>0</v>
      </c>
      <c r="FY17" s="38">
        <v>0</v>
      </c>
      <c r="FZ17" s="38">
        <v>0</v>
      </c>
      <c r="GA17" s="38">
        <v>0</v>
      </c>
      <c r="GB17" s="38">
        <v>0</v>
      </c>
      <c r="GC17" s="38">
        <v>0</v>
      </c>
      <c r="GD17" s="38">
        <v>0</v>
      </c>
      <c r="GE17" s="38">
        <v>0</v>
      </c>
      <c r="GF17" s="38">
        <v>0</v>
      </c>
      <c r="GG17" s="38">
        <v>0</v>
      </c>
      <c r="GH17" s="38">
        <v>0</v>
      </c>
      <c r="GI17" s="38">
        <v>0</v>
      </c>
      <c r="GJ17" s="38">
        <v>0</v>
      </c>
      <c r="GK17" s="38">
        <v>0</v>
      </c>
      <c r="GL17" s="38">
        <v>0</v>
      </c>
      <c r="GM17" s="38">
        <v>0</v>
      </c>
      <c r="GN17" s="38">
        <v>0</v>
      </c>
      <c r="GO17" s="38">
        <v>0</v>
      </c>
      <c r="GP17" s="38">
        <v>0</v>
      </c>
      <c r="GQ17" s="38">
        <v>0</v>
      </c>
      <c r="GR17" s="38">
        <v>0</v>
      </c>
      <c r="GS17" s="38"/>
      <c r="GT17" s="38"/>
      <c r="GU17" s="38"/>
      <c r="GV17" s="38"/>
    </row>
    <row r="18" spans="1:204">
      <c r="A18" s="34" t="s">
        <v>351</v>
      </c>
      <c r="B18" s="45">
        <v>0.65</v>
      </c>
      <c r="C18" s="63">
        <f t="shared" si="0"/>
        <v>0</v>
      </c>
      <c r="D18" s="38">
        <v>0</v>
      </c>
      <c r="E18" s="38">
        <v>0</v>
      </c>
      <c r="F18" s="38">
        <v>0</v>
      </c>
      <c r="G18" s="38">
        <v>0</v>
      </c>
      <c r="H18" s="38">
        <v>0</v>
      </c>
      <c r="I18" s="38">
        <v>0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  <c r="R18" s="38">
        <v>0</v>
      </c>
      <c r="S18" s="38">
        <v>0</v>
      </c>
      <c r="T18" s="38">
        <v>0</v>
      </c>
      <c r="U18" s="38">
        <v>0</v>
      </c>
      <c r="V18" s="38">
        <v>0</v>
      </c>
      <c r="W18" s="38">
        <v>0</v>
      </c>
      <c r="X18" s="38">
        <v>0</v>
      </c>
      <c r="Y18" s="38">
        <v>0</v>
      </c>
      <c r="Z18" s="38">
        <v>0</v>
      </c>
      <c r="AA18" s="38">
        <v>0</v>
      </c>
      <c r="AB18" s="38">
        <v>0</v>
      </c>
      <c r="AC18" s="38">
        <v>0</v>
      </c>
      <c r="AD18" s="38">
        <v>0</v>
      </c>
      <c r="AE18" s="38">
        <v>0</v>
      </c>
      <c r="AF18" s="38">
        <v>0</v>
      </c>
      <c r="AG18" s="38">
        <v>0</v>
      </c>
      <c r="AH18" s="38">
        <v>0</v>
      </c>
      <c r="AI18" s="38">
        <v>0</v>
      </c>
      <c r="AJ18" s="38">
        <v>0</v>
      </c>
      <c r="AK18" s="38">
        <v>0</v>
      </c>
      <c r="AL18" s="38">
        <v>0</v>
      </c>
      <c r="AM18" s="38">
        <v>0</v>
      </c>
      <c r="AN18" s="38">
        <v>0</v>
      </c>
      <c r="AO18" s="38">
        <v>0</v>
      </c>
      <c r="AP18" s="38">
        <v>0</v>
      </c>
      <c r="AQ18" s="38">
        <v>0</v>
      </c>
      <c r="AR18" s="38">
        <v>0</v>
      </c>
      <c r="AS18" s="38">
        <v>0</v>
      </c>
      <c r="AT18" s="38">
        <v>0</v>
      </c>
      <c r="AU18" s="38">
        <v>0</v>
      </c>
      <c r="AV18" s="38">
        <v>0</v>
      </c>
      <c r="AW18" s="38">
        <v>0</v>
      </c>
      <c r="AX18" s="38">
        <v>0</v>
      </c>
      <c r="AY18" s="38">
        <v>0</v>
      </c>
      <c r="AZ18" s="38">
        <v>0</v>
      </c>
      <c r="BA18" s="38">
        <v>0</v>
      </c>
      <c r="BB18" s="38">
        <v>0</v>
      </c>
      <c r="BC18" s="38">
        <v>0</v>
      </c>
      <c r="BD18" s="38">
        <v>0</v>
      </c>
      <c r="BE18" s="38">
        <v>0</v>
      </c>
      <c r="BF18" s="38">
        <v>0</v>
      </c>
      <c r="BG18" s="38">
        <v>0</v>
      </c>
      <c r="BH18" s="38">
        <v>0</v>
      </c>
      <c r="BI18" s="38">
        <v>0</v>
      </c>
      <c r="BJ18" s="38">
        <v>0</v>
      </c>
      <c r="BK18" s="38">
        <v>0</v>
      </c>
      <c r="BL18" s="38">
        <v>0</v>
      </c>
      <c r="BM18" s="38">
        <v>0</v>
      </c>
      <c r="BN18" s="38">
        <v>0</v>
      </c>
      <c r="BO18" s="38">
        <v>0</v>
      </c>
      <c r="BP18" s="38">
        <v>0</v>
      </c>
      <c r="BQ18" s="38">
        <v>0</v>
      </c>
      <c r="BR18" s="38">
        <v>0</v>
      </c>
      <c r="BS18" s="38">
        <v>0</v>
      </c>
      <c r="BT18" s="38">
        <v>0</v>
      </c>
      <c r="BU18" s="38">
        <v>0</v>
      </c>
      <c r="BV18" s="38">
        <v>0</v>
      </c>
      <c r="BW18" s="38">
        <v>0</v>
      </c>
      <c r="BX18" s="38">
        <v>0</v>
      </c>
      <c r="BY18" s="38">
        <v>0</v>
      </c>
      <c r="BZ18" s="38">
        <v>0</v>
      </c>
      <c r="CA18" s="38">
        <v>0</v>
      </c>
      <c r="CB18" s="38">
        <v>0</v>
      </c>
      <c r="CC18" s="38">
        <v>0</v>
      </c>
      <c r="CD18" s="38">
        <v>0</v>
      </c>
      <c r="CE18" s="38">
        <v>0</v>
      </c>
      <c r="CF18" s="38">
        <v>0</v>
      </c>
      <c r="CG18" s="38">
        <v>0</v>
      </c>
      <c r="CH18" s="38">
        <v>0</v>
      </c>
      <c r="CI18" s="38">
        <v>0</v>
      </c>
      <c r="CJ18" s="38">
        <v>0</v>
      </c>
      <c r="CK18" s="38">
        <v>0</v>
      </c>
      <c r="CL18" s="38">
        <v>0</v>
      </c>
      <c r="CM18" s="38">
        <v>0</v>
      </c>
      <c r="CN18" s="38">
        <v>0</v>
      </c>
      <c r="CO18" s="38">
        <v>0</v>
      </c>
      <c r="CP18" s="38">
        <v>0</v>
      </c>
      <c r="CQ18" s="38">
        <v>0</v>
      </c>
      <c r="CR18" s="38">
        <v>0</v>
      </c>
      <c r="CS18" s="38">
        <v>0</v>
      </c>
      <c r="CT18" s="38">
        <v>0</v>
      </c>
      <c r="CU18" s="38">
        <v>0</v>
      </c>
      <c r="CV18" s="38">
        <v>0</v>
      </c>
      <c r="CW18" s="38">
        <v>0</v>
      </c>
      <c r="CX18" s="38">
        <v>0</v>
      </c>
      <c r="CY18" s="38">
        <v>0</v>
      </c>
      <c r="CZ18" s="38">
        <v>0</v>
      </c>
      <c r="DA18" s="38">
        <v>0</v>
      </c>
      <c r="DB18" s="38">
        <v>0</v>
      </c>
      <c r="DC18" s="38">
        <v>0</v>
      </c>
      <c r="DD18" s="38">
        <v>0</v>
      </c>
      <c r="DE18" s="38">
        <v>0</v>
      </c>
      <c r="DF18" s="38">
        <v>0</v>
      </c>
      <c r="DG18" s="38">
        <v>0</v>
      </c>
      <c r="DH18" s="38">
        <v>0</v>
      </c>
      <c r="DI18" s="38">
        <v>0</v>
      </c>
      <c r="DJ18" s="38">
        <v>0</v>
      </c>
      <c r="DK18" s="38">
        <v>0</v>
      </c>
      <c r="DL18" s="38">
        <v>0</v>
      </c>
      <c r="DM18" s="38">
        <v>0</v>
      </c>
      <c r="DN18" s="38">
        <v>0</v>
      </c>
      <c r="DO18" s="38">
        <v>0</v>
      </c>
      <c r="DP18" s="38">
        <v>0</v>
      </c>
      <c r="DQ18" s="38">
        <v>0</v>
      </c>
      <c r="DR18" s="38">
        <v>0</v>
      </c>
      <c r="DS18" s="38">
        <v>0</v>
      </c>
      <c r="DT18" s="38">
        <v>0</v>
      </c>
      <c r="DU18" s="38">
        <v>0</v>
      </c>
      <c r="DV18" s="38">
        <v>0</v>
      </c>
      <c r="DW18" s="38">
        <v>0</v>
      </c>
      <c r="DX18" s="38">
        <v>0</v>
      </c>
      <c r="DY18" s="38">
        <v>0</v>
      </c>
      <c r="DZ18" s="38">
        <v>0</v>
      </c>
      <c r="EA18" s="38">
        <v>0</v>
      </c>
      <c r="EB18" s="38">
        <v>0</v>
      </c>
      <c r="EC18" s="38">
        <v>0</v>
      </c>
      <c r="ED18" s="38">
        <v>0</v>
      </c>
      <c r="EE18" s="38">
        <v>0</v>
      </c>
      <c r="EF18" s="38">
        <v>0</v>
      </c>
      <c r="EG18" s="38">
        <v>0</v>
      </c>
      <c r="EH18" s="38">
        <v>0</v>
      </c>
      <c r="EI18" s="38">
        <v>0</v>
      </c>
      <c r="EJ18" s="38">
        <v>0</v>
      </c>
      <c r="EK18" s="38">
        <v>0</v>
      </c>
      <c r="EL18" s="38">
        <v>0</v>
      </c>
      <c r="EM18" s="38">
        <v>0</v>
      </c>
      <c r="EN18" s="38">
        <v>0</v>
      </c>
      <c r="EO18" s="38">
        <v>0</v>
      </c>
      <c r="EP18" s="38">
        <v>0</v>
      </c>
      <c r="EQ18" s="38">
        <v>0</v>
      </c>
      <c r="ER18" s="38">
        <v>0</v>
      </c>
      <c r="ES18" s="38">
        <v>0</v>
      </c>
      <c r="ET18" s="38">
        <v>0</v>
      </c>
      <c r="EU18" s="38">
        <v>0</v>
      </c>
      <c r="EV18" s="38">
        <v>0</v>
      </c>
      <c r="EW18" s="38">
        <v>0</v>
      </c>
      <c r="EX18" s="38">
        <v>0</v>
      </c>
      <c r="EY18" s="38">
        <v>0</v>
      </c>
      <c r="EZ18" s="38">
        <v>0</v>
      </c>
      <c r="FA18" s="38">
        <v>0</v>
      </c>
      <c r="FB18" s="38">
        <v>0</v>
      </c>
      <c r="FC18" s="38">
        <v>0</v>
      </c>
      <c r="FD18" s="38">
        <v>0</v>
      </c>
      <c r="FE18" s="38">
        <v>0</v>
      </c>
      <c r="FF18" s="38">
        <v>0</v>
      </c>
      <c r="FG18" s="38">
        <v>0</v>
      </c>
      <c r="FH18" s="38">
        <v>0</v>
      </c>
      <c r="FI18" s="38">
        <v>0</v>
      </c>
      <c r="FJ18" s="38">
        <v>0</v>
      </c>
      <c r="FK18" s="38">
        <v>0</v>
      </c>
      <c r="FL18" s="38">
        <v>0</v>
      </c>
      <c r="FM18" s="38">
        <v>0</v>
      </c>
      <c r="FN18" s="38">
        <v>0</v>
      </c>
      <c r="FO18" s="38">
        <v>0</v>
      </c>
      <c r="FP18" s="38">
        <v>0</v>
      </c>
      <c r="FQ18" s="38">
        <v>0</v>
      </c>
      <c r="FR18" s="38">
        <v>0</v>
      </c>
      <c r="FS18" s="38">
        <v>0</v>
      </c>
      <c r="FT18" s="38">
        <v>0</v>
      </c>
      <c r="FU18" s="38">
        <v>0</v>
      </c>
      <c r="FV18" s="38">
        <v>0</v>
      </c>
      <c r="FW18" s="38">
        <v>0</v>
      </c>
      <c r="FX18" s="38">
        <v>0</v>
      </c>
      <c r="FY18" s="38">
        <v>0</v>
      </c>
      <c r="FZ18" s="38">
        <v>0</v>
      </c>
      <c r="GA18" s="38">
        <v>0</v>
      </c>
      <c r="GB18" s="38">
        <v>0</v>
      </c>
      <c r="GC18" s="38">
        <v>0</v>
      </c>
      <c r="GD18" s="38">
        <v>0</v>
      </c>
      <c r="GE18" s="38">
        <v>0</v>
      </c>
      <c r="GF18" s="38">
        <v>0</v>
      </c>
      <c r="GG18" s="38">
        <v>0</v>
      </c>
      <c r="GH18" s="38">
        <v>0</v>
      </c>
      <c r="GI18" s="38">
        <v>0</v>
      </c>
      <c r="GJ18" s="38">
        <v>0</v>
      </c>
      <c r="GK18" s="38">
        <v>0</v>
      </c>
      <c r="GL18" s="38">
        <v>0</v>
      </c>
      <c r="GM18" s="38">
        <v>0</v>
      </c>
      <c r="GN18" s="38">
        <v>0</v>
      </c>
      <c r="GO18" s="38">
        <v>0</v>
      </c>
      <c r="GP18" s="38">
        <v>0</v>
      </c>
      <c r="GQ18" s="38">
        <v>0</v>
      </c>
      <c r="GR18" s="38">
        <v>0</v>
      </c>
      <c r="GS18" s="38"/>
      <c r="GT18" s="38"/>
      <c r="GU18" s="38"/>
      <c r="GV18" s="38"/>
    </row>
    <row r="19" spans="1:204">
      <c r="A19" s="34" t="s">
        <v>352</v>
      </c>
      <c r="B19" s="45">
        <v>0.65</v>
      </c>
      <c r="C19" s="63">
        <f t="shared" si="0"/>
        <v>0</v>
      </c>
      <c r="D19" s="38">
        <v>0</v>
      </c>
      <c r="E19" s="38">
        <v>0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T19" s="38">
        <v>0</v>
      </c>
      <c r="U19" s="38">
        <v>0</v>
      </c>
      <c r="V19" s="38">
        <v>0</v>
      </c>
      <c r="W19" s="38">
        <v>0</v>
      </c>
      <c r="X19" s="38">
        <v>0</v>
      </c>
      <c r="Y19" s="38">
        <v>0</v>
      </c>
      <c r="Z19" s="38">
        <v>0</v>
      </c>
      <c r="AA19" s="38">
        <v>0</v>
      </c>
      <c r="AB19" s="38">
        <v>0</v>
      </c>
      <c r="AC19" s="38">
        <v>0</v>
      </c>
      <c r="AD19" s="38">
        <v>0</v>
      </c>
      <c r="AE19" s="38">
        <v>0</v>
      </c>
      <c r="AF19" s="38">
        <v>0</v>
      </c>
      <c r="AG19" s="38">
        <v>0</v>
      </c>
      <c r="AH19" s="38">
        <v>0</v>
      </c>
      <c r="AI19" s="38">
        <v>0</v>
      </c>
      <c r="AJ19" s="38">
        <v>0</v>
      </c>
      <c r="AK19" s="38">
        <v>0</v>
      </c>
      <c r="AL19" s="38">
        <v>0</v>
      </c>
      <c r="AM19" s="38">
        <v>0</v>
      </c>
      <c r="AN19" s="38">
        <v>0</v>
      </c>
      <c r="AO19" s="38">
        <v>0</v>
      </c>
      <c r="AP19" s="38">
        <v>0</v>
      </c>
      <c r="AQ19" s="38">
        <v>0</v>
      </c>
      <c r="AR19" s="38">
        <v>0</v>
      </c>
      <c r="AS19" s="38">
        <v>0</v>
      </c>
      <c r="AT19" s="38">
        <v>0</v>
      </c>
      <c r="AU19" s="38">
        <v>0</v>
      </c>
      <c r="AV19" s="38">
        <v>0</v>
      </c>
      <c r="AW19" s="38">
        <v>0</v>
      </c>
      <c r="AX19" s="38">
        <v>0</v>
      </c>
      <c r="AY19" s="38">
        <v>0</v>
      </c>
      <c r="AZ19" s="38">
        <v>0</v>
      </c>
      <c r="BA19" s="38">
        <v>0</v>
      </c>
      <c r="BB19" s="38">
        <v>0</v>
      </c>
      <c r="BC19" s="38">
        <v>0</v>
      </c>
      <c r="BD19" s="38">
        <v>0</v>
      </c>
      <c r="BE19" s="38">
        <v>0</v>
      </c>
      <c r="BF19" s="38">
        <v>0</v>
      </c>
      <c r="BG19" s="38">
        <v>0</v>
      </c>
      <c r="BH19" s="38">
        <v>0</v>
      </c>
      <c r="BI19" s="38">
        <v>0</v>
      </c>
      <c r="BJ19" s="38">
        <v>0</v>
      </c>
      <c r="BK19" s="38">
        <v>0</v>
      </c>
      <c r="BL19" s="38">
        <v>0</v>
      </c>
      <c r="BM19" s="38">
        <v>0</v>
      </c>
      <c r="BN19" s="38">
        <v>0</v>
      </c>
      <c r="BO19" s="38">
        <v>0</v>
      </c>
      <c r="BP19" s="38">
        <v>0</v>
      </c>
      <c r="BQ19" s="38">
        <v>0</v>
      </c>
      <c r="BR19" s="38">
        <v>0</v>
      </c>
      <c r="BS19" s="38">
        <v>0</v>
      </c>
      <c r="BT19" s="38">
        <v>0</v>
      </c>
      <c r="BU19" s="38">
        <v>0</v>
      </c>
      <c r="BV19" s="38">
        <v>0</v>
      </c>
      <c r="BW19" s="38">
        <v>0</v>
      </c>
      <c r="BX19" s="38">
        <v>0</v>
      </c>
      <c r="BY19" s="38">
        <v>0</v>
      </c>
      <c r="BZ19" s="38">
        <v>0</v>
      </c>
      <c r="CA19" s="38">
        <v>0</v>
      </c>
      <c r="CB19" s="38">
        <v>0</v>
      </c>
      <c r="CC19" s="38">
        <v>0</v>
      </c>
      <c r="CD19" s="38">
        <v>0</v>
      </c>
      <c r="CE19" s="38">
        <v>0</v>
      </c>
      <c r="CF19" s="38">
        <v>0</v>
      </c>
      <c r="CG19" s="38">
        <v>0</v>
      </c>
      <c r="CH19" s="38">
        <v>0</v>
      </c>
      <c r="CI19" s="38">
        <v>0</v>
      </c>
      <c r="CJ19" s="38">
        <v>0</v>
      </c>
      <c r="CK19" s="38">
        <v>0</v>
      </c>
      <c r="CL19" s="38">
        <v>0</v>
      </c>
      <c r="CM19" s="38">
        <v>0</v>
      </c>
      <c r="CN19" s="38">
        <v>0</v>
      </c>
      <c r="CO19" s="38">
        <v>0</v>
      </c>
      <c r="CP19" s="38">
        <v>0</v>
      </c>
      <c r="CQ19" s="38">
        <v>0</v>
      </c>
      <c r="CR19" s="38">
        <v>0</v>
      </c>
      <c r="CS19" s="38">
        <v>0</v>
      </c>
      <c r="CT19" s="38">
        <v>0</v>
      </c>
      <c r="CU19" s="38">
        <v>0</v>
      </c>
      <c r="CV19" s="38">
        <v>0</v>
      </c>
      <c r="CW19" s="38">
        <v>0</v>
      </c>
      <c r="CX19" s="38">
        <v>0</v>
      </c>
      <c r="CY19" s="38">
        <v>0</v>
      </c>
      <c r="CZ19" s="38">
        <v>0</v>
      </c>
      <c r="DA19" s="38">
        <v>0</v>
      </c>
      <c r="DB19" s="38">
        <v>0</v>
      </c>
      <c r="DC19" s="38">
        <v>0</v>
      </c>
      <c r="DD19" s="38">
        <v>0</v>
      </c>
      <c r="DE19" s="38">
        <v>0</v>
      </c>
      <c r="DF19" s="38">
        <v>0</v>
      </c>
      <c r="DG19" s="38">
        <v>0</v>
      </c>
      <c r="DH19" s="38">
        <v>0</v>
      </c>
      <c r="DI19" s="38">
        <v>0</v>
      </c>
      <c r="DJ19" s="38">
        <v>0</v>
      </c>
      <c r="DK19" s="38">
        <v>0</v>
      </c>
      <c r="DL19" s="38">
        <v>0</v>
      </c>
      <c r="DM19" s="38">
        <v>0</v>
      </c>
      <c r="DN19" s="38">
        <v>0</v>
      </c>
      <c r="DO19" s="38">
        <v>0</v>
      </c>
      <c r="DP19" s="38">
        <v>0</v>
      </c>
      <c r="DQ19" s="38">
        <v>0</v>
      </c>
      <c r="DR19" s="38">
        <v>0</v>
      </c>
      <c r="DS19" s="38">
        <v>0</v>
      </c>
      <c r="DT19" s="38">
        <v>0</v>
      </c>
      <c r="DU19" s="38">
        <v>0</v>
      </c>
      <c r="DV19" s="38">
        <v>0</v>
      </c>
      <c r="DW19" s="38">
        <v>0</v>
      </c>
      <c r="DX19" s="38">
        <v>0</v>
      </c>
      <c r="DY19" s="38">
        <v>0</v>
      </c>
      <c r="DZ19" s="38">
        <v>0</v>
      </c>
      <c r="EA19" s="38">
        <v>0</v>
      </c>
      <c r="EB19" s="38">
        <v>0</v>
      </c>
      <c r="EC19" s="38">
        <v>0</v>
      </c>
      <c r="ED19" s="38">
        <v>0</v>
      </c>
      <c r="EE19" s="38">
        <v>0</v>
      </c>
      <c r="EF19" s="38">
        <v>0</v>
      </c>
      <c r="EG19" s="38">
        <v>0</v>
      </c>
      <c r="EH19" s="38">
        <v>0</v>
      </c>
      <c r="EI19" s="38">
        <v>0</v>
      </c>
      <c r="EJ19" s="38">
        <v>0</v>
      </c>
      <c r="EK19" s="38">
        <v>0</v>
      </c>
      <c r="EL19" s="38">
        <v>0</v>
      </c>
      <c r="EM19" s="38">
        <v>0</v>
      </c>
      <c r="EN19" s="38">
        <v>0</v>
      </c>
      <c r="EO19" s="38">
        <v>0</v>
      </c>
      <c r="EP19" s="38">
        <v>0</v>
      </c>
      <c r="EQ19" s="38">
        <v>0</v>
      </c>
      <c r="ER19" s="38">
        <v>0</v>
      </c>
      <c r="ES19" s="38">
        <v>0</v>
      </c>
      <c r="ET19" s="38">
        <v>0</v>
      </c>
      <c r="EU19" s="38">
        <v>0</v>
      </c>
      <c r="EV19" s="38">
        <v>0</v>
      </c>
      <c r="EW19" s="38">
        <v>0</v>
      </c>
      <c r="EX19" s="38">
        <v>0</v>
      </c>
      <c r="EY19" s="38">
        <v>0</v>
      </c>
      <c r="EZ19" s="38">
        <v>0</v>
      </c>
      <c r="FA19" s="38">
        <v>0</v>
      </c>
      <c r="FB19" s="38">
        <v>0</v>
      </c>
      <c r="FC19" s="38">
        <v>0</v>
      </c>
      <c r="FD19" s="38">
        <v>0</v>
      </c>
      <c r="FE19" s="38">
        <v>0</v>
      </c>
      <c r="FF19" s="38">
        <v>0</v>
      </c>
      <c r="FG19" s="38">
        <v>0</v>
      </c>
      <c r="FH19" s="38">
        <v>0</v>
      </c>
      <c r="FI19" s="38">
        <v>0</v>
      </c>
      <c r="FJ19" s="38">
        <v>0</v>
      </c>
      <c r="FK19" s="38">
        <v>0</v>
      </c>
      <c r="FL19" s="38">
        <v>0</v>
      </c>
      <c r="FM19" s="38">
        <v>0</v>
      </c>
      <c r="FN19" s="38">
        <v>0</v>
      </c>
      <c r="FO19" s="38">
        <v>0</v>
      </c>
      <c r="FP19" s="38">
        <v>0</v>
      </c>
      <c r="FQ19" s="38">
        <v>0</v>
      </c>
      <c r="FR19" s="38">
        <v>0</v>
      </c>
      <c r="FS19" s="38">
        <v>0</v>
      </c>
      <c r="FT19" s="38">
        <v>0</v>
      </c>
      <c r="FU19" s="38">
        <v>0</v>
      </c>
      <c r="FV19" s="38">
        <v>0</v>
      </c>
      <c r="FW19" s="38">
        <v>0</v>
      </c>
      <c r="FX19" s="38">
        <v>0</v>
      </c>
      <c r="FY19" s="38">
        <v>0</v>
      </c>
      <c r="FZ19" s="38">
        <v>0</v>
      </c>
      <c r="GA19" s="38">
        <v>0</v>
      </c>
      <c r="GB19" s="38">
        <v>0</v>
      </c>
      <c r="GC19" s="38">
        <v>0</v>
      </c>
      <c r="GD19" s="38">
        <v>0</v>
      </c>
      <c r="GE19" s="38">
        <v>0</v>
      </c>
      <c r="GF19" s="38">
        <v>0</v>
      </c>
      <c r="GG19" s="38">
        <v>0</v>
      </c>
      <c r="GH19" s="38">
        <v>0</v>
      </c>
      <c r="GI19" s="38">
        <v>0</v>
      </c>
      <c r="GJ19" s="38">
        <v>0</v>
      </c>
      <c r="GK19" s="38">
        <v>0</v>
      </c>
      <c r="GL19" s="38">
        <v>0</v>
      </c>
      <c r="GM19" s="38">
        <v>0</v>
      </c>
      <c r="GN19" s="38">
        <v>0</v>
      </c>
      <c r="GO19" s="38">
        <v>0</v>
      </c>
      <c r="GP19" s="38">
        <v>0</v>
      </c>
      <c r="GQ19" s="38">
        <v>0</v>
      </c>
      <c r="GR19" s="38">
        <v>0</v>
      </c>
      <c r="GS19" s="38"/>
      <c r="GT19" s="38"/>
      <c r="GU19" s="38"/>
      <c r="GV19" s="38"/>
    </row>
    <row r="20" spans="1:204">
      <c r="A20" s="34" t="s">
        <v>353</v>
      </c>
      <c r="B20" s="45">
        <v>0.65</v>
      </c>
      <c r="C20" s="63">
        <f t="shared" si="0"/>
        <v>3829</v>
      </c>
      <c r="D20" s="38">
        <v>0</v>
      </c>
      <c r="E20" s="38">
        <v>0</v>
      </c>
      <c r="F20" s="38">
        <v>0</v>
      </c>
      <c r="G20" s="38">
        <v>0</v>
      </c>
      <c r="H20" s="38">
        <v>0</v>
      </c>
      <c r="I20" s="38">
        <v>0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  <c r="R20" s="38">
        <v>0</v>
      </c>
      <c r="S20" s="38">
        <v>0</v>
      </c>
      <c r="T20" s="38">
        <v>3003</v>
      </c>
      <c r="U20" s="38">
        <v>0</v>
      </c>
      <c r="V20" s="38">
        <v>0</v>
      </c>
      <c r="W20" s="38">
        <v>0</v>
      </c>
      <c r="X20" s="38">
        <v>0</v>
      </c>
      <c r="Y20" s="38">
        <v>0</v>
      </c>
      <c r="Z20" s="38">
        <v>0</v>
      </c>
      <c r="AA20" s="38">
        <v>0</v>
      </c>
      <c r="AB20" s="38">
        <v>0</v>
      </c>
      <c r="AC20" s="38">
        <v>0</v>
      </c>
      <c r="AD20" s="38">
        <v>0</v>
      </c>
      <c r="AE20" s="38">
        <v>0</v>
      </c>
      <c r="AF20" s="38">
        <v>0</v>
      </c>
      <c r="AG20" s="38">
        <v>0</v>
      </c>
      <c r="AH20" s="38">
        <v>0</v>
      </c>
      <c r="AI20" s="38">
        <v>0</v>
      </c>
      <c r="AJ20" s="38">
        <v>0</v>
      </c>
      <c r="AK20" s="38">
        <v>0</v>
      </c>
      <c r="AL20" s="38">
        <v>0</v>
      </c>
      <c r="AM20" s="38">
        <v>0</v>
      </c>
      <c r="AN20" s="38">
        <v>0</v>
      </c>
      <c r="AO20" s="38">
        <v>0</v>
      </c>
      <c r="AP20" s="38">
        <v>0</v>
      </c>
      <c r="AQ20" s="38">
        <v>0</v>
      </c>
      <c r="AR20" s="38">
        <v>0</v>
      </c>
      <c r="AS20" s="38">
        <v>0</v>
      </c>
      <c r="AT20" s="38">
        <v>0</v>
      </c>
      <c r="AU20" s="38">
        <v>0</v>
      </c>
      <c r="AV20" s="38">
        <v>0</v>
      </c>
      <c r="AW20" s="38">
        <v>0</v>
      </c>
      <c r="AX20" s="38">
        <v>0</v>
      </c>
      <c r="AY20" s="38">
        <v>0</v>
      </c>
      <c r="AZ20" s="38">
        <v>0</v>
      </c>
      <c r="BA20" s="38">
        <v>0</v>
      </c>
      <c r="BB20" s="38">
        <v>0</v>
      </c>
      <c r="BC20" s="38">
        <v>0</v>
      </c>
      <c r="BD20" s="38">
        <v>0</v>
      </c>
      <c r="BE20" s="38">
        <v>0</v>
      </c>
      <c r="BF20" s="38">
        <v>0</v>
      </c>
      <c r="BG20" s="38">
        <v>0</v>
      </c>
      <c r="BH20" s="38">
        <v>0</v>
      </c>
      <c r="BI20" s="38">
        <v>0</v>
      </c>
      <c r="BJ20" s="38">
        <v>0</v>
      </c>
      <c r="BK20" s="38">
        <v>0</v>
      </c>
      <c r="BL20" s="38">
        <v>0</v>
      </c>
      <c r="BM20" s="38">
        <v>0</v>
      </c>
      <c r="BN20" s="38">
        <v>0</v>
      </c>
      <c r="BO20" s="38">
        <v>0</v>
      </c>
      <c r="BP20" s="38">
        <v>0</v>
      </c>
      <c r="BQ20" s="38">
        <v>0</v>
      </c>
      <c r="BR20" s="38">
        <v>0</v>
      </c>
      <c r="BS20" s="38">
        <v>0</v>
      </c>
      <c r="BT20" s="38">
        <v>0</v>
      </c>
      <c r="BU20" s="38">
        <v>0</v>
      </c>
      <c r="BV20" s="38">
        <v>0</v>
      </c>
      <c r="BW20" s="38">
        <v>0</v>
      </c>
      <c r="BX20" s="38">
        <v>0</v>
      </c>
      <c r="BY20" s="38">
        <v>0</v>
      </c>
      <c r="BZ20" s="38">
        <v>0</v>
      </c>
      <c r="CA20" s="38">
        <v>0</v>
      </c>
      <c r="CB20" s="38">
        <v>0</v>
      </c>
      <c r="CC20" s="38">
        <v>0</v>
      </c>
      <c r="CD20" s="38">
        <v>0</v>
      </c>
      <c r="CE20" s="38">
        <v>0</v>
      </c>
      <c r="CF20" s="38">
        <v>0</v>
      </c>
      <c r="CG20" s="38">
        <v>0</v>
      </c>
      <c r="CH20" s="38">
        <v>460</v>
      </c>
      <c r="CI20" s="38">
        <v>0</v>
      </c>
      <c r="CJ20" s="38">
        <v>0</v>
      </c>
      <c r="CK20" s="38">
        <v>0</v>
      </c>
      <c r="CL20" s="38">
        <v>0</v>
      </c>
      <c r="CM20" s="38">
        <v>0</v>
      </c>
      <c r="CN20" s="38">
        <v>0</v>
      </c>
      <c r="CO20" s="38">
        <v>0</v>
      </c>
      <c r="CP20" s="38">
        <v>0</v>
      </c>
      <c r="CQ20" s="38">
        <v>0</v>
      </c>
      <c r="CR20" s="38">
        <v>0</v>
      </c>
      <c r="CS20" s="38">
        <v>0</v>
      </c>
      <c r="CT20" s="38">
        <v>0</v>
      </c>
      <c r="CU20" s="38">
        <v>0</v>
      </c>
      <c r="CV20" s="38">
        <v>0</v>
      </c>
      <c r="CW20" s="38">
        <v>0</v>
      </c>
      <c r="CX20" s="38">
        <v>0</v>
      </c>
      <c r="CY20" s="38">
        <v>0</v>
      </c>
      <c r="CZ20" s="38">
        <v>0</v>
      </c>
      <c r="DA20" s="38">
        <v>0</v>
      </c>
      <c r="DB20" s="38">
        <v>0</v>
      </c>
      <c r="DC20" s="38">
        <v>0</v>
      </c>
      <c r="DD20" s="38">
        <v>0</v>
      </c>
      <c r="DE20" s="38">
        <v>0</v>
      </c>
      <c r="DF20" s="38">
        <v>0</v>
      </c>
      <c r="DG20" s="38">
        <v>0</v>
      </c>
      <c r="DH20" s="38">
        <v>0</v>
      </c>
      <c r="DI20" s="38">
        <v>0</v>
      </c>
      <c r="DJ20" s="38">
        <v>0</v>
      </c>
      <c r="DK20" s="38">
        <v>0</v>
      </c>
      <c r="DL20" s="38">
        <v>0</v>
      </c>
      <c r="DM20" s="38">
        <v>0</v>
      </c>
      <c r="DN20" s="38">
        <v>0</v>
      </c>
      <c r="DO20" s="38">
        <v>0</v>
      </c>
      <c r="DP20" s="38">
        <v>0</v>
      </c>
      <c r="DQ20" s="38">
        <v>0</v>
      </c>
      <c r="DR20" s="38">
        <v>0</v>
      </c>
      <c r="DS20" s="38">
        <v>0</v>
      </c>
      <c r="DT20" s="38">
        <v>0</v>
      </c>
      <c r="DU20" s="38">
        <v>0</v>
      </c>
      <c r="DV20" s="38">
        <v>0</v>
      </c>
      <c r="DW20" s="38">
        <v>0</v>
      </c>
      <c r="DX20" s="38">
        <v>136</v>
      </c>
      <c r="DY20" s="38">
        <v>0</v>
      </c>
      <c r="DZ20" s="38">
        <v>0</v>
      </c>
      <c r="EA20" s="38">
        <v>0</v>
      </c>
      <c r="EB20" s="38">
        <v>0</v>
      </c>
      <c r="EC20" s="38">
        <v>0</v>
      </c>
      <c r="ED20" s="38">
        <v>0</v>
      </c>
      <c r="EE20" s="38">
        <v>0</v>
      </c>
      <c r="EF20" s="38">
        <v>0</v>
      </c>
      <c r="EG20" s="38">
        <v>0</v>
      </c>
      <c r="EH20" s="38">
        <v>0</v>
      </c>
      <c r="EI20" s="38">
        <v>0</v>
      </c>
      <c r="EJ20" s="38">
        <v>0</v>
      </c>
      <c r="EK20" s="38">
        <v>0</v>
      </c>
      <c r="EL20" s="38">
        <v>0</v>
      </c>
      <c r="EM20" s="38">
        <v>0</v>
      </c>
      <c r="EN20" s="38">
        <v>0</v>
      </c>
      <c r="EO20" s="38">
        <v>0</v>
      </c>
      <c r="EP20" s="38">
        <v>0</v>
      </c>
      <c r="EQ20" s="38">
        <v>0</v>
      </c>
      <c r="ER20" s="38">
        <v>0</v>
      </c>
      <c r="ES20" s="38">
        <v>0</v>
      </c>
      <c r="ET20" s="38">
        <v>0</v>
      </c>
      <c r="EU20" s="38">
        <v>0</v>
      </c>
      <c r="EV20" s="38">
        <v>0</v>
      </c>
      <c r="EW20" s="38">
        <v>0</v>
      </c>
      <c r="EX20" s="38">
        <v>0</v>
      </c>
      <c r="EY20" s="38">
        <v>0</v>
      </c>
      <c r="EZ20" s="38">
        <v>0</v>
      </c>
      <c r="FA20" s="38">
        <v>0</v>
      </c>
      <c r="FB20" s="38">
        <v>0</v>
      </c>
      <c r="FC20" s="38">
        <v>0</v>
      </c>
      <c r="FD20" s="38">
        <v>0</v>
      </c>
      <c r="FE20" s="38">
        <v>0</v>
      </c>
      <c r="FF20" s="38">
        <v>0</v>
      </c>
      <c r="FG20" s="38">
        <v>0</v>
      </c>
      <c r="FH20" s="38">
        <v>0</v>
      </c>
      <c r="FI20" s="38">
        <v>0</v>
      </c>
      <c r="FJ20" s="38">
        <v>0</v>
      </c>
      <c r="FK20" s="38">
        <v>0</v>
      </c>
      <c r="FL20" s="38">
        <v>0</v>
      </c>
      <c r="FM20" s="38">
        <v>0</v>
      </c>
      <c r="FN20" s="38">
        <v>0</v>
      </c>
      <c r="FO20" s="38">
        <v>0</v>
      </c>
      <c r="FP20" s="38">
        <v>0</v>
      </c>
      <c r="FQ20" s="38">
        <v>0</v>
      </c>
      <c r="FR20" s="38">
        <v>0</v>
      </c>
      <c r="FS20" s="38">
        <v>0</v>
      </c>
      <c r="FT20" s="38">
        <v>0</v>
      </c>
      <c r="FU20" s="38">
        <v>0</v>
      </c>
      <c r="FV20" s="38">
        <v>0</v>
      </c>
      <c r="FW20" s="38">
        <v>0</v>
      </c>
      <c r="FX20" s="38">
        <v>0</v>
      </c>
      <c r="FY20" s="38">
        <v>0</v>
      </c>
      <c r="FZ20" s="38">
        <v>0</v>
      </c>
      <c r="GA20" s="38">
        <v>0</v>
      </c>
      <c r="GB20" s="38">
        <v>0</v>
      </c>
      <c r="GC20" s="38">
        <v>0</v>
      </c>
      <c r="GD20" s="38">
        <v>0</v>
      </c>
      <c r="GE20" s="38">
        <v>0</v>
      </c>
      <c r="GF20" s="38">
        <v>0</v>
      </c>
      <c r="GG20" s="38">
        <v>0</v>
      </c>
      <c r="GH20" s="38">
        <v>0</v>
      </c>
      <c r="GI20" s="38">
        <v>0</v>
      </c>
      <c r="GJ20" s="38">
        <v>0</v>
      </c>
      <c r="GK20" s="38">
        <v>0</v>
      </c>
      <c r="GL20" s="38">
        <v>230</v>
      </c>
      <c r="GM20" s="38">
        <v>0</v>
      </c>
      <c r="GN20" s="38">
        <v>0</v>
      </c>
      <c r="GO20" s="38">
        <v>0</v>
      </c>
      <c r="GP20" s="38">
        <v>0</v>
      </c>
      <c r="GQ20" s="38">
        <v>0</v>
      </c>
      <c r="GR20" s="38">
        <v>0</v>
      </c>
      <c r="GS20" s="38"/>
      <c r="GT20" s="38"/>
      <c r="GU20" s="38"/>
      <c r="GV20" s="38"/>
    </row>
    <row r="21" spans="1:204">
      <c r="A21" s="34" t="s">
        <v>354</v>
      </c>
      <c r="B21" s="45">
        <v>0.65</v>
      </c>
      <c r="C21" s="63">
        <f t="shared" si="0"/>
        <v>2650</v>
      </c>
      <c r="D21" s="38">
        <v>0</v>
      </c>
      <c r="E21" s="38">
        <v>0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0</v>
      </c>
      <c r="U21" s="38">
        <v>0</v>
      </c>
      <c r="V21" s="38">
        <v>0</v>
      </c>
      <c r="W21" s="38">
        <v>0</v>
      </c>
      <c r="X21" s="38">
        <v>0</v>
      </c>
      <c r="Y21" s="38">
        <v>0</v>
      </c>
      <c r="Z21" s="38">
        <v>0</v>
      </c>
      <c r="AA21" s="38">
        <v>0</v>
      </c>
      <c r="AB21" s="38">
        <v>0</v>
      </c>
      <c r="AC21" s="38">
        <v>0</v>
      </c>
      <c r="AD21" s="38">
        <v>0</v>
      </c>
      <c r="AE21" s="38">
        <v>0</v>
      </c>
      <c r="AF21" s="38">
        <v>0</v>
      </c>
      <c r="AG21" s="38">
        <v>0</v>
      </c>
      <c r="AH21" s="38">
        <v>0</v>
      </c>
      <c r="AI21" s="38">
        <v>0</v>
      </c>
      <c r="AJ21" s="38">
        <v>0</v>
      </c>
      <c r="AK21" s="38">
        <v>0</v>
      </c>
      <c r="AL21" s="38">
        <v>0</v>
      </c>
      <c r="AM21" s="38">
        <v>0</v>
      </c>
      <c r="AN21" s="38">
        <v>0</v>
      </c>
      <c r="AO21" s="38">
        <v>0</v>
      </c>
      <c r="AP21" s="38">
        <v>0</v>
      </c>
      <c r="AQ21" s="38">
        <v>0</v>
      </c>
      <c r="AR21" s="38">
        <v>0</v>
      </c>
      <c r="AS21" s="38">
        <v>0</v>
      </c>
      <c r="AT21" s="38">
        <v>0</v>
      </c>
      <c r="AU21" s="38">
        <v>160</v>
      </c>
      <c r="AV21" s="38">
        <v>0</v>
      </c>
      <c r="AW21" s="38">
        <v>0</v>
      </c>
      <c r="AX21" s="38">
        <v>0</v>
      </c>
      <c r="AY21" s="38">
        <v>0</v>
      </c>
      <c r="AZ21" s="38">
        <v>0</v>
      </c>
      <c r="BA21" s="38">
        <v>0</v>
      </c>
      <c r="BB21" s="38">
        <v>0</v>
      </c>
      <c r="BC21" s="38">
        <v>0</v>
      </c>
      <c r="BD21" s="38">
        <v>0</v>
      </c>
      <c r="BE21" s="38">
        <v>0</v>
      </c>
      <c r="BF21" s="38">
        <v>0</v>
      </c>
      <c r="BG21" s="38">
        <v>0</v>
      </c>
      <c r="BH21" s="38">
        <v>0</v>
      </c>
      <c r="BI21" s="38">
        <v>0</v>
      </c>
      <c r="BJ21" s="38">
        <v>0</v>
      </c>
      <c r="BK21" s="38">
        <v>0</v>
      </c>
      <c r="BL21" s="38">
        <v>0</v>
      </c>
      <c r="BM21" s="38">
        <v>0</v>
      </c>
      <c r="BN21" s="38">
        <v>0</v>
      </c>
      <c r="BO21" s="38">
        <v>0</v>
      </c>
      <c r="BP21" s="38">
        <v>0</v>
      </c>
      <c r="BQ21" s="38">
        <v>0</v>
      </c>
      <c r="BR21" s="38">
        <v>0</v>
      </c>
      <c r="BS21" s="38">
        <v>84</v>
      </c>
      <c r="BT21" s="38">
        <v>0</v>
      </c>
      <c r="BU21" s="38">
        <v>0</v>
      </c>
      <c r="BV21" s="38">
        <v>0</v>
      </c>
      <c r="BW21" s="38">
        <v>0</v>
      </c>
      <c r="BX21" s="38">
        <v>0</v>
      </c>
      <c r="BY21" s="38">
        <v>0</v>
      </c>
      <c r="BZ21" s="38">
        <v>0</v>
      </c>
      <c r="CA21" s="38">
        <v>0</v>
      </c>
      <c r="CB21" s="38">
        <v>0</v>
      </c>
      <c r="CC21" s="38">
        <v>0</v>
      </c>
      <c r="CD21" s="38">
        <v>0</v>
      </c>
      <c r="CE21" s="38">
        <v>0</v>
      </c>
      <c r="CF21" s="38">
        <v>0</v>
      </c>
      <c r="CG21" s="38">
        <v>0</v>
      </c>
      <c r="CH21" s="38">
        <v>0</v>
      </c>
      <c r="CI21" s="38">
        <v>0</v>
      </c>
      <c r="CJ21" s="38">
        <v>0</v>
      </c>
      <c r="CK21" s="38">
        <v>0</v>
      </c>
      <c r="CL21" s="38">
        <v>0</v>
      </c>
      <c r="CM21" s="38">
        <v>0</v>
      </c>
      <c r="CN21" s="38">
        <v>0</v>
      </c>
      <c r="CO21" s="38">
        <v>0</v>
      </c>
      <c r="CP21" s="38">
        <v>0</v>
      </c>
      <c r="CQ21" s="38">
        <v>0</v>
      </c>
      <c r="CR21" s="38">
        <v>0</v>
      </c>
      <c r="CS21" s="38">
        <v>0</v>
      </c>
      <c r="CT21" s="38">
        <v>0</v>
      </c>
      <c r="CU21" s="38">
        <v>0</v>
      </c>
      <c r="CV21" s="38">
        <v>0</v>
      </c>
      <c r="CW21" s="38">
        <v>0</v>
      </c>
      <c r="CX21" s="38">
        <v>0</v>
      </c>
      <c r="CY21" s="38">
        <v>0</v>
      </c>
      <c r="CZ21" s="38">
        <v>0</v>
      </c>
      <c r="DA21" s="38">
        <v>0</v>
      </c>
      <c r="DB21" s="38">
        <v>0</v>
      </c>
      <c r="DC21" s="38">
        <v>0</v>
      </c>
      <c r="DD21" s="38">
        <v>0</v>
      </c>
      <c r="DE21" s="38">
        <v>0</v>
      </c>
      <c r="DF21" s="38">
        <v>0</v>
      </c>
      <c r="DG21" s="38">
        <v>0</v>
      </c>
      <c r="DH21" s="38">
        <v>0</v>
      </c>
      <c r="DI21" s="38">
        <v>0</v>
      </c>
      <c r="DJ21" s="38">
        <v>0</v>
      </c>
      <c r="DK21" s="38">
        <v>0</v>
      </c>
      <c r="DL21" s="38">
        <v>0</v>
      </c>
      <c r="DM21" s="38">
        <v>0</v>
      </c>
      <c r="DN21" s="38">
        <v>0</v>
      </c>
      <c r="DO21" s="38">
        <v>0</v>
      </c>
      <c r="DP21" s="38">
        <v>0</v>
      </c>
      <c r="DQ21" s="38">
        <v>0</v>
      </c>
      <c r="DR21" s="38">
        <v>0</v>
      </c>
      <c r="DS21" s="38">
        <v>0</v>
      </c>
      <c r="DT21" s="38">
        <v>0</v>
      </c>
      <c r="DU21" s="38">
        <v>0</v>
      </c>
      <c r="DV21" s="38">
        <v>0</v>
      </c>
      <c r="DW21" s="38">
        <v>0</v>
      </c>
      <c r="DX21" s="38">
        <v>1</v>
      </c>
      <c r="DY21" s="38">
        <v>692</v>
      </c>
      <c r="DZ21" s="38">
        <v>482</v>
      </c>
      <c r="EA21" s="38">
        <v>0</v>
      </c>
      <c r="EB21" s="38">
        <v>0</v>
      </c>
      <c r="EC21" s="38">
        <v>0</v>
      </c>
      <c r="ED21" s="38">
        <v>0</v>
      </c>
      <c r="EE21" s="38">
        <v>0</v>
      </c>
      <c r="EF21" s="38">
        <v>0</v>
      </c>
      <c r="EG21" s="38">
        <v>0</v>
      </c>
      <c r="EH21" s="38">
        <v>0</v>
      </c>
      <c r="EI21" s="38">
        <v>0</v>
      </c>
      <c r="EJ21" s="38">
        <v>0</v>
      </c>
      <c r="EK21" s="38">
        <v>0</v>
      </c>
      <c r="EL21" s="38">
        <v>0</v>
      </c>
      <c r="EM21" s="38">
        <v>0</v>
      </c>
      <c r="EN21" s="38">
        <v>0</v>
      </c>
      <c r="EO21" s="38">
        <v>0</v>
      </c>
      <c r="EP21" s="38">
        <v>0</v>
      </c>
      <c r="EQ21" s="38">
        <v>0</v>
      </c>
      <c r="ER21" s="38">
        <v>0</v>
      </c>
      <c r="ES21" s="38">
        <v>0</v>
      </c>
      <c r="ET21" s="38">
        <v>0</v>
      </c>
      <c r="EU21" s="38">
        <v>0</v>
      </c>
      <c r="EV21" s="38">
        <v>489</v>
      </c>
      <c r="EW21" s="38">
        <v>387</v>
      </c>
      <c r="EX21" s="38">
        <v>0</v>
      </c>
      <c r="EY21" s="38">
        <v>0</v>
      </c>
      <c r="EZ21" s="38">
        <v>0</v>
      </c>
      <c r="FA21" s="38">
        <v>0</v>
      </c>
      <c r="FB21" s="38">
        <v>0</v>
      </c>
      <c r="FC21" s="38">
        <v>0</v>
      </c>
      <c r="FD21" s="38">
        <v>0</v>
      </c>
      <c r="FE21" s="38">
        <v>0</v>
      </c>
      <c r="FF21" s="38">
        <v>0</v>
      </c>
      <c r="FG21" s="38">
        <v>0</v>
      </c>
      <c r="FH21" s="38">
        <v>0</v>
      </c>
      <c r="FI21" s="38">
        <v>0</v>
      </c>
      <c r="FJ21" s="38">
        <v>0</v>
      </c>
      <c r="FK21" s="38">
        <v>0</v>
      </c>
      <c r="FL21" s="38">
        <v>0</v>
      </c>
      <c r="FM21" s="38">
        <v>0</v>
      </c>
      <c r="FN21" s="38">
        <v>0</v>
      </c>
      <c r="FO21" s="38">
        <v>0</v>
      </c>
      <c r="FP21" s="38">
        <v>0</v>
      </c>
      <c r="FQ21" s="38">
        <v>0</v>
      </c>
      <c r="FR21" s="38">
        <v>0</v>
      </c>
      <c r="FS21" s="38">
        <v>0</v>
      </c>
      <c r="FT21" s="38">
        <v>0</v>
      </c>
      <c r="FU21" s="38">
        <v>0</v>
      </c>
      <c r="FV21" s="38">
        <v>0</v>
      </c>
      <c r="FW21" s="38">
        <v>0</v>
      </c>
      <c r="FX21" s="38">
        <v>0</v>
      </c>
      <c r="FY21" s="38">
        <v>0</v>
      </c>
      <c r="FZ21" s="38">
        <v>0</v>
      </c>
      <c r="GA21" s="38">
        <v>0</v>
      </c>
      <c r="GB21" s="38">
        <v>0</v>
      </c>
      <c r="GC21" s="38">
        <v>0</v>
      </c>
      <c r="GD21" s="38">
        <v>0</v>
      </c>
      <c r="GE21" s="38">
        <v>0</v>
      </c>
      <c r="GF21" s="38">
        <v>0</v>
      </c>
      <c r="GG21" s="38">
        <v>0</v>
      </c>
      <c r="GH21" s="38">
        <v>0</v>
      </c>
      <c r="GI21" s="38">
        <v>0</v>
      </c>
      <c r="GJ21" s="38">
        <v>0</v>
      </c>
      <c r="GK21" s="38">
        <v>0</v>
      </c>
      <c r="GL21" s="38">
        <v>355</v>
      </c>
      <c r="GM21" s="38">
        <v>0</v>
      </c>
      <c r="GN21" s="38">
        <v>0</v>
      </c>
      <c r="GO21" s="38">
        <v>0</v>
      </c>
      <c r="GP21" s="38">
        <v>0</v>
      </c>
      <c r="GQ21" s="38">
        <v>0</v>
      </c>
      <c r="GR21" s="38">
        <v>0</v>
      </c>
      <c r="GS21" s="38"/>
      <c r="GT21" s="38"/>
      <c r="GU21" s="38"/>
      <c r="GV21" s="38"/>
    </row>
    <row r="22" spans="1:204">
      <c r="A22" s="171" t="s">
        <v>355</v>
      </c>
      <c r="B22" s="45">
        <v>0.65</v>
      </c>
      <c r="C22" s="63">
        <f t="shared" si="0"/>
        <v>2996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596</v>
      </c>
      <c r="P22" s="38">
        <v>0</v>
      </c>
      <c r="Q22" s="38">
        <v>0</v>
      </c>
      <c r="R22" s="38">
        <v>0</v>
      </c>
      <c r="S22" s="38">
        <v>0</v>
      </c>
      <c r="T22" s="38">
        <v>0</v>
      </c>
      <c r="U22" s="38">
        <v>0</v>
      </c>
      <c r="V22" s="38">
        <v>0</v>
      </c>
      <c r="W22" s="38">
        <v>0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  <c r="AC22" s="38">
        <v>0</v>
      </c>
      <c r="AD22" s="38">
        <v>0</v>
      </c>
      <c r="AE22" s="38">
        <v>0</v>
      </c>
      <c r="AF22" s="38">
        <v>0</v>
      </c>
      <c r="AG22" s="38">
        <v>0</v>
      </c>
      <c r="AH22" s="38">
        <v>0</v>
      </c>
      <c r="AI22" s="38">
        <v>0</v>
      </c>
      <c r="AJ22" s="38">
        <v>0</v>
      </c>
      <c r="AK22" s="38">
        <v>73</v>
      </c>
      <c r="AL22" s="38">
        <v>0</v>
      </c>
      <c r="AM22" s="38">
        <v>0</v>
      </c>
      <c r="AN22" s="38">
        <v>0</v>
      </c>
      <c r="AO22" s="38">
        <v>0</v>
      </c>
      <c r="AP22" s="38">
        <v>0</v>
      </c>
      <c r="AQ22" s="38">
        <v>0</v>
      </c>
      <c r="AR22" s="38">
        <v>0</v>
      </c>
      <c r="AS22" s="38">
        <v>0</v>
      </c>
      <c r="AT22" s="38">
        <v>0</v>
      </c>
      <c r="AU22" s="38">
        <v>0</v>
      </c>
      <c r="AV22" s="38">
        <v>0</v>
      </c>
      <c r="AW22" s="38">
        <v>0</v>
      </c>
      <c r="AX22" s="38">
        <v>0</v>
      </c>
      <c r="AY22" s="38">
        <v>0</v>
      </c>
      <c r="AZ22" s="38">
        <v>0</v>
      </c>
      <c r="BA22" s="38">
        <v>0</v>
      </c>
      <c r="BB22" s="38">
        <v>0</v>
      </c>
      <c r="BC22" s="38">
        <v>0</v>
      </c>
      <c r="BD22" s="38">
        <v>0</v>
      </c>
      <c r="BE22" s="38">
        <v>0</v>
      </c>
      <c r="BF22" s="38">
        <v>0</v>
      </c>
      <c r="BG22" s="38">
        <v>0</v>
      </c>
      <c r="BH22" s="38">
        <v>0</v>
      </c>
      <c r="BI22" s="38">
        <v>0</v>
      </c>
      <c r="BJ22" s="38">
        <v>0</v>
      </c>
      <c r="BK22" s="38">
        <v>0</v>
      </c>
      <c r="BL22" s="38">
        <v>0</v>
      </c>
      <c r="BM22" s="38">
        <v>0</v>
      </c>
      <c r="BN22" s="38">
        <v>0</v>
      </c>
      <c r="BO22" s="38">
        <v>0</v>
      </c>
      <c r="BP22" s="38">
        <v>0</v>
      </c>
      <c r="BQ22" s="38">
        <v>0</v>
      </c>
      <c r="BR22" s="38">
        <v>0</v>
      </c>
      <c r="BS22" s="38">
        <v>0</v>
      </c>
      <c r="BT22" s="38">
        <v>0</v>
      </c>
      <c r="BU22" s="38">
        <v>0</v>
      </c>
      <c r="BV22" s="38">
        <v>0</v>
      </c>
      <c r="BW22" s="38">
        <v>0</v>
      </c>
      <c r="BX22" s="38">
        <v>0</v>
      </c>
      <c r="BY22" s="38">
        <v>0</v>
      </c>
      <c r="BZ22" s="38">
        <v>0</v>
      </c>
      <c r="CA22" s="38">
        <v>0</v>
      </c>
      <c r="CB22" s="38">
        <v>0</v>
      </c>
      <c r="CC22" s="38">
        <v>0</v>
      </c>
      <c r="CD22" s="38">
        <v>0</v>
      </c>
      <c r="CE22" s="38">
        <v>0</v>
      </c>
      <c r="CF22" s="38">
        <v>0</v>
      </c>
      <c r="CG22" s="38">
        <v>0</v>
      </c>
      <c r="CH22" s="38">
        <v>0</v>
      </c>
      <c r="CI22" s="38">
        <v>0</v>
      </c>
      <c r="CJ22" s="38">
        <v>0</v>
      </c>
      <c r="CK22" s="38">
        <v>0</v>
      </c>
      <c r="CL22" s="38">
        <v>0</v>
      </c>
      <c r="CM22" s="38">
        <v>0</v>
      </c>
      <c r="CN22" s="38">
        <v>0</v>
      </c>
      <c r="CO22" s="38">
        <v>0</v>
      </c>
      <c r="CP22" s="38">
        <v>0</v>
      </c>
      <c r="CQ22" s="38">
        <v>0</v>
      </c>
      <c r="CR22" s="38">
        <v>0</v>
      </c>
      <c r="CS22" s="38">
        <v>0</v>
      </c>
      <c r="CT22" s="38">
        <v>0</v>
      </c>
      <c r="CU22" s="38">
        <v>0</v>
      </c>
      <c r="CV22" s="38">
        <v>0</v>
      </c>
      <c r="CW22" s="38">
        <v>0</v>
      </c>
      <c r="CX22" s="38">
        <v>0</v>
      </c>
      <c r="CY22" s="38">
        <v>0</v>
      </c>
      <c r="CZ22" s="38">
        <v>0</v>
      </c>
      <c r="DA22" s="38">
        <v>0</v>
      </c>
      <c r="DB22" s="38">
        <v>0</v>
      </c>
      <c r="DC22" s="38">
        <v>0</v>
      </c>
      <c r="DD22" s="38">
        <v>0</v>
      </c>
      <c r="DE22" s="38">
        <v>0</v>
      </c>
      <c r="DF22" s="38">
        <v>0</v>
      </c>
      <c r="DG22" s="38">
        <v>0</v>
      </c>
      <c r="DH22" s="38">
        <v>0</v>
      </c>
      <c r="DI22" s="38">
        <v>0</v>
      </c>
      <c r="DJ22" s="38">
        <v>0</v>
      </c>
      <c r="DK22" s="38">
        <v>0</v>
      </c>
      <c r="DL22" s="38">
        <v>0</v>
      </c>
      <c r="DM22" s="38">
        <v>0</v>
      </c>
      <c r="DN22" s="38">
        <v>0</v>
      </c>
      <c r="DO22" s="38">
        <v>0</v>
      </c>
      <c r="DP22" s="38">
        <v>0</v>
      </c>
      <c r="DQ22" s="38">
        <v>0</v>
      </c>
      <c r="DR22" s="38">
        <v>0</v>
      </c>
      <c r="DS22" s="38">
        <v>0</v>
      </c>
      <c r="DT22" s="38">
        <v>0</v>
      </c>
      <c r="DU22" s="38">
        <v>0</v>
      </c>
      <c r="DV22" s="38">
        <v>0</v>
      </c>
      <c r="DW22" s="38">
        <v>0</v>
      </c>
      <c r="DX22" s="38">
        <v>0</v>
      </c>
      <c r="DY22" s="38">
        <v>0</v>
      </c>
      <c r="DZ22" s="38">
        <v>0</v>
      </c>
      <c r="EA22" s="38">
        <v>0</v>
      </c>
      <c r="EB22" s="38">
        <v>0</v>
      </c>
      <c r="EC22" s="38">
        <v>0</v>
      </c>
      <c r="ED22" s="38">
        <v>0</v>
      </c>
      <c r="EE22" s="38">
        <v>0</v>
      </c>
      <c r="EF22" s="38">
        <v>0</v>
      </c>
      <c r="EG22" s="38">
        <v>0</v>
      </c>
      <c r="EH22" s="38">
        <v>0</v>
      </c>
      <c r="EI22" s="38">
        <v>0</v>
      </c>
      <c r="EJ22" s="38">
        <v>0</v>
      </c>
      <c r="EK22" s="38">
        <v>0</v>
      </c>
      <c r="EL22" s="38">
        <v>0</v>
      </c>
      <c r="EM22" s="38">
        <v>0</v>
      </c>
      <c r="EN22" s="38">
        <v>0</v>
      </c>
      <c r="EO22" s="38">
        <v>0</v>
      </c>
      <c r="EP22" s="38">
        <v>0</v>
      </c>
      <c r="EQ22" s="38">
        <v>0</v>
      </c>
      <c r="ER22" s="38">
        <v>0</v>
      </c>
      <c r="ES22" s="38">
        <v>0</v>
      </c>
      <c r="ET22" s="38">
        <v>0</v>
      </c>
      <c r="EU22" s="38">
        <v>0</v>
      </c>
      <c r="EV22" s="38">
        <v>0</v>
      </c>
      <c r="EW22" s="38">
        <v>0</v>
      </c>
      <c r="EX22" s="38">
        <v>0</v>
      </c>
      <c r="EY22" s="38">
        <v>0</v>
      </c>
      <c r="EZ22" s="38">
        <v>0</v>
      </c>
      <c r="FA22" s="38">
        <v>0</v>
      </c>
      <c r="FB22" s="38">
        <v>0</v>
      </c>
      <c r="FC22" s="38">
        <v>0</v>
      </c>
      <c r="FD22" s="38">
        <v>0</v>
      </c>
      <c r="FE22" s="38">
        <v>0</v>
      </c>
      <c r="FF22" s="38">
        <v>0</v>
      </c>
      <c r="FG22" s="38">
        <v>0</v>
      </c>
      <c r="FH22" s="38">
        <v>2327</v>
      </c>
      <c r="FI22" s="38">
        <v>0</v>
      </c>
      <c r="FJ22" s="38">
        <v>0</v>
      </c>
      <c r="FK22" s="38">
        <v>0</v>
      </c>
      <c r="FL22" s="38">
        <v>0</v>
      </c>
      <c r="FM22" s="38">
        <v>0</v>
      </c>
      <c r="FN22" s="38">
        <v>0</v>
      </c>
      <c r="FO22" s="38">
        <v>0</v>
      </c>
      <c r="FP22" s="38">
        <v>0</v>
      </c>
      <c r="FQ22" s="38">
        <v>0</v>
      </c>
      <c r="FR22" s="38">
        <v>0</v>
      </c>
      <c r="FS22" s="38">
        <v>0</v>
      </c>
      <c r="FT22" s="38">
        <v>0</v>
      </c>
      <c r="FU22" s="38">
        <v>0</v>
      </c>
      <c r="FV22" s="38">
        <v>0</v>
      </c>
      <c r="FW22" s="38">
        <v>0</v>
      </c>
      <c r="FX22" s="38">
        <v>0</v>
      </c>
      <c r="FY22" s="38">
        <v>0</v>
      </c>
      <c r="FZ22" s="38">
        <v>0</v>
      </c>
      <c r="GA22" s="38">
        <v>0</v>
      </c>
      <c r="GB22" s="38">
        <v>0</v>
      </c>
      <c r="GC22" s="38">
        <v>0</v>
      </c>
      <c r="GD22" s="38">
        <v>0</v>
      </c>
      <c r="GE22" s="38">
        <v>0</v>
      </c>
      <c r="GF22" s="38">
        <v>0</v>
      </c>
      <c r="GG22" s="38">
        <v>0</v>
      </c>
      <c r="GH22" s="38">
        <v>0</v>
      </c>
      <c r="GI22" s="38">
        <v>0</v>
      </c>
      <c r="GJ22" s="38">
        <v>0</v>
      </c>
      <c r="GK22" s="38">
        <v>0</v>
      </c>
      <c r="GL22" s="38">
        <v>0</v>
      </c>
      <c r="GM22" s="38">
        <v>0</v>
      </c>
      <c r="GN22" s="38">
        <v>0</v>
      </c>
      <c r="GO22" s="38">
        <v>0</v>
      </c>
      <c r="GP22" s="38">
        <v>0</v>
      </c>
      <c r="GQ22" s="38">
        <v>0</v>
      </c>
      <c r="GR22" s="38">
        <v>0</v>
      </c>
      <c r="GS22" s="38"/>
      <c r="GT22" s="38"/>
      <c r="GU22" s="38"/>
      <c r="GV22" s="38"/>
    </row>
    <row r="23" spans="1:204" ht="14.45" customHeight="1">
      <c r="A23" s="171" t="s">
        <v>356</v>
      </c>
      <c r="B23" s="45">
        <v>0.65</v>
      </c>
      <c r="C23" s="63">
        <f t="shared" si="0"/>
        <v>0</v>
      </c>
      <c r="D23" s="38">
        <v>0</v>
      </c>
      <c r="E23" s="38">
        <v>0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  <c r="T23" s="38">
        <v>0</v>
      </c>
      <c r="U23" s="38">
        <v>0</v>
      </c>
      <c r="V23" s="38">
        <v>0</v>
      </c>
      <c r="W23" s="38">
        <v>0</v>
      </c>
      <c r="X23" s="38">
        <v>0</v>
      </c>
      <c r="Y23" s="38">
        <v>0</v>
      </c>
      <c r="Z23" s="38">
        <v>0</v>
      </c>
      <c r="AA23" s="38">
        <v>0</v>
      </c>
      <c r="AB23" s="38">
        <v>0</v>
      </c>
      <c r="AC23" s="38">
        <v>0</v>
      </c>
      <c r="AD23" s="38">
        <v>0</v>
      </c>
      <c r="AE23" s="38">
        <v>0</v>
      </c>
      <c r="AF23" s="38">
        <v>0</v>
      </c>
      <c r="AG23" s="38">
        <v>0</v>
      </c>
      <c r="AH23" s="38">
        <v>0</v>
      </c>
      <c r="AI23" s="38">
        <v>0</v>
      </c>
      <c r="AJ23" s="38">
        <v>0</v>
      </c>
      <c r="AK23" s="38">
        <v>0</v>
      </c>
      <c r="AL23" s="38">
        <v>0</v>
      </c>
      <c r="AM23" s="38">
        <v>0</v>
      </c>
      <c r="AN23" s="38">
        <v>0</v>
      </c>
      <c r="AO23" s="38">
        <v>0</v>
      </c>
      <c r="AP23" s="38">
        <v>0</v>
      </c>
      <c r="AQ23" s="38">
        <v>0</v>
      </c>
      <c r="AR23" s="38">
        <v>0</v>
      </c>
      <c r="AS23" s="38">
        <v>0</v>
      </c>
      <c r="AT23" s="38">
        <v>0</v>
      </c>
      <c r="AU23" s="38">
        <v>0</v>
      </c>
      <c r="AV23" s="38">
        <v>0</v>
      </c>
      <c r="AW23" s="38">
        <v>0</v>
      </c>
      <c r="AX23" s="38">
        <v>0</v>
      </c>
      <c r="AY23" s="38">
        <v>0</v>
      </c>
      <c r="AZ23" s="38">
        <v>0</v>
      </c>
      <c r="BA23" s="38">
        <v>0</v>
      </c>
      <c r="BB23" s="38">
        <v>0</v>
      </c>
      <c r="BC23" s="38">
        <v>0</v>
      </c>
      <c r="BD23" s="38">
        <v>0</v>
      </c>
      <c r="BE23" s="38">
        <v>0</v>
      </c>
      <c r="BF23" s="38">
        <v>0</v>
      </c>
      <c r="BG23" s="38">
        <v>0</v>
      </c>
      <c r="BH23" s="38">
        <v>0</v>
      </c>
      <c r="BI23" s="38">
        <v>0</v>
      </c>
      <c r="BJ23" s="38">
        <v>0</v>
      </c>
      <c r="BK23" s="38">
        <v>0</v>
      </c>
      <c r="BL23" s="38">
        <v>0</v>
      </c>
      <c r="BM23" s="38">
        <v>0</v>
      </c>
      <c r="BN23" s="38">
        <v>0</v>
      </c>
      <c r="BO23" s="38">
        <v>0</v>
      </c>
      <c r="BP23" s="38">
        <v>0</v>
      </c>
      <c r="BQ23" s="38">
        <v>0</v>
      </c>
      <c r="BR23" s="38">
        <v>0</v>
      </c>
      <c r="BS23" s="38">
        <v>0</v>
      </c>
      <c r="BT23" s="38">
        <v>0</v>
      </c>
      <c r="BU23" s="38">
        <v>0</v>
      </c>
      <c r="BV23" s="38">
        <v>0</v>
      </c>
      <c r="BW23" s="38">
        <v>0</v>
      </c>
      <c r="BX23" s="38">
        <v>0</v>
      </c>
      <c r="BY23" s="38">
        <v>0</v>
      </c>
      <c r="BZ23" s="38">
        <v>0</v>
      </c>
      <c r="CA23" s="38">
        <v>0</v>
      </c>
      <c r="CB23" s="38">
        <v>0</v>
      </c>
      <c r="CC23" s="38">
        <v>0</v>
      </c>
      <c r="CD23" s="38">
        <v>0</v>
      </c>
      <c r="CE23" s="38">
        <v>0</v>
      </c>
      <c r="CF23" s="38">
        <v>0</v>
      </c>
      <c r="CG23" s="38">
        <v>0</v>
      </c>
      <c r="CH23" s="38">
        <v>0</v>
      </c>
      <c r="CI23" s="38">
        <v>0</v>
      </c>
      <c r="CJ23" s="38">
        <v>0</v>
      </c>
      <c r="CK23" s="38">
        <v>0</v>
      </c>
      <c r="CL23" s="38">
        <v>0</v>
      </c>
      <c r="CM23" s="38">
        <v>0</v>
      </c>
      <c r="CN23" s="38">
        <v>0</v>
      </c>
      <c r="CO23" s="38">
        <v>0</v>
      </c>
      <c r="CP23" s="38">
        <v>0</v>
      </c>
      <c r="CQ23" s="38">
        <v>0</v>
      </c>
      <c r="CR23" s="38">
        <v>0</v>
      </c>
      <c r="CS23" s="38">
        <v>0</v>
      </c>
      <c r="CT23" s="38">
        <v>0</v>
      </c>
      <c r="CU23" s="38">
        <v>0</v>
      </c>
      <c r="CV23" s="38">
        <v>0</v>
      </c>
      <c r="CW23" s="38">
        <v>0</v>
      </c>
      <c r="CX23" s="38">
        <v>0</v>
      </c>
      <c r="CY23" s="38">
        <v>0</v>
      </c>
      <c r="CZ23" s="38">
        <v>0</v>
      </c>
      <c r="DA23" s="38">
        <v>0</v>
      </c>
      <c r="DB23" s="38">
        <v>0</v>
      </c>
      <c r="DC23" s="38">
        <v>0</v>
      </c>
      <c r="DD23" s="38">
        <v>0</v>
      </c>
      <c r="DE23" s="38">
        <v>0</v>
      </c>
      <c r="DF23" s="38">
        <v>0</v>
      </c>
      <c r="DG23" s="38">
        <v>0</v>
      </c>
      <c r="DH23" s="38">
        <v>0</v>
      </c>
      <c r="DI23" s="38">
        <v>0</v>
      </c>
      <c r="DJ23" s="38">
        <v>0</v>
      </c>
      <c r="DK23" s="38">
        <v>0</v>
      </c>
      <c r="DL23" s="38">
        <v>0</v>
      </c>
      <c r="DM23" s="38">
        <v>0</v>
      </c>
      <c r="DN23" s="38">
        <v>0</v>
      </c>
      <c r="DO23" s="38">
        <v>0</v>
      </c>
      <c r="DP23" s="38">
        <v>0</v>
      </c>
      <c r="DQ23" s="38">
        <v>0</v>
      </c>
      <c r="DR23" s="38">
        <v>0</v>
      </c>
      <c r="DS23" s="38">
        <v>0</v>
      </c>
      <c r="DT23" s="38">
        <v>0</v>
      </c>
      <c r="DU23" s="38">
        <v>0</v>
      </c>
      <c r="DV23" s="38">
        <v>0</v>
      </c>
      <c r="DW23" s="38">
        <v>0</v>
      </c>
      <c r="DX23" s="38">
        <v>0</v>
      </c>
      <c r="DY23" s="38">
        <v>0</v>
      </c>
      <c r="DZ23" s="38">
        <v>0</v>
      </c>
      <c r="EA23" s="38">
        <v>0</v>
      </c>
      <c r="EB23" s="38">
        <v>0</v>
      </c>
      <c r="EC23" s="38">
        <v>0</v>
      </c>
      <c r="ED23" s="38">
        <v>0</v>
      </c>
      <c r="EE23" s="38">
        <v>0</v>
      </c>
      <c r="EF23" s="38">
        <v>0</v>
      </c>
      <c r="EG23" s="38">
        <v>0</v>
      </c>
      <c r="EH23" s="38">
        <v>0</v>
      </c>
      <c r="EI23" s="38">
        <v>0</v>
      </c>
      <c r="EJ23" s="38">
        <v>0</v>
      </c>
      <c r="EK23" s="38">
        <v>0</v>
      </c>
      <c r="EL23" s="38">
        <v>0</v>
      </c>
      <c r="EM23" s="38">
        <v>0</v>
      </c>
      <c r="EN23" s="38">
        <v>0</v>
      </c>
      <c r="EO23" s="38">
        <v>0</v>
      </c>
      <c r="EP23" s="38">
        <v>0</v>
      </c>
      <c r="EQ23" s="38">
        <v>0</v>
      </c>
      <c r="ER23" s="38">
        <v>0</v>
      </c>
      <c r="ES23" s="38">
        <v>0</v>
      </c>
      <c r="ET23" s="38">
        <v>0</v>
      </c>
      <c r="EU23" s="38">
        <v>0</v>
      </c>
      <c r="EV23" s="38">
        <v>0</v>
      </c>
      <c r="EW23" s="38">
        <v>0</v>
      </c>
      <c r="EX23" s="38">
        <v>0</v>
      </c>
      <c r="EY23" s="38">
        <v>0</v>
      </c>
      <c r="EZ23" s="38">
        <v>0</v>
      </c>
      <c r="FA23" s="38">
        <v>0</v>
      </c>
      <c r="FB23" s="38">
        <v>0</v>
      </c>
      <c r="FC23" s="38">
        <v>0</v>
      </c>
      <c r="FD23" s="38">
        <v>0</v>
      </c>
      <c r="FE23" s="38">
        <v>0</v>
      </c>
      <c r="FF23" s="38">
        <v>0</v>
      </c>
      <c r="FG23" s="38">
        <v>0</v>
      </c>
      <c r="FH23" s="38">
        <v>0</v>
      </c>
      <c r="FI23" s="38">
        <v>0</v>
      </c>
      <c r="FJ23" s="38">
        <v>0</v>
      </c>
      <c r="FK23" s="38">
        <v>0</v>
      </c>
      <c r="FL23" s="38">
        <v>0</v>
      </c>
      <c r="FM23" s="38">
        <v>0</v>
      </c>
      <c r="FN23" s="38">
        <v>0</v>
      </c>
      <c r="FO23" s="38">
        <v>0</v>
      </c>
      <c r="FP23" s="38">
        <v>0</v>
      </c>
      <c r="FQ23" s="38">
        <v>0</v>
      </c>
      <c r="FR23" s="38">
        <v>0</v>
      </c>
      <c r="FS23" s="38">
        <v>0</v>
      </c>
      <c r="FT23" s="38">
        <v>0</v>
      </c>
      <c r="FU23" s="38">
        <v>0</v>
      </c>
      <c r="FV23" s="38">
        <v>0</v>
      </c>
      <c r="FW23" s="38">
        <v>0</v>
      </c>
      <c r="FX23" s="38">
        <v>0</v>
      </c>
      <c r="FY23" s="38">
        <v>0</v>
      </c>
      <c r="FZ23" s="38">
        <v>0</v>
      </c>
      <c r="GA23" s="38">
        <v>0</v>
      </c>
      <c r="GB23" s="38">
        <v>0</v>
      </c>
      <c r="GC23" s="38">
        <v>0</v>
      </c>
      <c r="GD23" s="38">
        <v>0</v>
      </c>
      <c r="GE23" s="38">
        <v>0</v>
      </c>
      <c r="GF23" s="38">
        <v>0</v>
      </c>
      <c r="GG23" s="38">
        <v>0</v>
      </c>
      <c r="GH23" s="38">
        <v>0</v>
      </c>
      <c r="GI23" s="38">
        <v>0</v>
      </c>
      <c r="GJ23" s="38">
        <v>0</v>
      </c>
      <c r="GK23" s="38">
        <v>0</v>
      </c>
      <c r="GL23" s="38">
        <v>0</v>
      </c>
      <c r="GM23" s="38">
        <v>0</v>
      </c>
      <c r="GN23" s="38">
        <v>0</v>
      </c>
      <c r="GO23" s="38">
        <v>0</v>
      </c>
      <c r="GP23" s="38">
        <v>0</v>
      </c>
      <c r="GQ23" s="38">
        <v>0</v>
      </c>
      <c r="GR23" s="38">
        <v>0</v>
      </c>
      <c r="GS23" s="38"/>
      <c r="GT23" s="38"/>
      <c r="GU23" s="38"/>
      <c r="GV23" s="38"/>
    </row>
    <row r="24" spans="1:204" ht="14.45" customHeight="1">
      <c r="A24" s="34" t="s">
        <v>357</v>
      </c>
      <c r="B24" s="45">
        <v>0.65</v>
      </c>
      <c r="C24" s="63">
        <f t="shared" ref="C24" si="1">SUM(D24:GV24)</f>
        <v>1258</v>
      </c>
      <c r="D24" s="212">
        <v>0</v>
      </c>
      <c r="E24" s="212">
        <v>0</v>
      </c>
      <c r="F24" s="212">
        <v>0</v>
      </c>
      <c r="G24" s="212">
        <v>0</v>
      </c>
      <c r="H24" s="212">
        <v>0</v>
      </c>
      <c r="I24" s="212">
        <v>0</v>
      </c>
      <c r="J24" s="212">
        <v>0</v>
      </c>
      <c r="K24" s="212">
        <v>0</v>
      </c>
      <c r="L24" s="212">
        <v>0</v>
      </c>
      <c r="M24" s="212">
        <v>0</v>
      </c>
      <c r="N24" s="212">
        <v>0</v>
      </c>
      <c r="O24" s="212">
        <v>0</v>
      </c>
      <c r="P24" s="212">
        <v>0</v>
      </c>
      <c r="Q24" s="212">
        <v>0</v>
      </c>
      <c r="R24" s="212">
        <v>0</v>
      </c>
      <c r="S24" s="212">
        <v>0</v>
      </c>
      <c r="T24" s="212">
        <v>0</v>
      </c>
      <c r="U24" s="212">
        <v>0</v>
      </c>
      <c r="V24" s="212">
        <v>0</v>
      </c>
      <c r="W24" s="212">
        <v>0</v>
      </c>
      <c r="X24" s="212">
        <v>0</v>
      </c>
      <c r="Y24" s="212">
        <v>0</v>
      </c>
      <c r="Z24" s="212">
        <v>0</v>
      </c>
      <c r="AA24" s="212">
        <v>0</v>
      </c>
      <c r="AB24" s="212">
        <v>0</v>
      </c>
      <c r="AC24" s="212">
        <v>0</v>
      </c>
      <c r="AD24" s="212">
        <v>0</v>
      </c>
      <c r="AE24" s="212">
        <v>0</v>
      </c>
      <c r="AF24" s="212">
        <v>0</v>
      </c>
      <c r="AG24" s="212">
        <v>0</v>
      </c>
      <c r="AH24" s="212">
        <v>0</v>
      </c>
      <c r="AI24" s="212">
        <v>0</v>
      </c>
      <c r="AJ24" s="212">
        <v>0</v>
      </c>
      <c r="AK24" s="212">
        <v>0</v>
      </c>
      <c r="AL24" s="212">
        <v>0</v>
      </c>
      <c r="AM24" s="212">
        <v>0</v>
      </c>
      <c r="AN24" s="212">
        <v>0</v>
      </c>
      <c r="AO24" s="212">
        <v>0</v>
      </c>
      <c r="AP24" s="212">
        <v>0</v>
      </c>
      <c r="AQ24" s="212">
        <v>0</v>
      </c>
      <c r="AR24" s="212">
        <v>0</v>
      </c>
      <c r="AS24" s="212">
        <v>0</v>
      </c>
      <c r="AT24" s="212">
        <v>0</v>
      </c>
      <c r="AU24" s="212">
        <v>0</v>
      </c>
      <c r="AV24" s="212">
        <v>0</v>
      </c>
      <c r="AW24" s="212">
        <v>0</v>
      </c>
      <c r="AX24" s="212">
        <v>0</v>
      </c>
      <c r="AY24" s="212">
        <v>0</v>
      </c>
      <c r="AZ24" s="212">
        <v>0</v>
      </c>
      <c r="BA24" s="212">
        <v>0</v>
      </c>
      <c r="BB24" s="212">
        <v>0</v>
      </c>
      <c r="BC24" s="212">
        <v>0</v>
      </c>
      <c r="BD24" s="212">
        <v>0</v>
      </c>
      <c r="BE24" s="212">
        <v>0</v>
      </c>
      <c r="BF24" s="212">
        <v>0</v>
      </c>
      <c r="BG24" s="212">
        <v>0</v>
      </c>
      <c r="BH24" s="212">
        <v>0</v>
      </c>
      <c r="BI24" s="212">
        <v>186</v>
      </c>
      <c r="BJ24" s="212">
        <v>0</v>
      </c>
      <c r="BK24" s="212">
        <v>0</v>
      </c>
      <c r="BL24" s="212">
        <v>0</v>
      </c>
      <c r="BM24" s="212">
        <v>0</v>
      </c>
      <c r="BN24" s="212">
        <v>0</v>
      </c>
      <c r="BO24" s="212">
        <v>0</v>
      </c>
      <c r="BP24" s="212">
        <v>0</v>
      </c>
      <c r="BQ24" s="212">
        <v>0</v>
      </c>
      <c r="BR24" s="212">
        <v>0</v>
      </c>
      <c r="BS24" s="212">
        <v>0</v>
      </c>
      <c r="BT24" s="212">
        <v>0</v>
      </c>
      <c r="BU24" s="212">
        <v>0</v>
      </c>
      <c r="BV24" s="212">
        <v>0</v>
      </c>
      <c r="BW24" s="212">
        <v>0</v>
      </c>
      <c r="BX24" s="212">
        <v>0</v>
      </c>
      <c r="BY24" s="212">
        <v>0</v>
      </c>
      <c r="BZ24" s="212">
        <v>88</v>
      </c>
      <c r="CA24" s="212">
        <v>0</v>
      </c>
      <c r="CB24" s="212">
        <v>0</v>
      </c>
      <c r="CC24" s="212">
        <v>0</v>
      </c>
      <c r="CD24" s="212">
        <v>0</v>
      </c>
      <c r="CE24" s="212">
        <v>0</v>
      </c>
      <c r="CF24" s="212">
        <v>0</v>
      </c>
      <c r="CG24" s="212">
        <v>0</v>
      </c>
      <c r="CH24" s="212">
        <v>0</v>
      </c>
      <c r="CI24" s="212">
        <v>0</v>
      </c>
      <c r="CJ24" s="212">
        <v>0</v>
      </c>
      <c r="CK24" s="212">
        <v>0</v>
      </c>
      <c r="CL24" s="212">
        <v>0</v>
      </c>
      <c r="CM24" s="212">
        <v>0</v>
      </c>
      <c r="CN24" s="212">
        <v>196</v>
      </c>
      <c r="CO24" s="212">
        <v>0</v>
      </c>
      <c r="CP24" s="212">
        <v>0</v>
      </c>
      <c r="CQ24" s="212">
        <v>0</v>
      </c>
      <c r="CR24" s="212">
        <v>0</v>
      </c>
      <c r="CS24" s="212">
        <v>0</v>
      </c>
      <c r="CT24" s="212">
        <v>0</v>
      </c>
      <c r="CU24" s="212">
        <v>0</v>
      </c>
      <c r="CV24" s="212">
        <v>0</v>
      </c>
      <c r="CW24" s="212">
        <v>0</v>
      </c>
      <c r="CX24" s="212">
        <v>0</v>
      </c>
      <c r="CY24" s="212">
        <v>0</v>
      </c>
      <c r="CZ24" s="212">
        <v>0</v>
      </c>
      <c r="DA24" s="212">
        <v>0</v>
      </c>
      <c r="DB24" s="212">
        <v>0</v>
      </c>
      <c r="DC24" s="212">
        <v>0</v>
      </c>
      <c r="DD24" s="212">
        <v>0</v>
      </c>
      <c r="DE24" s="212">
        <v>0</v>
      </c>
      <c r="DF24" s="212">
        <v>0</v>
      </c>
      <c r="DG24" s="212">
        <v>0</v>
      </c>
      <c r="DH24" s="212">
        <v>0</v>
      </c>
      <c r="DI24" s="212">
        <v>0</v>
      </c>
      <c r="DJ24" s="212">
        <v>0</v>
      </c>
      <c r="DK24" s="212">
        <v>0</v>
      </c>
      <c r="DL24" s="212">
        <v>0</v>
      </c>
      <c r="DM24" s="212">
        <v>0</v>
      </c>
      <c r="DN24" s="212">
        <v>0</v>
      </c>
      <c r="DO24" s="212">
        <v>0</v>
      </c>
      <c r="DP24" s="212">
        <v>0</v>
      </c>
      <c r="DQ24" s="212">
        <v>0</v>
      </c>
      <c r="DR24" s="212">
        <v>0</v>
      </c>
      <c r="DS24" s="212">
        <v>0</v>
      </c>
      <c r="DT24" s="212">
        <v>0</v>
      </c>
      <c r="DU24" s="212">
        <v>0</v>
      </c>
      <c r="DV24" s="212">
        <v>0</v>
      </c>
      <c r="DW24" s="212">
        <v>0</v>
      </c>
      <c r="DX24" s="212">
        <v>0</v>
      </c>
      <c r="DY24" s="212">
        <v>0</v>
      </c>
      <c r="DZ24" s="212">
        <v>0</v>
      </c>
      <c r="EA24" s="212">
        <v>0</v>
      </c>
      <c r="EB24" s="212">
        <v>0</v>
      </c>
      <c r="EC24" s="212">
        <v>0</v>
      </c>
      <c r="ED24" s="212">
        <v>0</v>
      </c>
      <c r="EE24" s="212">
        <v>0</v>
      </c>
      <c r="EF24" s="212">
        <v>0</v>
      </c>
      <c r="EG24" s="212">
        <v>0</v>
      </c>
      <c r="EH24" s="212">
        <v>0</v>
      </c>
      <c r="EI24" s="212">
        <v>0</v>
      </c>
      <c r="EJ24" s="212">
        <v>0</v>
      </c>
      <c r="EK24" s="212">
        <v>0</v>
      </c>
      <c r="EL24" s="212">
        <v>0</v>
      </c>
      <c r="EM24" s="212">
        <v>0</v>
      </c>
      <c r="EN24" s="212">
        <v>0</v>
      </c>
      <c r="EO24" s="212">
        <v>0</v>
      </c>
      <c r="EP24" s="212">
        <v>0</v>
      </c>
      <c r="EQ24" s="212">
        <v>0</v>
      </c>
      <c r="ER24" s="212">
        <v>199</v>
      </c>
      <c r="ES24" s="212">
        <v>0</v>
      </c>
      <c r="ET24" s="212">
        <v>0</v>
      </c>
      <c r="EU24" s="212">
        <v>198</v>
      </c>
      <c r="EV24" s="212">
        <v>194</v>
      </c>
      <c r="EW24" s="212">
        <v>0</v>
      </c>
      <c r="EX24" s="212">
        <v>0</v>
      </c>
      <c r="EY24" s="212">
        <v>0</v>
      </c>
      <c r="EZ24" s="212">
        <v>0</v>
      </c>
      <c r="FA24" s="212">
        <v>0</v>
      </c>
      <c r="FB24" s="212">
        <v>0</v>
      </c>
      <c r="FC24" s="212">
        <v>0</v>
      </c>
      <c r="FD24" s="212">
        <v>0</v>
      </c>
      <c r="FE24" s="212">
        <v>0</v>
      </c>
      <c r="FF24" s="212">
        <v>0</v>
      </c>
      <c r="FG24" s="212">
        <v>0</v>
      </c>
      <c r="FH24" s="212">
        <v>0</v>
      </c>
      <c r="FI24" s="212">
        <v>0</v>
      </c>
      <c r="FJ24" s="212">
        <v>0</v>
      </c>
      <c r="FK24" s="212">
        <v>0</v>
      </c>
      <c r="FL24" s="212">
        <v>0</v>
      </c>
      <c r="FM24" s="212">
        <v>0</v>
      </c>
      <c r="FN24" s="212">
        <v>0</v>
      </c>
      <c r="FO24" s="212">
        <v>0</v>
      </c>
      <c r="FP24" s="212">
        <v>0</v>
      </c>
      <c r="FQ24" s="212">
        <v>0</v>
      </c>
      <c r="FR24" s="212">
        <v>0</v>
      </c>
      <c r="FS24" s="212">
        <v>0</v>
      </c>
      <c r="FT24" s="212">
        <v>0</v>
      </c>
      <c r="FU24" s="212">
        <v>0</v>
      </c>
      <c r="FV24" s="212">
        <v>0</v>
      </c>
      <c r="FW24" s="212">
        <v>0</v>
      </c>
      <c r="FX24" s="212">
        <v>0</v>
      </c>
      <c r="FY24" s="212">
        <v>0</v>
      </c>
      <c r="FZ24" s="212">
        <v>0</v>
      </c>
      <c r="GA24" s="212">
        <v>0</v>
      </c>
      <c r="GB24" s="212">
        <v>0</v>
      </c>
      <c r="GC24" s="212">
        <v>0</v>
      </c>
      <c r="GD24" s="212">
        <v>0</v>
      </c>
      <c r="GE24" s="212">
        <v>0</v>
      </c>
      <c r="GF24" s="212">
        <v>0</v>
      </c>
      <c r="GG24" s="212">
        <v>0</v>
      </c>
      <c r="GH24" s="212">
        <v>0</v>
      </c>
      <c r="GI24" s="212">
        <v>0</v>
      </c>
      <c r="GJ24" s="212">
        <v>0</v>
      </c>
      <c r="GK24" s="212">
        <v>0</v>
      </c>
      <c r="GL24" s="212">
        <v>0</v>
      </c>
      <c r="GM24" s="212">
        <v>0</v>
      </c>
      <c r="GN24" s="212">
        <v>0</v>
      </c>
      <c r="GO24" s="212">
        <v>197</v>
      </c>
      <c r="GP24" s="212">
        <v>0</v>
      </c>
      <c r="GQ24" s="212">
        <v>0</v>
      </c>
      <c r="GR24" s="212">
        <v>0</v>
      </c>
      <c r="GS24" s="212"/>
      <c r="GT24" s="212"/>
      <c r="GU24" s="212"/>
      <c r="GV24" s="212"/>
    </row>
    <row r="25" spans="1:204">
      <c r="A25" s="84" t="s">
        <v>358</v>
      </c>
      <c r="B25" s="84"/>
      <c r="C25" s="111">
        <f>SUM(C2:C24)</f>
        <v>50235</v>
      </c>
      <c r="D25" s="91">
        <f>SUM(D2:D24)</f>
        <v>0</v>
      </c>
      <c r="E25" s="91">
        <f t="shared" ref="E25:BP25" si="2">SUM(E2:E24)</f>
        <v>309</v>
      </c>
      <c r="F25" s="91">
        <f t="shared" si="2"/>
        <v>0</v>
      </c>
      <c r="G25" s="91">
        <f t="shared" si="2"/>
        <v>16</v>
      </c>
      <c r="H25" s="91">
        <f t="shared" si="2"/>
        <v>0</v>
      </c>
      <c r="I25" s="91">
        <f t="shared" si="2"/>
        <v>0</v>
      </c>
      <c r="J25" s="91">
        <f t="shared" si="2"/>
        <v>0</v>
      </c>
      <c r="K25" s="91">
        <f t="shared" si="2"/>
        <v>0</v>
      </c>
      <c r="L25" s="91">
        <f t="shared" si="2"/>
        <v>0</v>
      </c>
      <c r="M25" s="91">
        <f t="shared" si="2"/>
        <v>0</v>
      </c>
      <c r="N25" s="91">
        <f t="shared" si="2"/>
        <v>405</v>
      </c>
      <c r="O25" s="91">
        <f t="shared" si="2"/>
        <v>672</v>
      </c>
      <c r="P25" s="91">
        <f t="shared" si="2"/>
        <v>0</v>
      </c>
      <c r="Q25" s="91">
        <f t="shared" si="2"/>
        <v>0</v>
      </c>
      <c r="R25" s="91">
        <f t="shared" si="2"/>
        <v>0</v>
      </c>
      <c r="S25" s="91">
        <f t="shared" si="2"/>
        <v>842</v>
      </c>
      <c r="T25" s="91">
        <f t="shared" si="2"/>
        <v>3003</v>
      </c>
      <c r="U25" s="91">
        <f t="shared" si="2"/>
        <v>20</v>
      </c>
      <c r="V25" s="91">
        <f t="shared" si="2"/>
        <v>0</v>
      </c>
      <c r="W25" s="91">
        <f t="shared" si="2"/>
        <v>0</v>
      </c>
      <c r="X25" s="91">
        <f t="shared" si="2"/>
        <v>0</v>
      </c>
      <c r="Y25" s="91">
        <f t="shared" si="2"/>
        <v>0</v>
      </c>
      <c r="Z25" s="91">
        <f t="shared" si="2"/>
        <v>814</v>
      </c>
      <c r="AA25" s="91">
        <f t="shared" si="2"/>
        <v>0</v>
      </c>
      <c r="AB25" s="91">
        <f t="shared" si="2"/>
        <v>0</v>
      </c>
      <c r="AC25" s="91">
        <f t="shared" si="2"/>
        <v>0</v>
      </c>
      <c r="AD25" s="91">
        <f t="shared" si="2"/>
        <v>1021</v>
      </c>
      <c r="AE25" s="91">
        <f t="shared" si="2"/>
        <v>123</v>
      </c>
      <c r="AF25" s="91">
        <f t="shared" si="2"/>
        <v>0</v>
      </c>
      <c r="AG25" s="91">
        <f t="shared" si="2"/>
        <v>0</v>
      </c>
      <c r="AH25" s="91">
        <f t="shared" si="2"/>
        <v>49</v>
      </c>
      <c r="AI25" s="91">
        <f t="shared" si="2"/>
        <v>0</v>
      </c>
      <c r="AJ25" s="91">
        <f t="shared" si="2"/>
        <v>0</v>
      </c>
      <c r="AK25" s="91">
        <f t="shared" si="2"/>
        <v>104</v>
      </c>
      <c r="AL25" s="91">
        <f t="shared" si="2"/>
        <v>0</v>
      </c>
      <c r="AM25" s="91">
        <f t="shared" si="2"/>
        <v>0</v>
      </c>
      <c r="AN25" s="91">
        <f t="shared" si="2"/>
        <v>0</v>
      </c>
      <c r="AO25" s="91">
        <f t="shared" si="2"/>
        <v>33</v>
      </c>
      <c r="AP25" s="91">
        <f t="shared" si="2"/>
        <v>0</v>
      </c>
      <c r="AQ25" s="91">
        <f t="shared" si="2"/>
        <v>0</v>
      </c>
      <c r="AR25" s="91">
        <f t="shared" si="2"/>
        <v>0</v>
      </c>
      <c r="AS25" s="91">
        <f t="shared" si="2"/>
        <v>0</v>
      </c>
      <c r="AT25" s="91">
        <f t="shared" si="2"/>
        <v>0</v>
      </c>
      <c r="AU25" s="91">
        <f t="shared" si="2"/>
        <v>171</v>
      </c>
      <c r="AV25" s="91">
        <f t="shared" si="2"/>
        <v>72</v>
      </c>
      <c r="AW25" s="91">
        <f t="shared" si="2"/>
        <v>826</v>
      </c>
      <c r="AX25" s="91">
        <f t="shared" si="2"/>
        <v>1131</v>
      </c>
      <c r="AY25" s="91">
        <f t="shared" si="2"/>
        <v>58</v>
      </c>
      <c r="AZ25" s="91">
        <f t="shared" si="2"/>
        <v>0</v>
      </c>
      <c r="BA25" s="91">
        <f t="shared" si="2"/>
        <v>1374</v>
      </c>
      <c r="BB25" s="91">
        <f t="shared" si="2"/>
        <v>0</v>
      </c>
      <c r="BC25" s="91">
        <f t="shared" si="2"/>
        <v>314</v>
      </c>
      <c r="BD25" s="91">
        <f t="shared" si="2"/>
        <v>1736</v>
      </c>
      <c r="BE25" s="91">
        <f t="shared" si="2"/>
        <v>586</v>
      </c>
      <c r="BF25" s="91">
        <f t="shared" si="2"/>
        <v>0</v>
      </c>
      <c r="BG25" s="91">
        <f t="shared" si="2"/>
        <v>0</v>
      </c>
      <c r="BH25" s="91">
        <f t="shared" si="2"/>
        <v>103</v>
      </c>
      <c r="BI25" s="91">
        <f t="shared" si="2"/>
        <v>784</v>
      </c>
      <c r="BJ25" s="91">
        <f t="shared" si="2"/>
        <v>0</v>
      </c>
      <c r="BK25" s="91">
        <f t="shared" si="2"/>
        <v>0</v>
      </c>
      <c r="BL25" s="91">
        <f t="shared" si="2"/>
        <v>0</v>
      </c>
      <c r="BM25" s="91">
        <f t="shared" si="2"/>
        <v>0</v>
      </c>
      <c r="BN25" s="91">
        <f t="shared" si="2"/>
        <v>492</v>
      </c>
      <c r="BO25" s="91">
        <f t="shared" si="2"/>
        <v>0</v>
      </c>
      <c r="BP25" s="91">
        <f t="shared" si="2"/>
        <v>0</v>
      </c>
      <c r="BQ25" s="91">
        <f t="shared" ref="BQ25:EB25" si="3">SUM(BQ2:BQ24)</f>
        <v>0</v>
      </c>
      <c r="BR25" s="91">
        <f t="shared" si="3"/>
        <v>0</v>
      </c>
      <c r="BS25" s="91">
        <f t="shared" si="3"/>
        <v>340</v>
      </c>
      <c r="BT25" s="91">
        <f t="shared" si="3"/>
        <v>0</v>
      </c>
      <c r="BU25" s="91">
        <f t="shared" si="3"/>
        <v>0</v>
      </c>
      <c r="BV25" s="91">
        <f t="shared" si="3"/>
        <v>0</v>
      </c>
      <c r="BW25" s="91">
        <f t="shared" si="3"/>
        <v>0</v>
      </c>
      <c r="BX25" s="91">
        <f t="shared" si="3"/>
        <v>0</v>
      </c>
      <c r="BY25" s="91">
        <f t="shared" si="3"/>
        <v>0</v>
      </c>
      <c r="BZ25" s="91">
        <f t="shared" si="3"/>
        <v>88</v>
      </c>
      <c r="CA25" s="91">
        <f t="shared" si="3"/>
        <v>0</v>
      </c>
      <c r="CB25" s="91">
        <f t="shared" si="3"/>
        <v>0</v>
      </c>
      <c r="CC25" s="91">
        <f t="shared" si="3"/>
        <v>481</v>
      </c>
      <c r="CD25" s="91">
        <f t="shared" si="3"/>
        <v>3083</v>
      </c>
      <c r="CE25" s="91">
        <f t="shared" si="3"/>
        <v>0</v>
      </c>
      <c r="CF25" s="91">
        <f t="shared" si="3"/>
        <v>170</v>
      </c>
      <c r="CG25" s="91">
        <f t="shared" si="3"/>
        <v>0</v>
      </c>
      <c r="CH25" s="91">
        <f t="shared" si="3"/>
        <v>965</v>
      </c>
      <c r="CI25" s="91">
        <f t="shared" si="3"/>
        <v>0</v>
      </c>
      <c r="CJ25" s="91">
        <f t="shared" si="3"/>
        <v>0</v>
      </c>
      <c r="CK25" s="91">
        <f t="shared" si="3"/>
        <v>0</v>
      </c>
      <c r="CL25" s="91">
        <f t="shared" si="3"/>
        <v>0</v>
      </c>
      <c r="CM25" s="91">
        <f t="shared" si="3"/>
        <v>0</v>
      </c>
      <c r="CN25" s="91">
        <f t="shared" si="3"/>
        <v>806</v>
      </c>
      <c r="CO25" s="91">
        <f t="shared" si="3"/>
        <v>24</v>
      </c>
      <c r="CP25" s="91">
        <f t="shared" si="3"/>
        <v>0</v>
      </c>
      <c r="CQ25" s="91">
        <f t="shared" si="3"/>
        <v>0</v>
      </c>
      <c r="CR25" s="91">
        <f t="shared" si="3"/>
        <v>0</v>
      </c>
      <c r="CS25" s="91">
        <f t="shared" si="3"/>
        <v>107</v>
      </c>
      <c r="CT25" s="91">
        <f t="shared" si="3"/>
        <v>624</v>
      </c>
      <c r="CU25" s="91">
        <f t="shared" si="3"/>
        <v>0</v>
      </c>
      <c r="CV25" s="91">
        <f t="shared" si="3"/>
        <v>114</v>
      </c>
      <c r="CW25" s="91">
        <f t="shared" si="3"/>
        <v>0</v>
      </c>
      <c r="CX25" s="91">
        <f t="shared" si="3"/>
        <v>0</v>
      </c>
      <c r="CY25" s="91">
        <f t="shared" si="3"/>
        <v>109</v>
      </c>
      <c r="CZ25" s="91">
        <f t="shared" si="3"/>
        <v>567</v>
      </c>
      <c r="DA25" s="91">
        <f t="shared" si="3"/>
        <v>746</v>
      </c>
      <c r="DB25" s="91">
        <f t="shared" si="3"/>
        <v>0</v>
      </c>
      <c r="DC25" s="91">
        <f t="shared" si="3"/>
        <v>0</v>
      </c>
      <c r="DD25" s="91">
        <f t="shared" si="3"/>
        <v>496</v>
      </c>
      <c r="DE25" s="91">
        <f t="shared" si="3"/>
        <v>30</v>
      </c>
      <c r="DF25" s="91">
        <f t="shared" si="3"/>
        <v>0</v>
      </c>
      <c r="DG25" s="91">
        <f t="shared" si="3"/>
        <v>0</v>
      </c>
      <c r="DH25" s="91">
        <f t="shared" si="3"/>
        <v>0</v>
      </c>
      <c r="DI25" s="91">
        <f t="shared" si="3"/>
        <v>0</v>
      </c>
      <c r="DJ25" s="91">
        <f t="shared" si="3"/>
        <v>0</v>
      </c>
      <c r="DK25" s="91">
        <f t="shared" si="3"/>
        <v>0</v>
      </c>
      <c r="DL25" s="91">
        <f t="shared" si="3"/>
        <v>253</v>
      </c>
      <c r="DM25" s="91">
        <f t="shared" si="3"/>
        <v>0</v>
      </c>
      <c r="DN25" s="91">
        <f t="shared" si="3"/>
        <v>1335</v>
      </c>
      <c r="DO25" s="91">
        <f t="shared" si="3"/>
        <v>134</v>
      </c>
      <c r="DP25" s="91">
        <f t="shared" si="3"/>
        <v>43</v>
      </c>
      <c r="DQ25" s="91">
        <f t="shared" si="3"/>
        <v>0</v>
      </c>
      <c r="DR25" s="91">
        <f t="shared" si="3"/>
        <v>0</v>
      </c>
      <c r="DS25" s="91">
        <f t="shared" si="3"/>
        <v>978</v>
      </c>
      <c r="DT25" s="91">
        <f t="shared" si="3"/>
        <v>0</v>
      </c>
      <c r="DU25" s="91">
        <f t="shared" si="3"/>
        <v>385</v>
      </c>
      <c r="DV25" s="91">
        <f t="shared" si="3"/>
        <v>0</v>
      </c>
      <c r="DW25" s="91">
        <f t="shared" si="3"/>
        <v>0</v>
      </c>
      <c r="DX25" s="91">
        <f t="shared" si="3"/>
        <v>603</v>
      </c>
      <c r="DY25" s="91">
        <f t="shared" si="3"/>
        <v>799</v>
      </c>
      <c r="DZ25" s="91">
        <f t="shared" si="3"/>
        <v>529</v>
      </c>
      <c r="EA25" s="91">
        <f t="shared" si="3"/>
        <v>0</v>
      </c>
      <c r="EB25" s="91">
        <f t="shared" si="3"/>
        <v>811</v>
      </c>
      <c r="EC25" s="91">
        <f t="shared" ref="EC25:GN25" si="4">SUM(EC2:EC24)</f>
        <v>0</v>
      </c>
      <c r="ED25" s="91">
        <f t="shared" si="4"/>
        <v>0</v>
      </c>
      <c r="EE25" s="91">
        <f t="shared" si="4"/>
        <v>0</v>
      </c>
      <c r="EF25" s="91">
        <f t="shared" si="4"/>
        <v>0</v>
      </c>
      <c r="EG25" s="91">
        <f t="shared" si="4"/>
        <v>0</v>
      </c>
      <c r="EH25" s="91">
        <f t="shared" si="4"/>
        <v>157</v>
      </c>
      <c r="EI25" s="91">
        <f t="shared" si="4"/>
        <v>0</v>
      </c>
      <c r="EJ25" s="91">
        <f t="shared" si="4"/>
        <v>645</v>
      </c>
      <c r="EK25" s="91">
        <f t="shared" si="4"/>
        <v>728</v>
      </c>
      <c r="EL25" s="91">
        <f t="shared" si="4"/>
        <v>0</v>
      </c>
      <c r="EM25" s="91">
        <f t="shared" si="4"/>
        <v>0</v>
      </c>
      <c r="EN25" s="91">
        <f t="shared" si="4"/>
        <v>0</v>
      </c>
      <c r="EO25" s="91">
        <f t="shared" si="4"/>
        <v>729</v>
      </c>
      <c r="EP25" s="91">
        <f t="shared" si="4"/>
        <v>0</v>
      </c>
      <c r="EQ25" s="91">
        <f t="shared" si="4"/>
        <v>0</v>
      </c>
      <c r="ER25" s="91">
        <f t="shared" si="4"/>
        <v>389</v>
      </c>
      <c r="ES25" s="91">
        <f t="shared" si="4"/>
        <v>0</v>
      </c>
      <c r="ET25" s="91">
        <f t="shared" si="4"/>
        <v>0</v>
      </c>
      <c r="EU25" s="91">
        <f t="shared" si="4"/>
        <v>1362</v>
      </c>
      <c r="EV25" s="91">
        <f t="shared" si="4"/>
        <v>1364</v>
      </c>
      <c r="EW25" s="91">
        <f t="shared" si="4"/>
        <v>397</v>
      </c>
      <c r="EX25" s="91">
        <f t="shared" si="4"/>
        <v>530</v>
      </c>
      <c r="EY25" s="91">
        <f t="shared" si="4"/>
        <v>508</v>
      </c>
      <c r="EZ25" s="91">
        <f t="shared" si="4"/>
        <v>254</v>
      </c>
      <c r="FA25" s="91">
        <f t="shared" si="4"/>
        <v>0</v>
      </c>
      <c r="FB25" s="91">
        <f t="shared" si="4"/>
        <v>370</v>
      </c>
      <c r="FC25" s="91">
        <f t="shared" si="4"/>
        <v>0</v>
      </c>
      <c r="FD25" s="91">
        <f t="shared" si="4"/>
        <v>98</v>
      </c>
      <c r="FE25" s="91">
        <f t="shared" si="4"/>
        <v>0</v>
      </c>
      <c r="FF25" s="91">
        <f t="shared" si="4"/>
        <v>172</v>
      </c>
      <c r="FG25" s="91">
        <f t="shared" si="4"/>
        <v>0</v>
      </c>
      <c r="FH25" s="91">
        <f t="shared" si="4"/>
        <v>3446</v>
      </c>
      <c r="FI25" s="91">
        <f t="shared" si="4"/>
        <v>0</v>
      </c>
      <c r="FJ25" s="91">
        <f t="shared" si="4"/>
        <v>0</v>
      </c>
      <c r="FK25" s="91">
        <f t="shared" si="4"/>
        <v>0</v>
      </c>
      <c r="FL25" s="91">
        <f t="shared" si="4"/>
        <v>0</v>
      </c>
      <c r="FM25" s="91">
        <f t="shared" si="4"/>
        <v>0</v>
      </c>
      <c r="FN25" s="91">
        <f t="shared" si="4"/>
        <v>0</v>
      </c>
      <c r="FO25" s="91">
        <f t="shared" si="4"/>
        <v>846</v>
      </c>
      <c r="FP25" s="91">
        <f t="shared" si="4"/>
        <v>0</v>
      </c>
      <c r="FQ25" s="91">
        <f t="shared" si="4"/>
        <v>1636</v>
      </c>
      <c r="FR25" s="91">
        <f t="shared" si="4"/>
        <v>0</v>
      </c>
      <c r="FS25" s="91">
        <f t="shared" si="4"/>
        <v>574</v>
      </c>
      <c r="FT25" s="91">
        <f t="shared" si="4"/>
        <v>785</v>
      </c>
      <c r="FU25" s="91">
        <f t="shared" si="4"/>
        <v>0</v>
      </c>
      <c r="FV25" s="91">
        <f t="shared" si="4"/>
        <v>0</v>
      </c>
      <c r="FW25" s="91">
        <f t="shared" si="4"/>
        <v>0</v>
      </c>
      <c r="FX25" s="91">
        <f t="shared" si="4"/>
        <v>0</v>
      </c>
      <c r="FY25" s="91">
        <f t="shared" si="4"/>
        <v>0</v>
      </c>
      <c r="FZ25" s="91">
        <f t="shared" si="4"/>
        <v>804</v>
      </c>
      <c r="GA25" s="91">
        <f t="shared" si="4"/>
        <v>32</v>
      </c>
      <c r="GB25" s="91">
        <f t="shared" si="4"/>
        <v>5</v>
      </c>
      <c r="GC25" s="91">
        <f t="shared" si="4"/>
        <v>0</v>
      </c>
      <c r="GD25" s="91">
        <f t="shared" si="4"/>
        <v>0</v>
      </c>
      <c r="GE25" s="91">
        <f t="shared" si="4"/>
        <v>1227</v>
      </c>
      <c r="GF25" s="91">
        <f t="shared" si="4"/>
        <v>647</v>
      </c>
      <c r="GG25" s="91">
        <f t="shared" si="4"/>
        <v>0</v>
      </c>
      <c r="GH25" s="91">
        <f t="shared" si="4"/>
        <v>0</v>
      </c>
      <c r="GI25" s="91">
        <f t="shared" si="4"/>
        <v>85</v>
      </c>
      <c r="GJ25" s="91">
        <f t="shared" si="4"/>
        <v>0</v>
      </c>
      <c r="GK25" s="91">
        <f t="shared" si="4"/>
        <v>1081</v>
      </c>
      <c r="GL25" s="91">
        <f t="shared" si="4"/>
        <v>723</v>
      </c>
      <c r="GM25" s="91">
        <f t="shared" si="4"/>
        <v>0</v>
      </c>
      <c r="GN25" s="91">
        <f t="shared" si="4"/>
        <v>0</v>
      </c>
      <c r="GO25" s="91">
        <f t="shared" ref="GO25:GV25" si="5">SUM(GO2:GO24)</f>
        <v>963</v>
      </c>
      <c r="GP25" s="91">
        <f t="shared" si="5"/>
        <v>0</v>
      </c>
      <c r="GQ25" s="91">
        <f t="shared" si="5"/>
        <v>0</v>
      </c>
      <c r="GR25" s="91">
        <f t="shared" si="5"/>
        <v>0</v>
      </c>
      <c r="GS25" s="91">
        <f t="shared" si="5"/>
        <v>0</v>
      </c>
      <c r="GT25" s="91">
        <f t="shared" si="5"/>
        <v>0</v>
      </c>
      <c r="GU25" s="91">
        <f t="shared" si="5"/>
        <v>0</v>
      </c>
      <c r="GV25" s="91">
        <f t="shared" si="5"/>
        <v>0</v>
      </c>
    </row>
    <row r="26" spans="1:204" ht="14.45">
      <c r="A26" s="238" t="s">
        <v>359</v>
      </c>
      <c r="B26" s="238"/>
      <c r="C26" s="238"/>
      <c r="D26" s="92" t="str">
        <f>IFERROR(HLOOKUP(D1,Payroll!D1:DG7,7,0),0)</f>
        <v>0</v>
      </c>
      <c r="E26" s="92">
        <f>IFERROR(HLOOKUP(E1,Payroll!E1:DH7,7,0),0)</f>
        <v>4.2265625</v>
      </c>
      <c r="F26" s="92">
        <f>IFERROR(HLOOKUP(F1,Payroll!F1:DI7,7,0),0)</f>
        <v>1</v>
      </c>
      <c r="G26" s="92">
        <f>IFERROR(HLOOKUP(G1,Payroll!G1:DJ7,7,0),0)</f>
        <v>0.5</v>
      </c>
      <c r="H26" s="92">
        <f>IFERROR(HLOOKUP(H1,Payroll!H1:DK7,7,0),0)</f>
        <v>3.7916666666666665</v>
      </c>
      <c r="I26" s="92">
        <f>IFERROR(HLOOKUP(I1,Payroll!I1:DL7,7,0),0)</f>
        <v>4.9605263157894735</v>
      </c>
      <c r="J26" s="92" t="str">
        <f>IFERROR(HLOOKUP(J1,Payroll!J1:DM7,7,0),0)</f>
        <v>0</v>
      </c>
      <c r="K26" s="92">
        <f>IFERROR(HLOOKUP(K1,Payroll!K1:DN7,7,0),0)</f>
        <v>1.3125</v>
      </c>
      <c r="L26" s="92" t="str">
        <f>IFERROR(HLOOKUP(L1,Payroll!L1:DO7,7,0),0)</f>
        <v>0</v>
      </c>
      <c r="M26" s="92">
        <f>IFERROR(HLOOKUP(M1,Payroll!M1:DP7,7,0),0)</f>
        <v>0</v>
      </c>
      <c r="N26" s="92">
        <f>IFERROR(HLOOKUP(N1,Payroll!N1:DQ7,7,0),0)</f>
        <v>5.3214285714285712</v>
      </c>
      <c r="O26" s="92">
        <f>IFERROR(HLOOKUP(O1,Payroll!O1:DR7,7,0),0)</f>
        <v>8.4</v>
      </c>
      <c r="P26" s="92">
        <f>IFERROR(HLOOKUP(P1,Payroll!P1:DS7,7,0),0)</f>
        <v>0</v>
      </c>
      <c r="Q26" s="92">
        <f>IFERROR(HLOOKUP(Q1,Payroll!Q1:DT7,7,0),0)</f>
        <v>4.1687500000000002</v>
      </c>
      <c r="R26" s="92">
        <f>IFERROR(HLOOKUP(R1,Payroll!R1:DU7,7,0),0)</f>
        <v>12.607142857142858</v>
      </c>
      <c r="S26" s="92">
        <f>IFERROR(HLOOKUP(S1,Payroll!S1:DV7,7,0),0)</f>
        <v>5.9802631578947372</v>
      </c>
      <c r="T26" s="92">
        <f>IFERROR(HLOOKUP(T1,Payroll!T1:DW7,7,0),0)</f>
        <v>17.875</v>
      </c>
      <c r="U26" s="92">
        <f>IFERROR(HLOOKUP(U1,Payroll!U1:DX7,7,0),0)</f>
        <v>0.16666666666666666</v>
      </c>
      <c r="V26" s="92">
        <f>IFERROR(HLOOKUP(V1,Payroll!V1:DY7,7,0),0)</f>
        <v>4.6875</v>
      </c>
      <c r="W26" s="92">
        <f>IFERROR(HLOOKUP(W1,Payroll!W1:DZ7,7,0),0)</f>
        <v>0.8125</v>
      </c>
      <c r="X26" s="92">
        <f>IFERROR(HLOOKUP(X1,Payroll!X1:EA7,7,0),0)</f>
        <v>0.25</v>
      </c>
      <c r="Y26" s="92">
        <f>IFERROR(HLOOKUP(Y1,Payroll!Y1:EB7,7,0),0)</f>
        <v>2.2619047619047619</v>
      </c>
      <c r="Z26" s="92">
        <f>IFERROR(HLOOKUP(Z1,Payroll!Z1:EC7,7,0),0)</f>
        <v>7.2678571428571432</v>
      </c>
      <c r="AA26" s="92">
        <f>IFERROR(HLOOKUP(AA1,Payroll!AA1:ED7,7,0),0)</f>
        <v>2.5187499999999998</v>
      </c>
      <c r="AB26" s="92">
        <f>IFERROR(HLOOKUP(AB1,Payroll!AB1:EE7,7,0),0)</f>
        <v>3.1062500000000002</v>
      </c>
      <c r="AC26" s="92" t="str">
        <f>IFERROR(HLOOKUP(AC1,Payroll!AC1:EF7,7,0),0)</f>
        <v>0</v>
      </c>
      <c r="AD26" s="92">
        <f>IFERROR(HLOOKUP(AD1,Payroll!AD1:EG7,7,0),0)</f>
        <v>7.2249999999999996</v>
      </c>
      <c r="AE26" s="92">
        <f>IFERROR(HLOOKUP(AE1,Payroll!AE1:EH7,7,0),0)</f>
        <v>1.7083333333333333</v>
      </c>
      <c r="AF26" s="92">
        <f>IFERROR(HLOOKUP(AF1,Payroll!AF1:EI7,7,0),0)</f>
        <v>1.5625</v>
      </c>
      <c r="AG26" s="92">
        <f>IFERROR(HLOOKUP(AG1,Payroll!AG1:EJ7,7,0),0)</f>
        <v>5.2171052631578947</v>
      </c>
      <c r="AH26" s="92">
        <f>IFERROR(HLOOKUP(AH1,Payroll!AH1:EK7,7,0),0)</f>
        <v>10.5</v>
      </c>
      <c r="AI26" s="92">
        <f>IFERROR(HLOOKUP(AI1,Payroll!AI1:EL7,7,0),0)</f>
        <v>4.2678571428571432</v>
      </c>
      <c r="AJ26" s="92" t="str">
        <f>IFERROR(HLOOKUP(AJ1,Payroll!AJ1:EM7,7,0),0)</f>
        <v>0</v>
      </c>
      <c r="AK26" s="92">
        <f>IFERROR(HLOOKUP(AK1,Payroll!AK1:EN7,7,0),0)</f>
        <v>1.825</v>
      </c>
      <c r="AL26" s="92">
        <f>IFERROR(HLOOKUP(AL1,Payroll!AL1:EO7,7,0),0)</f>
        <v>0</v>
      </c>
      <c r="AM26" s="92">
        <f>IFERROR(HLOOKUP(AM1,Payroll!AM1:EP7,7,0),0)</f>
        <v>0</v>
      </c>
      <c r="AN26" s="92">
        <f>IFERROR(HLOOKUP(AN1,Payroll!AN1:EQ7,7,0),0)</f>
        <v>1.1842105263157894</v>
      </c>
      <c r="AO26" s="92">
        <f>IFERROR(HLOOKUP(AO1,Payroll!AO1:ER7,7,0),0)</f>
        <v>4.125</v>
      </c>
      <c r="AP26" s="92">
        <f>IFERROR(HLOOKUP(AP1,Payroll!AP1:ES7,7,0),0)</f>
        <v>1.7440476190476191</v>
      </c>
      <c r="AQ26" s="92">
        <f>IFERROR(HLOOKUP(AQ1,Payroll!AQ1:ET7,7,0),0)</f>
        <v>1.325</v>
      </c>
      <c r="AR26" s="92">
        <f>IFERROR(HLOOKUP(AR1,Payroll!AR1:EU7,7,0),0)</f>
        <v>3.203125</v>
      </c>
      <c r="AS26" s="92" t="str">
        <f>IFERROR(HLOOKUP(AS1,Payroll!AS1:EV7,7,0),0)</f>
        <v>0</v>
      </c>
      <c r="AT26" s="92">
        <f>IFERROR(HLOOKUP(AT1,Payroll!AT1:EW7,7,0),0)</f>
        <v>4.7249999999999996</v>
      </c>
      <c r="AU26" s="92">
        <f>IFERROR(HLOOKUP(AU1,Payroll!AU1:EX7,7,0),0)</f>
        <v>4.2750000000000004</v>
      </c>
      <c r="AV26" s="92">
        <f>IFERROR(HLOOKUP(AV1,Payroll!AV1:EY7,7,0),0)</f>
        <v>2.25</v>
      </c>
      <c r="AW26" s="92">
        <f>IFERROR(HLOOKUP(AW1,Payroll!AW1:EZ7,7,0),0)</f>
        <v>4.916666666666667</v>
      </c>
      <c r="AX26" s="92">
        <f>IFERROR(HLOOKUP(AX1,Payroll!AX1:FA7,7,0),0)</f>
        <v>7.2562499999999996</v>
      </c>
      <c r="AY26" s="92">
        <f>IFERROR(HLOOKUP(AY1,Payroll!AY1:FB7,7,0),0)</f>
        <v>1.8125</v>
      </c>
      <c r="AZ26" s="92">
        <f>IFERROR(HLOOKUP(AZ1,Payroll!AZ1:FC7,7,0),0)</f>
        <v>2.8636363636363638</v>
      </c>
      <c r="BA26" s="92">
        <f>IFERROR(HLOOKUP(BA1,Payroll!BA1:FC7,7,0),0)</f>
        <v>8.1785714285714288</v>
      </c>
      <c r="BB26" s="92">
        <f>IFERROR(HLOOKUP(BB1,Payroll!BB1:FC7,7,0),0)</f>
        <v>5.6437499999999998</v>
      </c>
      <c r="BC26" s="92">
        <f>IFERROR(HLOOKUP(BC1,Payroll!BC1:FC7,7,0),0)</f>
        <v>3.9249999999999998</v>
      </c>
      <c r="BD26" s="92">
        <f>IFERROR(HLOOKUP(BD1,Payroll!BD1:FC7,7,0),0)</f>
        <v>10.85</v>
      </c>
      <c r="BE26" s="92">
        <f>IFERROR(HLOOKUP(BE1,Payroll!BE1:FC7,7,0),0)</f>
        <v>3.6625000000000001</v>
      </c>
      <c r="BF26" s="92">
        <f>IFERROR(HLOOKUP(BF1,Payroll!BF1:FC7,7,0),0)</f>
        <v>0</v>
      </c>
      <c r="BG26" s="92">
        <f>IFERROR(HLOOKUP(BG1,Payroll!BG1:FC7,7,0),0)</f>
        <v>4.2619047619047619</v>
      </c>
      <c r="BH26" s="92">
        <f>IFERROR(HLOOKUP(BH1,Payroll!BH1:FC7,7,0),0)</f>
        <v>1.8392857142857142</v>
      </c>
      <c r="BI26" s="92">
        <f>IFERROR(HLOOKUP(BI1,Payroll!BI1:FC7,7,0),0)</f>
        <v>5.1578947368421053</v>
      </c>
      <c r="BJ26" s="92">
        <f>IFERROR(HLOOKUP(BJ1,Payroll!BJ1:FC7,7,0),0)</f>
        <v>2.4013157894736841</v>
      </c>
      <c r="BK26" s="92">
        <f>IFERROR(HLOOKUP(BK1,Payroll!BK1:FC7,7,0),0)</f>
        <v>0.5</v>
      </c>
      <c r="BL26" s="92">
        <f>IFERROR(HLOOKUP(BL1,Payroll!BL1:FC7,7,0),0)</f>
        <v>5.9411764705882355</v>
      </c>
      <c r="BM26" s="92">
        <f>IFERROR(HLOOKUP(BM1,Payroll!BM1:FC7,7,0),0)</f>
        <v>1.25</v>
      </c>
      <c r="BN26" s="92">
        <f>IFERROR(HLOOKUP(BN1,Payroll!BN1:FC7,7,0),0)</f>
        <v>4.7307692307692308</v>
      </c>
      <c r="BO26" s="92">
        <f>IFERROR(HLOOKUP(BO1,Payroll!BO1:FC7,7,0),0)</f>
        <v>3.4078947368421053</v>
      </c>
      <c r="BP26" s="92">
        <f>IFERROR(HLOOKUP(BP1,Payroll!BP1:FC7,7,0),0)</f>
        <v>5.21875</v>
      </c>
      <c r="BQ26" s="92">
        <f>IFERROR(HLOOKUP(BQ1,Payroll!BQ1:FC7,7,0),0)</f>
        <v>6.5250000000000004</v>
      </c>
      <c r="BR26" s="92" t="str">
        <f>IFERROR(HLOOKUP(BR1,Payroll!BR1:FC7,7,0),0)</f>
        <v>0</v>
      </c>
      <c r="BS26" s="92">
        <f>IFERROR(HLOOKUP(BS1,Payroll!BS1:FC7,7,0),0)</f>
        <v>3.0357142857142856</v>
      </c>
      <c r="BT26" s="92" t="str">
        <f>IFERROR(HLOOKUP(BT1,Payroll!BT1:FC7,7,0),0)</f>
        <v>0</v>
      </c>
      <c r="BU26" s="92">
        <f>IFERROR(HLOOKUP(BU1,Payroll!BU1:FC7,7,0),0)</f>
        <v>4.8562500000000002</v>
      </c>
      <c r="BV26" s="92">
        <f>IFERROR(HLOOKUP(BV1,Payroll!BV1:FC7,7,0),0)</f>
        <v>2.2374999999999998</v>
      </c>
      <c r="BW26" s="92">
        <f>IFERROR(HLOOKUP(BW1,Payroll!BW1:FC7,7,0),0)</f>
        <v>5.6062500000000002</v>
      </c>
      <c r="BX26" s="92">
        <f>IFERROR(HLOOKUP(BX1,Payroll!BX1:FC7,7,0),0)</f>
        <v>0</v>
      </c>
      <c r="BY26" s="92">
        <f>IFERROR(HLOOKUP(BY1,Payroll!BY1:FC7,7,0),0)</f>
        <v>0.5</v>
      </c>
      <c r="BZ26" s="92">
        <f>IFERROR(HLOOKUP(BZ1,Payroll!BZ1:FC7,7,0),0)</f>
        <v>3.861842105263158</v>
      </c>
      <c r="CA26" s="92">
        <f>IFERROR(HLOOKUP(CA1,Payroll!CA1:FC7,7,0),0)</f>
        <v>6.2062499999999998</v>
      </c>
      <c r="CB26" s="92">
        <f>IFERROR(HLOOKUP(CB1,Payroll!CB1:FC7,7,0),0)</f>
        <v>6.9097222222222223</v>
      </c>
      <c r="CC26" s="92">
        <f>IFERROR(HLOOKUP(CC1,Payroll!CC1:FC7,7,0),0)</f>
        <v>3.1644736842105261</v>
      </c>
      <c r="CD26" s="92">
        <f>IFERROR(HLOOKUP(CD1,Payroll!CD1:FC7,7,0),0)</f>
        <v>21.3</v>
      </c>
      <c r="CE26" s="92">
        <f>IFERROR(HLOOKUP(CE1,Payroll!CE1:FC7,7,0),0)</f>
        <v>0.16666666666666666</v>
      </c>
      <c r="CF26" s="92">
        <f>IFERROR(HLOOKUP(CF1,Payroll!CF1:FC7,7,0),0)</f>
        <v>1.118421052631579</v>
      </c>
      <c r="CG26" s="92">
        <f>IFERROR(HLOOKUP(CG1,Payroll!CG1:FC7,7,0),0)</f>
        <v>0.3125</v>
      </c>
      <c r="CH26" s="92">
        <f>IFERROR(HLOOKUP(CH1,Payroll!CH1:FC7,7,0),0)</f>
        <v>5.7440476190476186</v>
      </c>
      <c r="CI26" s="92" t="str">
        <f>IFERROR(HLOOKUP(CI1,Payroll!CI1:FC7,7,0),0)</f>
        <v>0</v>
      </c>
      <c r="CJ26" s="92">
        <f>IFERROR(HLOOKUP(CJ1,Payroll!CJ1:FC7,7,0),0)</f>
        <v>19.613095238095237</v>
      </c>
      <c r="CK26" s="92">
        <f>IFERROR(HLOOKUP(CK1,Payroll!CK1:FC7,7,0),0)</f>
        <v>1.875</v>
      </c>
      <c r="CL26" s="92">
        <f>IFERROR(HLOOKUP(CL1,Payroll!CL1:FC7,7,0),0)</f>
        <v>6.5789473684210523E-3</v>
      </c>
      <c r="CM26" s="92" t="str">
        <f>IFERROR(HLOOKUP(CM1,Payroll!CM1:FC7,7,0),0)</f>
        <v>0</v>
      </c>
      <c r="CN26" s="92">
        <f>IFERROR(HLOOKUP(CN1,Payroll!CN1:FC7,7,0),0)</f>
        <v>5.25</v>
      </c>
      <c r="CO26" s="92">
        <f>IFERROR(HLOOKUP(CO1,Payroll!CO1:FC7,7,0),0)</f>
        <v>0.32500000000000001</v>
      </c>
      <c r="CP26" s="92">
        <f>IFERROR(HLOOKUP(CP1,Payroll!CP1:FC7,7,0),0)</f>
        <v>7.4124999999999996</v>
      </c>
      <c r="CQ26" s="92" t="str">
        <f>IFERROR(HLOOKUP(CQ1,Payroll!CQ1:FC7,7,0),0)</f>
        <v>0</v>
      </c>
      <c r="CR26" s="92">
        <f>IFERROR(HLOOKUP(CR1,Payroll!CR1:FC7,7,0),0)</f>
        <v>0</v>
      </c>
      <c r="CS26" s="92">
        <f>IFERROR(HLOOKUP(CS1,Payroll!CS1:FC7,7,0),0)</f>
        <v>1.0288461538461537</v>
      </c>
      <c r="CT26" s="92">
        <f>IFERROR(HLOOKUP(CT1,Payroll!CT1:FC7,7,0),0)</f>
        <v>3.9</v>
      </c>
      <c r="CU26" s="92">
        <f>IFERROR(HLOOKUP(CU1,Payroll!CU1:FC7,7,0),0)</f>
        <v>0.22727272727272727</v>
      </c>
      <c r="CV26" s="92">
        <f>IFERROR(HLOOKUP(CV1,Payroll!CV1:FC7,7,0),0)</f>
        <v>2.0357142857142856</v>
      </c>
      <c r="CW26" s="92">
        <f>IFERROR(HLOOKUP(CW1,Payroll!CW1:FC7,7,0),0)</f>
        <v>0.625</v>
      </c>
      <c r="CX26" s="92" t="str">
        <f>IFERROR(HLOOKUP(CX1,Payroll!CX1:FC7,7,0),0)</f>
        <v>0</v>
      </c>
      <c r="CY26" s="92">
        <f>IFERROR(HLOOKUP(CY1,Payroll!CY1:FC7,7,0),0)</f>
        <v>0.68125000000000002</v>
      </c>
      <c r="CZ26" s="92">
        <f>IFERROR(HLOOKUP(CZ1,Payroll!CZ1:FC7,7,0),0)</f>
        <v>3.9375</v>
      </c>
      <c r="DA26" s="92">
        <f>IFERROR(HLOOKUP(DA1,Payroll!DA1:FC7,7,0),0)</f>
        <v>4.4404761904761907</v>
      </c>
      <c r="DB26" s="92" t="str">
        <f>IFERROR(HLOOKUP(DB1,Payroll!DB1:FC7,7,0),0)</f>
        <v>0</v>
      </c>
      <c r="DC26" s="92">
        <f>IFERROR(HLOOKUP(DC1,Payroll!DC1:FC7,7,0),0)</f>
        <v>0.625</v>
      </c>
      <c r="DD26" s="92">
        <f>IFERROR(HLOOKUP(DD1,Payroll!DD1:FC7,7,0),0)</f>
        <v>3.875</v>
      </c>
      <c r="DE26" s="92">
        <f>IFERROR(HLOOKUP(DE1,Payroll!DE1:FC7,7,0),0)</f>
        <v>0.68333333333333335</v>
      </c>
      <c r="DF26" s="92" t="str">
        <f>IFERROR(HLOOKUP(DF1,Payroll!DF1:FC7,7,0),0)</f>
        <v>0</v>
      </c>
      <c r="DG26" s="92">
        <f>IFERROR(HLOOKUP(DG1,Payroll!DG1:FC7,7,0),0)</f>
        <v>3.3812500000000001</v>
      </c>
      <c r="DH26" s="92">
        <f>IFERROR(HLOOKUP(DH1,Payroll!DH1:FC7,7,0),0)</f>
        <v>2.3653846153846154</v>
      </c>
      <c r="DI26" s="92">
        <f>IFERROR(HLOOKUP(DI1,Payroll!DI1:FC7,7,0),0)</f>
        <v>10.827380952380953</v>
      </c>
      <c r="DJ26" s="92">
        <f>IFERROR(HLOOKUP(DJ1,Payroll!DJ1:FC7,7,0),0)</f>
        <v>0.875</v>
      </c>
      <c r="DK26" s="92">
        <f>IFERROR(HLOOKUP(DK1,Payroll!DK1:FC7,7,0),0)</f>
        <v>20.931249999999999</v>
      </c>
      <c r="DL26" s="92">
        <f>IFERROR(HLOOKUP(DL1,Payroll!DL1:FC7,7,0),0)</f>
        <v>1.7569444444444444</v>
      </c>
      <c r="DM26" s="92">
        <f>IFERROR(HLOOKUP(DM1,Payroll!DM1:FC7,7,0),0)</f>
        <v>4.2361111111111107</v>
      </c>
      <c r="DN26" s="92">
        <f>IFERROR(HLOOKUP(DN1,Payroll!DN1:FC7,7,0),0)</f>
        <v>8.8095238095238102</v>
      </c>
      <c r="DO26" s="92">
        <f>IFERROR(HLOOKUP(DO1,Payroll!DO1:FC7,7,0),0)</f>
        <v>1.1166666666666667</v>
      </c>
      <c r="DP26" s="92">
        <f>IFERROR(HLOOKUP(DP1,Payroll!DP1:FC7,7,0),0)</f>
        <v>3.6931818181818183</v>
      </c>
      <c r="DQ26" s="92">
        <f>IFERROR(HLOOKUP(DQ1,Payroll!DQ1:FC7,7,0),0)</f>
        <v>4.3250000000000002</v>
      </c>
      <c r="DR26" s="92">
        <f>IFERROR(HLOOKUP(DR1,Payroll!DR1:FC7,7,0),0)</f>
        <v>7.9312500000000004</v>
      </c>
      <c r="DS26" s="92">
        <f>IFERROR(HLOOKUP(DS1,Payroll!DS1:FC7,7,0),0)</f>
        <v>5.8214285714285712</v>
      </c>
      <c r="DT26" s="92">
        <f>IFERROR(HLOOKUP(DT1,Payroll!DT1:FC7,7,0),0)</f>
        <v>6.6749999999999998</v>
      </c>
      <c r="DU26" s="92">
        <f>IFERROR(HLOOKUP(DU1,Payroll!DU1:FC7,7,0),0)</f>
        <v>2.6736111111111112</v>
      </c>
      <c r="DV26" s="92">
        <f>IFERROR(HLOOKUP(DV1,Payroll!DV1:FC7,7,0),0)</f>
        <v>1.5</v>
      </c>
      <c r="DW26" s="92">
        <f>IFERROR(HLOOKUP(DW1,Payroll!DW1:FC7,7,0),0)</f>
        <v>0.58333333333333337</v>
      </c>
      <c r="DX26" s="92">
        <f>IFERROR(HLOOKUP(DX1,Payroll!DX1:FC7,7,0),0)</f>
        <v>3.5892857142857144</v>
      </c>
      <c r="DY26" s="92">
        <f>IFERROR(HLOOKUP(DY1,Payroll!DY1:FC7,7,0),0)</f>
        <v>5.875</v>
      </c>
      <c r="DZ26" s="92">
        <f>IFERROR(HLOOKUP(DZ1,Payroll!DZ1:FC7,7,0),0)</f>
        <v>7.7828947368421053</v>
      </c>
      <c r="EA26" s="92">
        <f>IFERROR(HLOOKUP(EA1,Payroll!EA1:FC7,7,0),0)</f>
        <v>0.375</v>
      </c>
      <c r="EB26" s="92">
        <f>IFERROR(HLOOKUP(EB1,Payroll!EB1:FC7,7,0),0)</f>
        <v>4.8273809523809526</v>
      </c>
      <c r="EC26" s="92">
        <f>IFERROR(HLOOKUP(EC1,Payroll!EC1:FC7,7,0),0)</f>
        <v>2.5568181818181817</v>
      </c>
      <c r="ED26" s="92">
        <f>IFERROR(HLOOKUP(ED1,Payroll!ED1:FC7,7,0),0)</f>
        <v>9.0178571428571423</v>
      </c>
      <c r="EE26" s="92">
        <f>IFERROR(HLOOKUP(EE1,Payroll!EE1:FC7,7,0),0)</f>
        <v>1.9333333333333333</v>
      </c>
      <c r="EF26" s="92">
        <f>IFERROR(HLOOKUP(EF1,Payroll!EF1:FC7,7,0),0)</f>
        <v>7.1644736842105265</v>
      </c>
      <c r="EG26" s="92">
        <f>IFERROR(HLOOKUP(EG1,Payroll!EG1:FC7,7,0),0)</f>
        <v>1.95</v>
      </c>
      <c r="EH26" s="92">
        <f>IFERROR(HLOOKUP(EH1,Payroll!EH1:FC7,7,0),0)</f>
        <v>1.5096153846153846</v>
      </c>
      <c r="EI26" s="92">
        <f>IFERROR(HLOOKUP(EI1,Payroll!EI1:FC7,7,0),0)</f>
        <v>9.0982142857142865</v>
      </c>
      <c r="EJ26" s="92">
        <f>IFERROR(HLOOKUP(EJ1,Payroll!EJ1:FC7,7,0),0)</f>
        <v>4.03125</v>
      </c>
      <c r="EK26" s="92">
        <f>IFERROR(HLOOKUP(EK1,Payroll!EK1:FC7,7,0),0)</f>
        <v>5.3529411764705879</v>
      </c>
      <c r="EL26" s="92">
        <f>IFERROR(HLOOKUP(EL1,Payroll!EL1:FC7,7,0),0)</f>
        <v>5.6397058823529411</v>
      </c>
      <c r="EM26" s="92">
        <f>IFERROR(HLOOKUP(EM1,Payroll!EM1:FC7,7,0),0)</f>
        <v>4.5657894736842106</v>
      </c>
      <c r="EN26" s="92">
        <f>IFERROR(HLOOKUP(EN1,Payroll!EN1:FC7,7,0),0)</f>
        <v>5.390625</v>
      </c>
      <c r="EO26" s="92">
        <f>IFERROR(HLOOKUP(EO1,Payroll!EO1:FC7,7,0),0)</f>
        <v>4.3392857142857144</v>
      </c>
      <c r="EP26" s="92">
        <f>IFERROR(HLOOKUP(EP1,Payroll!EP1:FC7,7,0),0)</f>
        <v>3.3214285714285716</v>
      </c>
      <c r="EQ26" s="92">
        <f>IFERROR(HLOOKUP(EQ1,Payroll!EQ1:FC7,7,0),0)</f>
        <v>1.84375</v>
      </c>
      <c r="ER26" s="92">
        <f>IFERROR(HLOOKUP(ER1,Payroll!ER1:FC7,7,0),0)</f>
        <v>4.4204545454545459</v>
      </c>
      <c r="ES26" s="92">
        <f>IFERROR(HLOOKUP(ES1,Payroll!ES1:FC7,7,0),0)</f>
        <v>2.1071428571428572</v>
      </c>
      <c r="ET26" s="92">
        <f>IFERROR(HLOOKUP(ET1,Payroll!ET1:FC7,7,0),0)</f>
        <v>4.364583333333333</v>
      </c>
      <c r="EU26" s="92">
        <f>IFERROR(HLOOKUP(EU1,Payroll!EU1:FC7,7,0),0)</f>
        <v>8.5124999999999993</v>
      </c>
      <c r="EV26" s="92">
        <f>IFERROR(HLOOKUP(EV1,Payroll!EV1:FC7,7,0),0)</f>
        <v>8.1190476190476186</v>
      </c>
      <c r="EW26" s="92">
        <f>IFERROR(HLOOKUP(EW1,Payroll!EW1:FC7,7,0),0)</f>
        <v>3.3083333333333331</v>
      </c>
      <c r="EX26" s="92">
        <f>IFERROR(HLOOKUP(EX1,Payroll!EX1:FC7,7,0),0)</f>
        <v>3.3125</v>
      </c>
      <c r="EY26" s="92">
        <f>IFERROR(HLOOKUP(EY1,Payroll!EY1:FC7,7,0),0)</f>
        <v>3.96875</v>
      </c>
      <c r="EZ26" s="92">
        <f>IFERROR(HLOOKUP(EZ1,Payroll!EZ1:FC7,7,0),0)</f>
        <v>1.8676470588235294</v>
      </c>
      <c r="FA26" s="92" t="str">
        <f>IFERROR(HLOOKUP(FA1,Payroll!FA1:FC7,7,0),0)</f>
        <v>0</v>
      </c>
      <c r="FB26" s="92">
        <f>IFERROR(HLOOKUP(FB1,Payroll!FB1:FC7,7,0),0)</f>
        <v>3.5576923076923075</v>
      </c>
      <c r="FC26" s="92" t="str">
        <f>IFERROR(HLOOKUP(FC1,Payroll!FC1:FD7,7,0),0)</f>
        <v>0</v>
      </c>
      <c r="FD26" s="92">
        <f>IFERROR(HLOOKUP(FD1,Payroll!FD1:FE7,7,0),0)</f>
        <v>2.0416666666666665</v>
      </c>
      <c r="FE26" s="92">
        <f>IFERROR(HLOOKUP(FE1,Payroll!FE1:FF7,7,0),0)</f>
        <v>0</v>
      </c>
      <c r="FF26" s="92">
        <f>IFERROR(HLOOKUP(FF1,Payroll!FF1:FG7,7,0),0)</f>
        <v>1.075</v>
      </c>
      <c r="FG26" s="92">
        <f>IFERROR(HLOOKUP(FG1,Payroll!FG1:FH7,7,0),0)</f>
        <v>0.8125</v>
      </c>
      <c r="FH26" s="92">
        <f>IFERROR(HLOOKUP(FH1,Payroll!FH1:FI7,7,0),0)</f>
        <v>24.761904761904763</v>
      </c>
      <c r="FI26" s="92">
        <f>IFERROR(HLOOKUP(FI1,Payroll!FI1:FJ7,7,0),0)</f>
        <v>3.3676470588235294</v>
      </c>
      <c r="FJ26" s="92">
        <f>IFERROR(HLOOKUP(FJ1,Payroll!FJ1:FK7,7,0),0)</f>
        <v>1.625</v>
      </c>
      <c r="FK26" s="92">
        <f>IFERROR(HLOOKUP(FK1,Payroll!FK1:FL7,7,0),0)</f>
        <v>3.9821428571428572</v>
      </c>
      <c r="FL26" s="92">
        <f>IFERROR(HLOOKUP(FL1,Payroll!FL1:FM7,7,0),0)</f>
        <v>0.5625</v>
      </c>
      <c r="FM26" s="92">
        <f>IFERROR(HLOOKUP(FM1,Payroll!FM1:FN7,7,0),0)</f>
        <v>2.1666666666666665</v>
      </c>
      <c r="FN26" s="92">
        <f>IFERROR(HLOOKUP(FN1,Payroll!FN1:FO7,7,0),0)</f>
        <v>5</v>
      </c>
      <c r="FO26" s="92">
        <f>IFERROR(HLOOKUP(FO1,Payroll!FO1:FP7,7,0),0)</f>
        <v>5.2874999999999996</v>
      </c>
      <c r="FP26" s="92">
        <f>IFERROR(HLOOKUP(FP1,Payroll!FP1:FQ7,7,0),0)</f>
        <v>5.25</v>
      </c>
      <c r="FQ26" s="92">
        <f>IFERROR(HLOOKUP(FQ1,Payroll!FQ1:FR7,7,0),0)</f>
        <v>9.7380952380952372</v>
      </c>
      <c r="FR26" s="92">
        <f>IFERROR(HLOOKUP(FR1,Payroll!FR1:FS7,7,0),0)</f>
        <v>0</v>
      </c>
      <c r="FS26" s="92">
        <f>IFERROR(HLOOKUP(FS1,Payroll!FS1:FT7,7,0),0)</f>
        <v>7.4226190476190474</v>
      </c>
      <c r="FT26" s="92">
        <f>IFERROR(HLOOKUP(FT1,Payroll!FT1:FU7,7,0),0)</f>
        <v>4.6726190476190474</v>
      </c>
      <c r="FU26" s="92" t="str">
        <f>IFERROR(HLOOKUP(FU1,Payroll!FU1:FV7,7,0),0)</f>
        <v>0</v>
      </c>
      <c r="FV26" s="92">
        <f>IFERROR(HLOOKUP(FV1,Payroll!FV1:FW7,7,0),0)</f>
        <v>1.7749999999999999</v>
      </c>
      <c r="FW26" s="92">
        <f>IFERROR(HLOOKUP(FW1,Payroll!FW1:FX7,7,0),0)</f>
        <v>0.625</v>
      </c>
      <c r="FX26" s="92">
        <f>IFERROR(HLOOKUP(FX1,Payroll!FX1:FY7,7,0),0)</f>
        <v>1.8125</v>
      </c>
      <c r="FY26" s="92">
        <f>IFERROR(HLOOKUP(FY1,Payroll!FY1:FZ7,7,0),0)</f>
        <v>0</v>
      </c>
      <c r="FZ26" s="92">
        <f>IFERROR(HLOOKUP(FZ1,Payroll!FZ1:GA7,7,0),0)</f>
        <v>5.2894736842105265</v>
      </c>
      <c r="GA26" s="92">
        <f>IFERROR(HLOOKUP(GA1,Payroll!GA1:GB7,7,0),0)</f>
        <v>1.3333333333333333</v>
      </c>
      <c r="GB26" s="92">
        <f>IFERROR(HLOOKUP(GB1,Payroll!GB1:GC7,7,0),0)</f>
        <v>3.4722222222222224E-2</v>
      </c>
      <c r="GC26" s="92" t="str">
        <f>IFERROR(HLOOKUP(GC1,Payroll!GC1:GD7,7,0),0)</f>
        <v>0</v>
      </c>
      <c r="GD26" s="92">
        <f>IFERROR(HLOOKUP(GD1,Payroll!GD1:GE7,7,0),0)</f>
        <v>4.5</v>
      </c>
      <c r="GE26" s="92">
        <f>IFERROR(HLOOKUP(GE1,Payroll!GE1:GF7,7,0),0)</f>
        <v>9.0220588235294112</v>
      </c>
      <c r="GF26" s="92">
        <f>IFERROR(HLOOKUP(GF1,Payroll!GF1:GG7,7,0),0)</f>
        <v>5.3916666666666666</v>
      </c>
      <c r="GG26" s="92">
        <f>IFERROR(HLOOKUP(GG1,Payroll!GG1:GH7,7,0),0)</f>
        <v>8.1442307692307701</v>
      </c>
      <c r="GH26" s="92">
        <f>IFERROR(HLOOKUP(GH1,Payroll!GH1:GI7,7,0),0)</f>
        <v>1.53125</v>
      </c>
      <c r="GI26" s="92">
        <f>IFERROR(HLOOKUP(GI1,Payroll!GI1:GJ7,7,0),0)</f>
        <v>2.65625</v>
      </c>
      <c r="GJ26" s="92">
        <f>IFERROR(HLOOKUP(GJ1,Payroll!GJ1:GK7,7,0),0)</f>
        <v>8.2738095238095237</v>
      </c>
      <c r="GK26" s="92">
        <f>IFERROR(HLOOKUP(GK1,Payroll!GK1:GL7,7,0),0)</f>
        <v>6.4345238095238093</v>
      </c>
      <c r="GL26" s="92">
        <f>IFERROR(HLOOKUP(GL1,Payroll!GL1:GL7,7,0),0)</f>
        <v>4.7565789473684212</v>
      </c>
      <c r="GM26" s="92">
        <f>IFERROR(HLOOKUP(GM1,Payroll!GM1:GM7,7,0),0)</f>
        <v>13.19047619047619</v>
      </c>
      <c r="GN26" s="92">
        <f>IFERROR(HLOOKUP(GN1,Payroll!GN1:GN7,7,0),0)</f>
        <v>0.55921052631578949</v>
      </c>
      <c r="GO26" s="92">
        <f>IFERROR(HLOOKUP(GO1,Payroll!GO1:GO7,7,0),0)</f>
        <v>5.7321428571428568</v>
      </c>
      <c r="GP26" s="92">
        <f>IFERROR(HLOOKUP(GP1,Payroll!GP1:GP7,7,0),0)</f>
        <v>0</v>
      </c>
      <c r="GQ26" s="92" t="str">
        <f>IFERROR(HLOOKUP(GQ1,Payroll!GQ1:GQ7,7,0),0)</f>
        <v>0</v>
      </c>
      <c r="GR26" s="92">
        <f>IFERROR(HLOOKUP(GR1,Payroll!GR1:GR7,7,0),0)</f>
        <v>4.0902777777777777</v>
      </c>
      <c r="GS26" s="92">
        <f>IFERROR(HLOOKUP(GS1,Payroll!#REF!,7,0),0)</f>
        <v>0</v>
      </c>
      <c r="GT26" s="92">
        <f>IFERROR(HLOOKUP(GT1,Payroll!#REF!,7,0),0)</f>
        <v>0</v>
      </c>
      <c r="GU26" s="92">
        <f>IFERROR(HLOOKUP(GU1,Payroll!#REF!,7,0),0)</f>
        <v>0</v>
      </c>
      <c r="GV26" s="92">
        <f>IFERROR(HLOOKUP(GV1,Payroll!#REF!,7,0),0)</f>
        <v>0</v>
      </c>
    </row>
    <row r="27" spans="1:204" ht="14.45" thickBot="1">
      <c r="A27" s="239" t="s">
        <v>360</v>
      </c>
      <c r="B27" s="239"/>
      <c r="C27" s="240"/>
      <c r="D27" s="93">
        <f t="shared" ref="D27:BO27" si="6">IF(D26&lt;13,0.5,IF(AND(D26&gt;12.99,D26&lt;16),0.55,IF(AND(D26&gt;15.99,D26&lt;20.99),0.6,IF(D26&gt;20.99,0.65))))</f>
        <v>0.65</v>
      </c>
      <c r="E27" s="93">
        <f t="shared" si="6"/>
        <v>0.5</v>
      </c>
      <c r="F27" s="93">
        <f t="shared" si="6"/>
        <v>0.5</v>
      </c>
      <c r="G27" s="93">
        <f t="shared" si="6"/>
        <v>0.5</v>
      </c>
      <c r="H27" s="93">
        <f t="shared" si="6"/>
        <v>0.5</v>
      </c>
      <c r="I27" s="93">
        <f t="shared" si="6"/>
        <v>0.5</v>
      </c>
      <c r="J27" s="93">
        <f t="shared" si="6"/>
        <v>0.65</v>
      </c>
      <c r="K27" s="93">
        <f t="shared" si="6"/>
        <v>0.5</v>
      </c>
      <c r="L27" s="93">
        <f t="shared" si="6"/>
        <v>0.65</v>
      </c>
      <c r="M27" s="93">
        <f t="shared" si="6"/>
        <v>0.5</v>
      </c>
      <c r="N27" s="93">
        <f t="shared" si="6"/>
        <v>0.5</v>
      </c>
      <c r="O27" s="93">
        <f t="shared" si="6"/>
        <v>0.5</v>
      </c>
      <c r="P27" s="93">
        <f t="shared" si="6"/>
        <v>0.5</v>
      </c>
      <c r="Q27" s="93">
        <f t="shared" si="6"/>
        <v>0.5</v>
      </c>
      <c r="R27" s="93">
        <f t="shared" si="6"/>
        <v>0.5</v>
      </c>
      <c r="S27" s="93">
        <f t="shared" si="6"/>
        <v>0.5</v>
      </c>
      <c r="T27" s="93">
        <f t="shared" si="6"/>
        <v>0.6</v>
      </c>
      <c r="U27" s="93">
        <f t="shared" si="6"/>
        <v>0.5</v>
      </c>
      <c r="V27" s="93">
        <f t="shared" si="6"/>
        <v>0.5</v>
      </c>
      <c r="W27" s="93">
        <f t="shared" si="6"/>
        <v>0.5</v>
      </c>
      <c r="X27" s="93">
        <f t="shared" si="6"/>
        <v>0.5</v>
      </c>
      <c r="Y27" s="93">
        <f t="shared" si="6"/>
        <v>0.5</v>
      </c>
      <c r="Z27" s="93">
        <f t="shared" si="6"/>
        <v>0.5</v>
      </c>
      <c r="AA27" s="93">
        <f t="shared" si="6"/>
        <v>0.5</v>
      </c>
      <c r="AB27" s="93">
        <f t="shared" si="6"/>
        <v>0.5</v>
      </c>
      <c r="AC27" s="93">
        <f t="shared" si="6"/>
        <v>0.65</v>
      </c>
      <c r="AD27" s="93">
        <f t="shared" si="6"/>
        <v>0.5</v>
      </c>
      <c r="AE27" s="93">
        <f t="shared" si="6"/>
        <v>0.5</v>
      </c>
      <c r="AF27" s="93">
        <f t="shared" si="6"/>
        <v>0.5</v>
      </c>
      <c r="AG27" s="93">
        <f t="shared" si="6"/>
        <v>0.5</v>
      </c>
      <c r="AH27" s="93">
        <f t="shared" si="6"/>
        <v>0.5</v>
      </c>
      <c r="AI27" s="93">
        <f t="shared" si="6"/>
        <v>0.5</v>
      </c>
      <c r="AJ27" s="93">
        <f t="shared" si="6"/>
        <v>0.65</v>
      </c>
      <c r="AK27" s="93">
        <f t="shared" si="6"/>
        <v>0.5</v>
      </c>
      <c r="AL27" s="93">
        <f t="shared" si="6"/>
        <v>0.5</v>
      </c>
      <c r="AM27" s="93">
        <f t="shared" si="6"/>
        <v>0.5</v>
      </c>
      <c r="AN27" s="93">
        <f t="shared" si="6"/>
        <v>0.5</v>
      </c>
      <c r="AO27" s="93">
        <f t="shared" si="6"/>
        <v>0.5</v>
      </c>
      <c r="AP27" s="93">
        <f t="shared" si="6"/>
        <v>0.5</v>
      </c>
      <c r="AQ27" s="93">
        <f t="shared" si="6"/>
        <v>0.5</v>
      </c>
      <c r="AR27" s="93">
        <f t="shared" si="6"/>
        <v>0.5</v>
      </c>
      <c r="AS27" s="93">
        <f t="shared" si="6"/>
        <v>0.65</v>
      </c>
      <c r="AT27" s="93">
        <f t="shared" si="6"/>
        <v>0.5</v>
      </c>
      <c r="AU27" s="93">
        <f t="shared" si="6"/>
        <v>0.5</v>
      </c>
      <c r="AV27" s="93">
        <f t="shared" si="6"/>
        <v>0.5</v>
      </c>
      <c r="AW27" s="93">
        <f t="shared" si="6"/>
        <v>0.5</v>
      </c>
      <c r="AX27" s="93">
        <f t="shared" si="6"/>
        <v>0.5</v>
      </c>
      <c r="AY27" s="93">
        <f t="shared" si="6"/>
        <v>0.5</v>
      </c>
      <c r="AZ27" s="93">
        <f t="shared" si="6"/>
        <v>0.5</v>
      </c>
      <c r="BA27" s="93">
        <f t="shared" si="6"/>
        <v>0.5</v>
      </c>
      <c r="BB27" s="93">
        <f t="shared" si="6"/>
        <v>0.5</v>
      </c>
      <c r="BC27" s="93">
        <f t="shared" si="6"/>
        <v>0.5</v>
      </c>
      <c r="BD27" s="93">
        <f t="shared" si="6"/>
        <v>0.5</v>
      </c>
      <c r="BE27" s="93">
        <f t="shared" si="6"/>
        <v>0.5</v>
      </c>
      <c r="BF27" s="93">
        <f t="shared" si="6"/>
        <v>0.5</v>
      </c>
      <c r="BG27" s="93">
        <f t="shared" si="6"/>
        <v>0.5</v>
      </c>
      <c r="BH27" s="93">
        <f t="shared" si="6"/>
        <v>0.5</v>
      </c>
      <c r="BI27" s="93">
        <f t="shared" si="6"/>
        <v>0.5</v>
      </c>
      <c r="BJ27" s="93">
        <f t="shared" si="6"/>
        <v>0.5</v>
      </c>
      <c r="BK27" s="93">
        <f t="shared" si="6"/>
        <v>0.5</v>
      </c>
      <c r="BL27" s="93">
        <f t="shared" si="6"/>
        <v>0.5</v>
      </c>
      <c r="BM27" s="93">
        <f t="shared" si="6"/>
        <v>0.5</v>
      </c>
      <c r="BN27" s="93">
        <f t="shared" si="6"/>
        <v>0.5</v>
      </c>
      <c r="BO27" s="93">
        <f t="shared" si="6"/>
        <v>0.5</v>
      </c>
      <c r="BP27" s="93">
        <f t="shared" ref="BP27:EA27" si="7">IF(BP26&lt;13,0.5,IF(AND(BP26&gt;12.99,BP26&lt;16),0.55,IF(AND(BP26&gt;15.99,BP26&lt;20.99),0.6,IF(BP26&gt;20.99,0.65))))</f>
        <v>0.5</v>
      </c>
      <c r="BQ27" s="93">
        <f t="shared" si="7"/>
        <v>0.5</v>
      </c>
      <c r="BR27" s="93">
        <f t="shared" si="7"/>
        <v>0.65</v>
      </c>
      <c r="BS27" s="93">
        <f t="shared" si="7"/>
        <v>0.5</v>
      </c>
      <c r="BT27" s="93">
        <f t="shared" si="7"/>
        <v>0.65</v>
      </c>
      <c r="BU27" s="93">
        <f t="shared" si="7"/>
        <v>0.5</v>
      </c>
      <c r="BV27" s="93">
        <f t="shared" si="7"/>
        <v>0.5</v>
      </c>
      <c r="BW27" s="93">
        <f t="shared" si="7"/>
        <v>0.5</v>
      </c>
      <c r="BX27" s="93">
        <f t="shared" si="7"/>
        <v>0.5</v>
      </c>
      <c r="BY27" s="93">
        <f t="shared" si="7"/>
        <v>0.5</v>
      </c>
      <c r="BZ27" s="93">
        <f t="shared" si="7"/>
        <v>0.5</v>
      </c>
      <c r="CA27" s="93">
        <f t="shared" si="7"/>
        <v>0.5</v>
      </c>
      <c r="CB27" s="93">
        <f t="shared" si="7"/>
        <v>0.5</v>
      </c>
      <c r="CC27" s="93">
        <f t="shared" si="7"/>
        <v>0.5</v>
      </c>
      <c r="CD27" s="93">
        <f t="shared" si="7"/>
        <v>0.65</v>
      </c>
      <c r="CE27" s="93">
        <f t="shared" si="7"/>
        <v>0.5</v>
      </c>
      <c r="CF27" s="93">
        <f t="shared" si="7"/>
        <v>0.5</v>
      </c>
      <c r="CG27" s="93">
        <f t="shared" si="7"/>
        <v>0.5</v>
      </c>
      <c r="CH27" s="93">
        <f t="shared" si="7"/>
        <v>0.5</v>
      </c>
      <c r="CI27" s="93">
        <f t="shared" si="7"/>
        <v>0.65</v>
      </c>
      <c r="CJ27" s="93">
        <f t="shared" si="7"/>
        <v>0.6</v>
      </c>
      <c r="CK27" s="93">
        <f t="shared" si="7"/>
        <v>0.5</v>
      </c>
      <c r="CL27" s="93">
        <f t="shared" si="7"/>
        <v>0.5</v>
      </c>
      <c r="CM27" s="93">
        <f t="shared" si="7"/>
        <v>0.65</v>
      </c>
      <c r="CN27" s="93">
        <f t="shared" si="7"/>
        <v>0.5</v>
      </c>
      <c r="CO27" s="93">
        <f t="shared" si="7"/>
        <v>0.5</v>
      </c>
      <c r="CP27" s="93">
        <f t="shared" si="7"/>
        <v>0.5</v>
      </c>
      <c r="CQ27" s="93">
        <f t="shared" si="7"/>
        <v>0.65</v>
      </c>
      <c r="CR27" s="93">
        <f t="shared" si="7"/>
        <v>0.5</v>
      </c>
      <c r="CS27" s="93">
        <f t="shared" si="7"/>
        <v>0.5</v>
      </c>
      <c r="CT27" s="93">
        <f t="shared" si="7"/>
        <v>0.5</v>
      </c>
      <c r="CU27" s="93">
        <f t="shared" si="7"/>
        <v>0.5</v>
      </c>
      <c r="CV27" s="93">
        <f t="shared" si="7"/>
        <v>0.5</v>
      </c>
      <c r="CW27" s="93">
        <f t="shared" si="7"/>
        <v>0.5</v>
      </c>
      <c r="CX27" s="93">
        <f t="shared" si="7"/>
        <v>0.65</v>
      </c>
      <c r="CY27" s="93">
        <f t="shared" si="7"/>
        <v>0.5</v>
      </c>
      <c r="CZ27" s="93">
        <f t="shared" si="7"/>
        <v>0.5</v>
      </c>
      <c r="DA27" s="93">
        <f t="shared" si="7"/>
        <v>0.5</v>
      </c>
      <c r="DB27" s="93">
        <f t="shared" si="7"/>
        <v>0.65</v>
      </c>
      <c r="DC27" s="93">
        <f t="shared" si="7"/>
        <v>0.5</v>
      </c>
      <c r="DD27" s="93">
        <f t="shared" si="7"/>
        <v>0.5</v>
      </c>
      <c r="DE27" s="93">
        <f t="shared" si="7"/>
        <v>0.5</v>
      </c>
      <c r="DF27" s="93">
        <f t="shared" si="7"/>
        <v>0.65</v>
      </c>
      <c r="DG27" s="93">
        <f t="shared" si="7"/>
        <v>0.5</v>
      </c>
      <c r="DH27" s="93">
        <f t="shared" si="7"/>
        <v>0.5</v>
      </c>
      <c r="DI27" s="93">
        <f t="shared" si="7"/>
        <v>0.5</v>
      </c>
      <c r="DJ27" s="93">
        <f t="shared" si="7"/>
        <v>0.5</v>
      </c>
      <c r="DK27" s="93">
        <f t="shared" si="7"/>
        <v>0.6</v>
      </c>
      <c r="DL27" s="93">
        <f t="shared" si="7"/>
        <v>0.5</v>
      </c>
      <c r="DM27" s="93">
        <f t="shared" si="7"/>
        <v>0.5</v>
      </c>
      <c r="DN27" s="93">
        <f t="shared" si="7"/>
        <v>0.5</v>
      </c>
      <c r="DO27" s="93">
        <f t="shared" si="7"/>
        <v>0.5</v>
      </c>
      <c r="DP27" s="93">
        <f t="shared" si="7"/>
        <v>0.5</v>
      </c>
      <c r="DQ27" s="93">
        <f t="shared" si="7"/>
        <v>0.5</v>
      </c>
      <c r="DR27" s="93">
        <f t="shared" si="7"/>
        <v>0.5</v>
      </c>
      <c r="DS27" s="93">
        <f t="shared" si="7"/>
        <v>0.5</v>
      </c>
      <c r="DT27" s="93">
        <f t="shared" si="7"/>
        <v>0.5</v>
      </c>
      <c r="DU27" s="93">
        <f t="shared" si="7"/>
        <v>0.5</v>
      </c>
      <c r="DV27" s="93">
        <f t="shared" si="7"/>
        <v>0.5</v>
      </c>
      <c r="DW27" s="93">
        <f t="shared" si="7"/>
        <v>0.5</v>
      </c>
      <c r="DX27" s="93">
        <f t="shared" si="7"/>
        <v>0.5</v>
      </c>
      <c r="DY27" s="93">
        <f t="shared" si="7"/>
        <v>0.5</v>
      </c>
      <c r="DZ27" s="93">
        <f t="shared" si="7"/>
        <v>0.5</v>
      </c>
      <c r="EA27" s="93">
        <f t="shared" si="7"/>
        <v>0.5</v>
      </c>
      <c r="EB27" s="93">
        <f t="shared" ref="EB27:FB27" si="8">IF(EB26&lt;13,0.5,IF(AND(EB26&gt;12.99,EB26&lt;16),0.55,IF(AND(EB26&gt;15.99,EB26&lt;20.99),0.6,IF(EB26&gt;20.99,0.65))))</f>
        <v>0.5</v>
      </c>
      <c r="EC27" s="93">
        <f t="shared" si="8"/>
        <v>0.5</v>
      </c>
      <c r="ED27" s="93">
        <f t="shared" si="8"/>
        <v>0.5</v>
      </c>
      <c r="EE27" s="93">
        <f t="shared" si="8"/>
        <v>0.5</v>
      </c>
      <c r="EF27" s="93">
        <f t="shared" si="8"/>
        <v>0.5</v>
      </c>
      <c r="EG27" s="93">
        <f t="shared" si="8"/>
        <v>0.5</v>
      </c>
      <c r="EH27" s="93">
        <f t="shared" si="8"/>
        <v>0.5</v>
      </c>
      <c r="EI27" s="93">
        <f t="shared" si="8"/>
        <v>0.5</v>
      </c>
      <c r="EJ27" s="93">
        <f t="shared" si="8"/>
        <v>0.5</v>
      </c>
      <c r="EK27" s="93">
        <f t="shared" si="8"/>
        <v>0.5</v>
      </c>
      <c r="EL27" s="93">
        <f t="shared" si="8"/>
        <v>0.5</v>
      </c>
      <c r="EM27" s="93">
        <f t="shared" si="8"/>
        <v>0.5</v>
      </c>
      <c r="EN27" s="93">
        <f t="shared" si="8"/>
        <v>0.5</v>
      </c>
      <c r="EO27" s="93">
        <f t="shared" si="8"/>
        <v>0.5</v>
      </c>
      <c r="EP27" s="93">
        <f t="shared" si="8"/>
        <v>0.5</v>
      </c>
      <c r="EQ27" s="93">
        <f t="shared" si="8"/>
        <v>0.5</v>
      </c>
      <c r="ER27" s="93">
        <f t="shared" si="8"/>
        <v>0.5</v>
      </c>
      <c r="ES27" s="93">
        <f t="shared" si="8"/>
        <v>0.5</v>
      </c>
      <c r="ET27" s="93">
        <f t="shared" si="8"/>
        <v>0.5</v>
      </c>
      <c r="EU27" s="93">
        <f t="shared" si="8"/>
        <v>0.5</v>
      </c>
      <c r="EV27" s="93">
        <f t="shared" si="8"/>
        <v>0.5</v>
      </c>
      <c r="EW27" s="93">
        <f t="shared" si="8"/>
        <v>0.5</v>
      </c>
      <c r="EX27" s="93">
        <f t="shared" si="8"/>
        <v>0.5</v>
      </c>
      <c r="EY27" s="93">
        <f t="shared" si="8"/>
        <v>0.5</v>
      </c>
      <c r="EZ27" s="93">
        <f t="shared" si="8"/>
        <v>0.5</v>
      </c>
      <c r="FA27" s="93">
        <f t="shared" si="8"/>
        <v>0.65</v>
      </c>
      <c r="FB27" s="93">
        <f t="shared" si="8"/>
        <v>0.5</v>
      </c>
      <c r="FC27" s="93">
        <f t="shared" ref="FC27:FD27" si="9">IF(FC26&lt;13,0.5,IF(AND(FC26&gt;12.99,FC26&lt;16),0.55,IF(AND(FC26&gt;15.99,FC26&lt;20.99),0.6,IF(FC26&gt;20.99,0.65))))</f>
        <v>0.65</v>
      </c>
      <c r="FD27" s="93">
        <f t="shared" si="9"/>
        <v>0.5</v>
      </c>
      <c r="FE27" s="93">
        <f t="shared" ref="FE27:GL27" si="10">IF(FE26&lt;13,0.5,IF(AND(FE26&gt;12.99,FE26&lt;16),0.55,IF(AND(FE26&gt;15.99,FE26&lt;20.99),0.6,IF(FE26&gt;20.99,0.65))))</f>
        <v>0.5</v>
      </c>
      <c r="FF27" s="93">
        <f t="shared" si="10"/>
        <v>0.5</v>
      </c>
      <c r="FG27" s="93">
        <f t="shared" si="10"/>
        <v>0.5</v>
      </c>
      <c r="FH27" s="93">
        <f t="shared" si="10"/>
        <v>0.65</v>
      </c>
      <c r="FI27" s="93">
        <f t="shared" si="10"/>
        <v>0.5</v>
      </c>
      <c r="FJ27" s="93">
        <f t="shared" si="10"/>
        <v>0.5</v>
      </c>
      <c r="FK27" s="93">
        <f t="shared" si="10"/>
        <v>0.5</v>
      </c>
      <c r="FL27" s="93">
        <f t="shared" si="10"/>
        <v>0.5</v>
      </c>
      <c r="FM27" s="93">
        <f t="shared" si="10"/>
        <v>0.5</v>
      </c>
      <c r="FN27" s="93">
        <f t="shared" si="10"/>
        <v>0.5</v>
      </c>
      <c r="FO27" s="93">
        <f t="shared" si="10"/>
        <v>0.5</v>
      </c>
      <c r="FP27" s="93">
        <f t="shared" si="10"/>
        <v>0.5</v>
      </c>
      <c r="FQ27" s="93">
        <f t="shared" si="10"/>
        <v>0.5</v>
      </c>
      <c r="FR27" s="93">
        <f t="shared" si="10"/>
        <v>0.5</v>
      </c>
      <c r="FS27" s="93">
        <f t="shared" si="10"/>
        <v>0.5</v>
      </c>
      <c r="FT27" s="93">
        <f t="shared" si="10"/>
        <v>0.5</v>
      </c>
      <c r="FU27" s="93">
        <f t="shared" si="10"/>
        <v>0.65</v>
      </c>
      <c r="FV27" s="93">
        <f t="shared" si="10"/>
        <v>0.5</v>
      </c>
      <c r="FW27" s="93">
        <f t="shared" si="10"/>
        <v>0.5</v>
      </c>
      <c r="FX27" s="93">
        <f t="shared" si="10"/>
        <v>0.5</v>
      </c>
      <c r="FY27" s="93">
        <f t="shared" si="10"/>
        <v>0.5</v>
      </c>
      <c r="FZ27" s="93">
        <f t="shared" si="10"/>
        <v>0.5</v>
      </c>
      <c r="GA27" s="93">
        <f t="shared" si="10"/>
        <v>0.5</v>
      </c>
      <c r="GB27" s="93">
        <f t="shared" si="10"/>
        <v>0.5</v>
      </c>
      <c r="GC27" s="93">
        <f t="shared" si="10"/>
        <v>0.65</v>
      </c>
      <c r="GD27" s="93">
        <f t="shared" si="10"/>
        <v>0.5</v>
      </c>
      <c r="GE27" s="93">
        <f t="shared" si="10"/>
        <v>0.5</v>
      </c>
      <c r="GF27" s="93">
        <f t="shared" si="10"/>
        <v>0.5</v>
      </c>
      <c r="GG27" s="93">
        <f t="shared" si="10"/>
        <v>0.5</v>
      </c>
      <c r="GH27" s="93">
        <f t="shared" si="10"/>
        <v>0.5</v>
      </c>
      <c r="GI27" s="93">
        <f t="shared" si="10"/>
        <v>0.5</v>
      </c>
      <c r="GJ27" s="93">
        <f t="shared" si="10"/>
        <v>0.5</v>
      </c>
      <c r="GK27" s="93">
        <f t="shared" si="10"/>
        <v>0.5</v>
      </c>
      <c r="GL27" s="93">
        <f t="shared" si="10"/>
        <v>0.5</v>
      </c>
      <c r="GM27" s="93">
        <f t="shared" ref="GM27:GV27" si="11">IF(GM26&lt;13,0.5,IF(AND(GM26&gt;12.99,GM26&lt;16),0.55,IF(AND(GM26&gt;15.99,GM26&lt;20.99),0.6,IF(GM26&gt;20.99,0.65))))</f>
        <v>0.55000000000000004</v>
      </c>
      <c r="GN27" s="93">
        <f t="shared" si="11"/>
        <v>0.5</v>
      </c>
      <c r="GO27" s="93">
        <f t="shared" si="11"/>
        <v>0.5</v>
      </c>
      <c r="GP27" s="93">
        <f t="shared" si="11"/>
        <v>0.5</v>
      </c>
      <c r="GQ27" s="93">
        <f t="shared" si="11"/>
        <v>0.65</v>
      </c>
      <c r="GR27" s="93">
        <f t="shared" si="11"/>
        <v>0.5</v>
      </c>
      <c r="GS27" s="93">
        <f t="shared" si="11"/>
        <v>0.5</v>
      </c>
      <c r="GT27" s="93">
        <f t="shared" si="11"/>
        <v>0.5</v>
      </c>
      <c r="GU27" s="93">
        <f t="shared" si="11"/>
        <v>0.5</v>
      </c>
      <c r="GV27" s="93">
        <f t="shared" si="11"/>
        <v>0.5</v>
      </c>
    </row>
    <row r="28" spans="1:204">
      <c r="A28" s="241" t="s">
        <v>361</v>
      </c>
      <c r="B28" s="242"/>
      <c r="C28" s="243"/>
      <c r="D28" s="94">
        <v>0.65</v>
      </c>
      <c r="E28" s="94">
        <f>D28+0</f>
        <v>0.65</v>
      </c>
      <c r="F28" s="94">
        <f t="shared" ref="F28:BQ28" si="12">E28+0</f>
        <v>0.65</v>
      </c>
      <c r="G28" s="94">
        <f t="shared" si="12"/>
        <v>0.65</v>
      </c>
      <c r="H28" s="94">
        <f t="shared" si="12"/>
        <v>0.65</v>
      </c>
      <c r="I28" s="94">
        <f t="shared" si="12"/>
        <v>0.65</v>
      </c>
      <c r="J28" s="94">
        <f t="shared" si="12"/>
        <v>0.65</v>
      </c>
      <c r="K28" s="94">
        <f t="shared" si="12"/>
        <v>0.65</v>
      </c>
      <c r="L28" s="94">
        <f t="shared" si="12"/>
        <v>0.65</v>
      </c>
      <c r="M28" s="94">
        <f t="shared" si="12"/>
        <v>0.65</v>
      </c>
      <c r="N28" s="94">
        <f t="shared" si="12"/>
        <v>0.65</v>
      </c>
      <c r="O28" s="94">
        <f t="shared" si="12"/>
        <v>0.65</v>
      </c>
      <c r="P28" s="94">
        <f t="shared" si="12"/>
        <v>0.65</v>
      </c>
      <c r="Q28" s="94">
        <f t="shared" si="12"/>
        <v>0.65</v>
      </c>
      <c r="R28" s="94">
        <f t="shared" si="12"/>
        <v>0.65</v>
      </c>
      <c r="S28" s="94">
        <f t="shared" si="12"/>
        <v>0.65</v>
      </c>
      <c r="T28" s="94">
        <f t="shared" si="12"/>
        <v>0.65</v>
      </c>
      <c r="U28" s="94">
        <f t="shared" si="12"/>
        <v>0.65</v>
      </c>
      <c r="V28" s="94">
        <f t="shared" si="12"/>
        <v>0.65</v>
      </c>
      <c r="W28" s="94">
        <f t="shared" si="12"/>
        <v>0.65</v>
      </c>
      <c r="X28" s="94">
        <f t="shared" si="12"/>
        <v>0.65</v>
      </c>
      <c r="Y28" s="94">
        <f t="shared" si="12"/>
        <v>0.65</v>
      </c>
      <c r="Z28" s="94">
        <f t="shared" si="12"/>
        <v>0.65</v>
      </c>
      <c r="AA28" s="94">
        <f t="shared" si="12"/>
        <v>0.65</v>
      </c>
      <c r="AB28" s="94">
        <f t="shared" si="12"/>
        <v>0.65</v>
      </c>
      <c r="AC28" s="94">
        <f t="shared" si="12"/>
        <v>0.65</v>
      </c>
      <c r="AD28" s="94">
        <f t="shared" si="12"/>
        <v>0.65</v>
      </c>
      <c r="AE28" s="94">
        <f t="shared" si="12"/>
        <v>0.65</v>
      </c>
      <c r="AF28" s="94">
        <f t="shared" si="12"/>
        <v>0.65</v>
      </c>
      <c r="AG28" s="94">
        <f t="shared" si="12"/>
        <v>0.65</v>
      </c>
      <c r="AH28" s="94">
        <f t="shared" si="12"/>
        <v>0.65</v>
      </c>
      <c r="AI28" s="94">
        <f t="shared" si="12"/>
        <v>0.65</v>
      </c>
      <c r="AJ28" s="94">
        <f t="shared" si="12"/>
        <v>0.65</v>
      </c>
      <c r="AK28" s="94">
        <f t="shared" si="12"/>
        <v>0.65</v>
      </c>
      <c r="AL28" s="94">
        <f t="shared" si="12"/>
        <v>0.65</v>
      </c>
      <c r="AM28" s="94">
        <f t="shared" si="12"/>
        <v>0.65</v>
      </c>
      <c r="AN28" s="94">
        <f t="shared" si="12"/>
        <v>0.65</v>
      </c>
      <c r="AO28" s="94">
        <f t="shared" si="12"/>
        <v>0.65</v>
      </c>
      <c r="AP28" s="94">
        <f t="shared" si="12"/>
        <v>0.65</v>
      </c>
      <c r="AQ28" s="94">
        <f t="shared" si="12"/>
        <v>0.65</v>
      </c>
      <c r="AR28" s="94">
        <f t="shared" si="12"/>
        <v>0.65</v>
      </c>
      <c r="AS28" s="94">
        <f t="shared" si="12"/>
        <v>0.65</v>
      </c>
      <c r="AT28" s="94">
        <f t="shared" si="12"/>
        <v>0.65</v>
      </c>
      <c r="AU28" s="94">
        <f t="shared" si="12"/>
        <v>0.65</v>
      </c>
      <c r="AV28" s="94">
        <f t="shared" si="12"/>
        <v>0.65</v>
      </c>
      <c r="AW28" s="94">
        <f t="shared" si="12"/>
        <v>0.65</v>
      </c>
      <c r="AX28" s="94">
        <f t="shared" si="12"/>
        <v>0.65</v>
      </c>
      <c r="AY28" s="94">
        <f t="shared" si="12"/>
        <v>0.65</v>
      </c>
      <c r="AZ28" s="94">
        <f t="shared" si="12"/>
        <v>0.65</v>
      </c>
      <c r="BA28" s="94">
        <f t="shared" si="12"/>
        <v>0.65</v>
      </c>
      <c r="BB28" s="94">
        <f t="shared" si="12"/>
        <v>0.65</v>
      </c>
      <c r="BC28" s="94">
        <f t="shared" si="12"/>
        <v>0.65</v>
      </c>
      <c r="BD28" s="94">
        <f t="shared" si="12"/>
        <v>0.65</v>
      </c>
      <c r="BE28" s="94">
        <f t="shared" si="12"/>
        <v>0.65</v>
      </c>
      <c r="BF28" s="94">
        <f t="shared" si="12"/>
        <v>0.65</v>
      </c>
      <c r="BG28" s="94">
        <f t="shared" si="12"/>
        <v>0.65</v>
      </c>
      <c r="BH28" s="94">
        <f t="shared" si="12"/>
        <v>0.65</v>
      </c>
      <c r="BI28" s="94">
        <f t="shared" si="12"/>
        <v>0.65</v>
      </c>
      <c r="BJ28" s="94">
        <f t="shared" si="12"/>
        <v>0.65</v>
      </c>
      <c r="BK28" s="94">
        <f t="shared" si="12"/>
        <v>0.65</v>
      </c>
      <c r="BL28" s="94">
        <f t="shared" si="12"/>
        <v>0.65</v>
      </c>
      <c r="BM28" s="94">
        <f t="shared" si="12"/>
        <v>0.65</v>
      </c>
      <c r="BN28" s="94">
        <f t="shared" si="12"/>
        <v>0.65</v>
      </c>
      <c r="BO28" s="94">
        <f t="shared" si="12"/>
        <v>0.65</v>
      </c>
      <c r="BP28" s="94">
        <f t="shared" si="12"/>
        <v>0.65</v>
      </c>
      <c r="BQ28" s="94">
        <f t="shared" si="12"/>
        <v>0.65</v>
      </c>
      <c r="BR28" s="94">
        <f t="shared" ref="BR28:EC28" si="13">BQ28+0</f>
        <v>0.65</v>
      </c>
      <c r="BS28" s="94">
        <f t="shared" si="13"/>
        <v>0.65</v>
      </c>
      <c r="BT28" s="94">
        <f t="shared" si="13"/>
        <v>0.65</v>
      </c>
      <c r="BU28" s="94">
        <f t="shared" si="13"/>
        <v>0.65</v>
      </c>
      <c r="BV28" s="94">
        <f t="shared" si="13"/>
        <v>0.65</v>
      </c>
      <c r="BW28" s="94">
        <f t="shared" si="13"/>
        <v>0.65</v>
      </c>
      <c r="BX28" s="94">
        <f t="shared" si="13"/>
        <v>0.65</v>
      </c>
      <c r="BY28" s="94">
        <f t="shared" si="13"/>
        <v>0.65</v>
      </c>
      <c r="BZ28" s="94">
        <f t="shared" si="13"/>
        <v>0.65</v>
      </c>
      <c r="CA28" s="94">
        <f t="shared" si="13"/>
        <v>0.65</v>
      </c>
      <c r="CB28" s="94">
        <f t="shared" si="13"/>
        <v>0.65</v>
      </c>
      <c r="CC28" s="94">
        <f t="shared" si="13"/>
        <v>0.65</v>
      </c>
      <c r="CD28" s="94">
        <f t="shared" si="13"/>
        <v>0.65</v>
      </c>
      <c r="CE28" s="94">
        <f t="shared" si="13"/>
        <v>0.65</v>
      </c>
      <c r="CF28" s="94">
        <f t="shared" si="13"/>
        <v>0.65</v>
      </c>
      <c r="CG28" s="94">
        <f t="shared" si="13"/>
        <v>0.65</v>
      </c>
      <c r="CH28" s="94">
        <f t="shared" si="13"/>
        <v>0.65</v>
      </c>
      <c r="CI28" s="94">
        <f t="shared" si="13"/>
        <v>0.65</v>
      </c>
      <c r="CJ28" s="94">
        <f t="shared" si="13"/>
        <v>0.65</v>
      </c>
      <c r="CK28" s="94">
        <f t="shared" si="13"/>
        <v>0.65</v>
      </c>
      <c r="CL28" s="94">
        <f t="shared" si="13"/>
        <v>0.65</v>
      </c>
      <c r="CM28" s="94">
        <f t="shared" si="13"/>
        <v>0.65</v>
      </c>
      <c r="CN28" s="94">
        <f t="shared" si="13"/>
        <v>0.65</v>
      </c>
      <c r="CO28" s="94">
        <f t="shared" si="13"/>
        <v>0.65</v>
      </c>
      <c r="CP28" s="94">
        <f t="shared" si="13"/>
        <v>0.65</v>
      </c>
      <c r="CQ28" s="94">
        <f t="shared" si="13"/>
        <v>0.65</v>
      </c>
      <c r="CR28" s="94">
        <f t="shared" si="13"/>
        <v>0.65</v>
      </c>
      <c r="CS28" s="94">
        <f t="shared" si="13"/>
        <v>0.65</v>
      </c>
      <c r="CT28" s="94">
        <f t="shared" si="13"/>
        <v>0.65</v>
      </c>
      <c r="CU28" s="94">
        <f t="shared" si="13"/>
        <v>0.65</v>
      </c>
      <c r="CV28" s="94">
        <f t="shared" si="13"/>
        <v>0.65</v>
      </c>
      <c r="CW28" s="94">
        <f t="shared" si="13"/>
        <v>0.65</v>
      </c>
      <c r="CX28" s="94">
        <f t="shared" si="13"/>
        <v>0.65</v>
      </c>
      <c r="CY28" s="94">
        <f t="shared" si="13"/>
        <v>0.65</v>
      </c>
      <c r="CZ28" s="94">
        <f t="shared" si="13"/>
        <v>0.65</v>
      </c>
      <c r="DA28" s="94">
        <f t="shared" si="13"/>
        <v>0.65</v>
      </c>
      <c r="DB28" s="94">
        <f t="shared" si="13"/>
        <v>0.65</v>
      </c>
      <c r="DC28" s="94">
        <f t="shared" si="13"/>
        <v>0.65</v>
      </c>
      <c r="DD28" s="94">
        <f t="shared" si="13"/>
        <v>0.65</v>
      </c>
      <c r="DE28" s="94">
        <f t="shared" si="13"/>
        <v>0.65</v>
      </c>
      <c r="DF28" s="94">
        <f t="shared" si="13"/>
        <v>0.65</v>
      </c>
      <c r="DG28" s="94">
        <f t="shared" si="13"/>
        <v>0.65</v>
      </c>
      <c r="DH28" s="94">
        <f t="shared" si="13"/>
        <v>0.65</v>
      </c>
      <c r="DI28" s="94">
        <f t="shared" si="13"/>
        <v>0.65</v>
      </c>
      <c r="DJ28" s="94">
        <f t="shared" si="13"/>
        <v>0.65</v>
      </c>
      <c r="DK28" s="94">
        <f t="shared" si="13"/>
        <v>0.65</v>
      </c>
      <c r="DL28" s="94">
        <f t="shared" si="13"/>
        <v>0.65</v>
      </c>
      <c r="DM28" s="94">
        <f t="shared" si="13"/>
        <v>0.65</v>
      </c>
      <c r="DN28" s="94">
        <f t="shared" si="13"/>
        <v>0.65</v>
      </c>
      <c r="DO28" s="94">
        <f t="shared" si="13"/>
        <v>0.65</v>
      </c>
      <c r="DP28" s="94">
        <f t="shared" si="13"/>
        <v>0.65</v>
      </c>
      <c r="DQ28" s="94">
        <f t="shared" si="13"/>
        <v>0.65</v>
      </c>
      <c r="DR28" s="94">
        <f t="shared" si="13"/>
        <v>0.65</v>
      </c>
      <c r="DS28" s="94">
        <f t="shared" si="13"/>
        <v>0.65</v>
      </c>
      <c r="DT28" s="94">
        <f t="shared" si="13"/>
        <v>0.65</v>
      </c>
      <c r="DU28" s="94">
        <f t="shared" si="13"/>
        <v>0.65</v>
      </c>
      <c r="DV28" s="94">
        <f t="shared" si="13"/>
        <v>0.65</v>
      </c>
      <c r="DW28" s="94">
        <f t="shared" si="13"/>
        <v>0.65</v>
      </c>
      <c r="DX28" s="94">
        <f t="shared" si="13"/>
        <v>0.65</v>
      </c>
      <c r="DY28" s="94">
        <f t="shared" si="13"/>
        <v>0.65</v>
      </c>
      <c r="DZ28" s="94">
        <f t="shared" si="13"/>
        <v>0.65</v>
      </c>
      <c r="EA28" s="94">
        <f t="shared" si="13"/>
        <v>0.65</v>
      </c>
      <c r="EB28" s="94">
        <f t="shared" si="13"/>
        <v>0.65</v>
      </c>
      <c r="EC28" s="94">
        <f t="shared" si="13"/>
        <v>0.65</v>
      </c>
      <c r="ED28" s="94">
        <f t="shared" ref="ED28:FD28" si="14">EC28+0</f>
        <v>0.65</v>
      </c>
      <c r="EE28" s="94">
        <f t="shared" si="14"/>
        <v>0.65</v>
      </c>
      <c r="EF28" s="94">
        <f t="shared" si="14"/>
        <v>0.65</v>
      </c>
      <c r="EG28" s="94">
        <f t="shared" si="14"/>
        <v>0.65</v>
      </c>
      <c r="EH28" s="94">
        <f t="shared" si="14"/>
        <v>0.65</v>
      </c>
      <c r="EI28" s="94">
        <f t="shared" si="14"/>
        <v>0.65</v>
      </c>
      <c r="EJ28" s="94">
        <f t="shared" si="14"/>
        <v>0.65</v>
      </c>
      <c r="EK28" s="94">
        <f t="shared" si="14"/>
        <v>0.65</v>
      </c>
      <c r="EL28" s="94">
        <f t="shared" si="14"/>
        <v>0.65</v>
      </c>
      <c r="EM28" s="94">
        <f t="shared" si="14"/>
        <v>0.65</v>
      </c>
      <c r="EN28" s="94">
        <f t="shared" si="14"/>
        <v>0.65</v>
      </c>
      <c r="EO28" s="94">
        <f t="shared" si="14"/>
        <v>0.65</v>
      </c>
      <c r="EP28" s="94">
        <f t="shared" si="14"/>
        <v>0.65</v>
      </c>
      <c r="EQ28" s="94">
        <f t="shared" si="14"/>
        <v>0.65</v>
      </c>
      <c r="ER28" s="94">
        <f t="shared" si="14"/>
        <v>0.65</v>
      </c>
      <c r="ES28" s="94">
        <f t="shared" si="14"/>
        <v>0.65</v>
      </c>
      <c r="ET28" s="94">
        <f t="shared" si="14"/>
        <v>0.65</v>
      </c>
      <c r="EU28" s="94">
        <f t="shared" si="14"/>
        <v>0.65</v>
      </c>
      <c r="EV28" s="94">
        <f t="shared" si="14"/>
        <v>0.65</v>
      </c>
      <c r="EW28" s="94">
        <f t="shared" si="14"/>
        <v>0.65</v>
      </c>
      <c r="EX28" s="94">
        <f t="shared" si="14"/>
        <v>0.65</v>
      </c>
      <c r="EY28" s="94">
        <f t="shared" si="14"/>
        <v>0.65</v>
      </c>
      <c r="EZ28" s="94">
        <f t="shared" si="14"/>
        <v>0.65</v>
      </c>
      <c r="FA28" s="94">
        <f t="shared" si="14"/>
        <v>0.65</v>
      </c>
      <c r="FB28" s="94">
        <f t="shared" si="14"/>
        <v>0.65</v>
      </c>
      <c r="FC28" s="94">
        <f t="shared" si="14"/>
        <v>0.65</v>
      </c>
      <c r="FD28" s="94">
        <f t="shared" si="14"/>
        <v>0.65</v>
      </c>
      <c r="FE28" s="94">
        <f t="shared" ref="FE28:GM28" si="15">FD28+0</f>
        <v>0.65</v>
      </c>
      <c r="FF28" s="94">
        <f t="shared" si="15"/>
        <v>0.65</v>
      </c>
      <c r="FG28" s="94">
        <f t="shared" si="15"/>
        <v>0.65</v>
      </c>
      <c r="FH28" s="94">
        <f t="shared" si="15"/>
        <v>0.65</v>
      </c>
      <c r="FI28" s="94">
        <f t="shared" si="15"/>
        <v>0.65</v>
      </c>
      <c r="FJ28" s="94">
        <f t="shared" si="15"/>
        <v>0.65</v>
      </c>
      <c r="FK28" s="94">
        <f t="shared" si="15"/>
        <v>0.65</v>
      </c>
      <c r="FL28" s="94">
        <f t="shared" si="15"/>
        <v>0.65</v>
      </c>
      <c r="FM28" s="94">
        <f t="shared" si="15"/>
        <v>0.65</v>
      </c>
      <c r="FN28" s="94">
        <f t="shared" si="15"/>
        <v>0.65</v>
      </c>
      <c r="FO28" s="94">
        <f t="shared" si="15"/>
        <v>0.65</v>
      </c>
      <c r="FP28" s="94">
        <f t="shared" si="15"/>
        <v>0.65</v>
      </c>
      <c r="FQ28" s="94">
        <f t="shared" si="15"/>
        <v>0.65</v>
      </c>
      <c r="FR28" s="94">
        <f t="shared" si="15"/>
        <v>0.65</v>
      </c>
      <c r="FS28" s="94">
        <f t="shared" si="15"/>
        <v>0.65</v>
      </c>
      <c r="FT28" s="94">
        <f t="shared" si="15"/>
        <v>0.65</v>
      </c>
      <c r="FU28" s="94">
        <f t="shared" si="15"/>
        <v>0.65</v>
      </c>
      <c r="FV28" s="94">
        <f t="shared" si="15"/>
        <v>0.65</v>
      </c>
      <c r="FW28" s="94">
        <f t="shared" si="15"/>
        <v>0.65</v>
      </c>
      <c r="FX28" s="94">
        <f t="shared" si="15"/>
        <v>0.65</v>
      </c>
      <c r="FY28" s="94">
        <f t="shared" si="15"/>
        <v>0.65</v>
      </c>
      <c r="FZ28" s="94">
        <f t="shared" si="15"/>
        <v>0.65</v>
      </c>
      <c r="GA28" s="94">
        <f t="shared" si="15"/>
        <v>0.65</v>
      </c>
      <c r="GB28" s="94">
        <f t="shared" si="15"/>
        <v>0.65</v>
      </c>
      <c r="GC28" s="94">
        <f t="shared" si="15"/>
        <v>0.65</v>
      </c>
      <c r="GD28" s="94">
        <f t="shared" si="15"/>
        <v>0.65</v>
      </c>
      <c r="GE28" s="94">
        <f t="shared" si="15"/>
        <v>0.65</v>
      </c>
      <c r="GF28" s="94">
        <f t="shared" si="15"/>
        <v>0.65</v>
      </c>
      <c r="GG28" s="94">
        <f t="shared" si="15"/>
        <v>0.65</v>
      </c>
      <c r="GH28" s="94">
        <f t="shared" si="15"/>
        <v>0.65</v>
      </c>
      <c r="GI28" s="94">
        <f t="shared" si="15"/>
        <v>0.65</v>
      </c>
      <c r="GJ28" s="94">
        <f t="shared" si="15"/>
        <v>0.65</v>
      </c>
      <c r="GK28" s="94">
        <f t="shared" si="15"/>
        <v>0.65</v>
      </c>
      <c r="GL28" s="94">
        <f t="shared" si="15"/>
        <v>0.65</v>
      </c>
      <c r="GM28" s="94">
        <f t="shared" si="15"/>
        <v>0.65</v>
      </c>
      <c r="GN28" s="94">
        <f t="shared" ref="GN28" si="16">GM28+0</f>
        <v>0.65</v>
      </c>
      <c r="GO28" s="94">
        <f t="shared" ref="GO28" si="17">GN28+0</f>
        <v>0.65</v>
      </c>
      <c r="GP28" s="94">
        <f t="shared" ref="GP28" si="18">GO28+0</f>
        <v>0.65</v>
      </c>
      <c r="GQ28" s="94">
        <f t="shared" ref="GQ28" si="19">GP28+0</f>
        <v>0.65</v>
      </c>
      <c r="GR28" s="94">
        <f t="shared" ref="GR28" si="20">GQ28+0</f>
        <v>0.65</v>
      </c>
      <c r="GS28" s="94">
        <f t="shared" ref="GS28" si="21">GR28+0</f>
        <v>0.65</v>
      </c>
      <c r="GT28" s="94">
        <f t="shared" ref="GT28" si="22">GS28+0</f>
        <v>0.65</v>
      </c>
      <c r="GU28" s="94">
        <f t="shared" ref="GU28" si="23">GT28+0</f>
        <v>0.65</v>
      </c>
      <c r="GV28" s="94">
        <f t="shared" ref="GV28" si="24">GU28+0</f>
        <v>0.65</v>
      </c>
    </row>
    <row r="29" spans="1:204">
      <c r="A29" s="246" t="s">
        <v>362</v>
      </c>
      <c r="B29" s="247"/>
      <c r="C29" s="248"/>
      <c r="D29" s="94">
        <f>D28-D27</f>
        <v>0</v>
      </c>
      <c r="E29" s="94">
        <f t="shared" ref="E29:BP29" si="25">E28-E27</f>
        <v>0.15000000000000002</v>
      </c>
      <c r="F29" s="94">
        <f t="shared" si="25"/>
        <v>0.15000000000000002</v>
      </c>
      <c r="G29" s="94">
        <f t="shared" si="25"/>
        <v>0.15000000000000002</v>
      </c>
      <c r="H29" s="94">
        <f t="shared" si="25"/>
        <v>0.15000000000000002</v>
      </c>
      <c r="I29" s="94">
        <f t="shared" si="25"/>
        <v>0.15000000000000002</v>
      </c>
      <c r="J29" s="94">
        <f t="shared" si="25"/>
        <v>0</v>
      </c>
      <c r="K29" s="94">
        <f t="shared" si="25"/>
        <v>0.15000000000000002</v>
      </c>
      <c r="L29" s="94">
        <f t="shared" si="25"/>
        <v>0</v>
      </c>
      <c r="M29" s="94">
        <f t="shared" si="25"/>
        <v>0.15000000000000002</v>
      </c>
      <c r="N29" s="94">
        <f t="shared" si="25"/>
        <v>0.15000000000000002</v>
      </c>
      <c r="O29" s="94">
        <f t="shared" si="25"/>
        <v>0.15000000000000002</v>
      </c>
      <c r="P29" s="94">
        <f t="shared" si="25"/>
        <v>0.15000000000000002</v>
      </c>
      <c r="Q29" s="94">
        <f t="shared" si="25"/>
        <v>0.15000000000000002</v>
      </c>
      <c r="R29" s="94">
        <f t="shared" si="25"/>
        <v>0.15000000000000002</v>
      </c>
      <c r="S29" s="94">
        <f t="shared" si="25"/>
        <v>0.15000000000000002</v>
      </c>
      <c r="T29" s="94">
        <f t="shared" si="25"/>
        <v>5.0000000000000044E-2</v>
      </c>
      <c r="U29" s="94">
        <f t="shared" si="25"/>
        <v>0.15000000000000002</v>
      </c>
      <c r="V29" s="94">
        <f t="shared" si="25"/>
        <v>0.15000000000000002</v>
      </c>
      <c r="W29" s="94">
        <f t="shared" si="25"/>
        <v>0.15000000000000002</v>
      </c>
      <c r="X29" s="94">
        <f t="shared" si="25"/>
        <v>0.15000000000000002</v>
      </c>
      <c r="Y29" s="94">
        <f t="shared" si="25"/>
        <v>0.15000000000000002</v>
      </c>
      <c r="Z29" s="94">
        <f t="shared" si="25"/>
        <v>0.15000000000000002</v>
      </c>
      <c r="AA29" s="94">
        <f t="shared" si="25"/>
        <v>0.15000000000000002</v>
      </c>
      <c r="AB29" s="94">
        <f t="shared" si="25"/>
        <v>0.15000000000000002</v>
      </c>
      <c r="AC29" s="94">
        <f t="shared" si="25"/>
        <v>0</v>
      </c>
      <c r="AD29" s="94">
        <f t="shared" si="25"/>
        <v>0.15000000000000002</v>
      </c>
      <c r="AE29" s="94">
        <f t="shared" si="25"/>
        <v>0.15000000000000002</v>
      </c>
      <c r="AF29" s="94">
        <f t="shared" si="25"/>
        <v>0.15000000000000002</v>
      </c>
      <c r="AG29" s="94">
        <f t="shared" si="25"/>
        <v>0.15000000000000002</v>
      </c>
      <c r="AH29" s="94">
        <f t="shared" si="25"/>
        <v>0.15000000000000002</v>
      </c>
      <c r="AI29" s="94">
        <f t="shared" si="25"/>
        <v>0.15000000000000002</v>
      </c>
      <c r="AJ29" s="94">
        <f t="shared" si="25"/>
        <v>0</v>
      </c>
      <c r="AK29" s="94">
        <f t="shared" si="25"/>
        <v>0.15000000000000002</v>
      </c>
      <c r="AL29" s="94">
        <f t="shared" si="25"/>
        <v>0.15000000000000002</v>
      </c>
      <c r="AM29" s="94">
        <f t="shared" si="25"/>
        <v>0.15000000000000002</v>
      </c>
      <c r="AN29" s="94">
        <f t="shared" si="25"/>
        <v>0.15000000000000002</v>
      </c>
      <c r="AO29" s="94">
        <f t="shared" si="25"/>
        <v>0.15000000000000002</v>
      </c>
      <c r="AP29" s="94">
        <f t="shared" si="25"/>
        <v>0.15000000000000002</v>
      </c>
      <c r="AQ29" s="94">
        <f t="shared" si="25"/>
        <v>0.15000000000000002</v>
      </c>
      <c r="AR29" s="94">
        <f t="shared" si="25"/>
        <v>0.15000000000000002</v>
      </c>
      <c r="AS29" s="94">
        <f t="shared" si="25"/>
        <v>0</v>
      </c>
      <c r="AT29" s="94">
        <f t="shared" si="25"/>
        <v>0.15000000000000002</v>
      </c>
      <c r="AU29" s="94">
        <f t="shared" si="25"/>
        <v>0.15000000000000002</v>
      </c>
      <c r="AV29" s="94">
        <f t="shared" si="25"/>
        <v>0.15000000000000002</v>
      </c>
      <c r="AW29" s="94">
        <f t="shared" si="25"/>
        <v>0.15000000000000002</v>
      </c>
      <c r="AX29" s="94">
        <f t="shared" si="25"/>
        <v>0.15000000000000002</v>
      </c>
      <c r="AY29" s="94">
        <f t="shared" si="25"/>
        <v>0.15000000000000002</v>
      </c>
      <c r="AZ29" s="94">
        <f t="shared" si="25"/>
        <v>0.15000000000000002</v>
      </c>
      <c r="BA29" s="94">
        <f t="shared" si="25"/>
        <v>0.15000000000000002</v>
      </c>
      <c r="BB29" s="94">
        <f t="shared" si="25"/>
        <v>0.15000000000000002</v>
      </c>
      <c r="BC29" s="94">
        <f t="shared" si="25"/>
        <v>0.15000000000000002</v>
      </c>
      <c r="BD29" s="94">
        <f t="shared" si="25"/>
        <v>0.15000000000000002</v>
      </c>
      <c r="BE29" s="94">
        <f t="shared" si="25"/>
        <v>0.15000000000000002</v>
      </c>
      <c r="BF29" s="94">
        <f t="shared" si="25"/>
        <v>0.15000000000000002</v>
      </c>
      <c r="BG29" s="94">
        <f t="shared" si="25"/>
        <v>0.15000000000000002</v>
      </c>
      <c r="BH29" s="94">
        <f t="shared" si="25"/>
        <v>0.15000000000000002</v>
      </c>
      <c r="BI29" s="94">
        <f t="shared" si="25"/>
        <v>0.15000000000000002</v>
      </c>
      <c r="BJ29" s="94">
        <f t="shared" si="25"/>
        <v>0.15000000000000002</v>
      </c>
      <c r="BK29" s="94">
        <f t="shared" si="25"/>
        <v>0.15000000000000002</v>
      </c>
      <c r="BL29" s="94">
        <f t="shared" si="25"/>
        <v>0.15000000000000002</v>
      </c>
      <c r="BM29" s="94">
        <f t="shared" si="25"/>
        <v>0.15000000000000002</v>
      </c>
      <c r="BN29" s="94">
        <f t="shared" si="25"/>
        <v>0.15000000000000002</v>
      </c>
      <c r="BO29" s="94">
        <f t="shared" si="25"/>
        <v>0.15000000000000002</v>
      </c>
      <c r="BP29" s="94">
        <f t="shared" si="25"/>
        <v>0.15000000000000002</v>
      </c>
      <c r="BQ29" s="94">
        <f t="shared" ref="BQ29:EB29" si="26">BQ28-BQ27</f>
        <v>0.15000000000000002</v>
      </c>
      <c r="BR29" s="94">
        <f t="shared" si="26"/>
        <v>0</v>
      </c>
      <c r="BS29" s="94">
        <f t="shared" si="26"/>
        <v>0.15000000000000002</v>
      </c>
      <c r="BT29" s="94">
        <f t="shared" si="26"/>
        <v>0</v>
      </c>
      <c r="BU29" s="94">
        <f t="shared" si="26"/>
        <v>0.15000000000000002</v>
      </c>
      <c r="BV29" s="94">
        <f t="shared" si="26"/>
        <v>0.15000000000000002</v>
      </c>
      <c r="BW29" s="94">
        <f t="shared" si="26"/>
        <v>0.15000000000000002</v>
      </c>
      <c r="BX29" s="94">
        <f t="shared" si="26"/>
        <v>0.15000000000000002</v>
      </c>
      <c r="BY29" s="94">
        <f t="shared" si="26"/>
        <v>0.15000000000000002</v>
      </c>
      <c r="BZ29" s="94">
        <f t="shared" si="26"/>
        <v>0.15000000000000002</v>
      </c>
      <c r="CA29" s="94">
        <f t="shared" si="26"/>
        <v>0.15000000000000002</v>
      </c>
      <c r="CB29" s="94">
        <f t="shared" si="26"/>
        <v>0.15000000000000002</v>
      </c>
      <c r="CC29" s="94">
        <f t="shared" si="26"/>
        <v>0.15000000000000002</v>
      </c>
      <c r="CD29" s="94">
        <f t="shared" si="26"/>
        <v>0</v>
      </c>
      <c r="CE29" s="94">
        <f t="shared" si="26"/>
        <v>0.15000000000000002</v>
      </c>
      <c r="CF29" s="94">
        <f t="shared" si="26"/>
        <v>0.15000000000000002</v>
      </c>
      <c r="CG29" s="94">
        <f t="shared" si="26"/>
        <v>0.15000000000000002</v>
      </c>
      <c r="CH29" s="94">
        <f t="shared" si="26"/>
        <v>0.15000000000000002</v>
      </c>
      <c r="CI29" s="94">
        <f t="shared" si="26"/>
        <v>0</v>
      </c>
      <c r="CJ29" s="94">
        <f t="shared" si="26"/>
        <v>5.0000000000000044E-2</v>
      </c>
      <c r="CK29" s="94">
        <f t="shared" si="26"/>
        <v>0.15000000000000002</v>
      </c>
      <c r="CL29" s="94">
        <f t="shared" si="26"/>
        <v>0.15000000000000002</v>
      </c>
      <c r="CM29" s="94">
        <f t="shared" si="26"/>
        <v>0</v>
      </c>
      <c r="CN29" s="94">
        <f t="shared" si="26"/>
        <v>0.15000000000000002</v>
      </c>
      <c r="CO29" s="94">
        <f t="shared" si="26"/>
        <v>0.15000000000000002</v>
      </c>
      <c r="CP29" s="94">
        <f t="shared" si="26"/>
        <v>0.15000000000000002</v>
      </c>
      <c r="CQ29" s="94">
        <f t="shared" si="26"/>
        <v>0</v>
      </c>
      <c r="CR29" s="94">
        <f t="shared" si="26"/>
        <v>0.15000000000000002</v>
      </c>
      <c r="CS29" s="94">
        <f t="shared" si="26"/>
        <v>0.15000000000000002</v>
      </c>
      <c r="CT29" s="94">
        <f t="shared" si="26"/>
        <v>0.15000000000000002</v>
      </c>
      <c r="CU29" s="94">
        <f t="shared" si="26"/>
        <v>0.15000000000000002</v>
      </c>
      <c r="CV29" s="94">
        <f t="shared" si="26"/>
        <v>0.15000000000000002</v>
      </c>
      <c r="CW29" s="94">
        <f t="shared" si="26"/>
        <v>0.15000000000000002</v>
      </c>
      <c r="CX29" s="94">
        <f t="shared" si="26"/>
        <v>0</v>
      </c>
      <c r="CY29" s="94">
        <f t="shared" si="26"/>
        <v>0.15000000000000002</v>
      </c>
      <c r="CZ29" s="94">
        <f t="shared" si="26"/>
        <v>0.15000000000000002</v>
      </c>
      <c r="DA29" s="94">
        <f t="shared" si="26"/>
        <v>0.15000000000000002</v>
      </c>
      <c r="DB29" s="94">
        <f t="shared" si="26"/>
        <v>0</v>
      </c>
      <c r="DC29" s="94">
        <f t="shared" si="26"/>
        <v>0.15000000000000002</v>
      </c>
      <c r="DD29" s="94">
        <f t="shared" si="26"/>
        <v>0.15000000000000002</v>
      </c>
      <c r="DE29" s="94">
        <f t="shared" si="26"/>
        <v>0.15000000000000002</v>
      </c>
      <c r="DF29" s="94">
        <f t="shared" si="26"/>
        <v>0</v>
      </c>
      <c r="DG29" s="94">
        <f t="shared" si="26"/>
        <v>0.15000000000000002</v>
      </c>
      <c r="DH29" s="94">
        <f t="shared" si="26"/>
        <v>0.15000000000000002</v>
      </c>
      <c r="DI29" s="94">
        <f t="shared" si="26"/>
        <v>0.15000000000000002</v>
      </c>
      <c r="DJ29" s="94">
        <f t="shared" si="26"/>
        <v>0.15000000000000002</v>
      </c>
      <c r="DK29" s="94">
        <f t="shared" si="26"/>
        <v>5.0000000000000044E-2</v>
      </c>
      <c r="DL29" s="94">
        <f t="shared" si="26"/>
        <v>0.15000000000000002</v>
      </c>
      <c r="DM29" s="94">
        <f t="shared" si="26"/>
        <v>0.15000000000000002</v>
      </c>
      <c r="DN29" s="94">
        <f t="shared" si="26"/>
        <v>0.15000000000000002</v>
      </c>
      <c r="DO29" s="94">
        <f t="shared" si="26"/>
        <v>0.15000000000000002</v>
      </c>
      <c r="DP29" s="94">
        <f t="shared" si="26"/>
        <v>0.15000000000000002</v>
      </c>
      <c r="DQ29" s="94">
        <f t="shared" si="26"/>
        <v>0.15000000000000002</v>
      </c>
      <c r="DR29" s="94">
        <f t="shared" si="26"/>
        <v>0.15000000000000002</v>
      </c>
      <c r="DS29" s="94">
        <f t="shared" si="26"/>
        <v>0.15000000000000002</v>
      </c>
      <c r="DT29" s="94">
        <f t="shared" si="26"/>
        <v>0.15000000000000002</v>
      </c>
      <c r="DU29" s="94">
        <f t="shared" si="26"/>
        <v>0.15000000000000002</v>
      </c>
      <c r="DV29" s="94">
        <f t="shared" si="26"/>
        <v>0.15000000000000002</v>
      </c>
      <c r="DW29" s="94">
        <f t="shared" si="26"/>
        <v>0.15000000000000002</v>
      </c>
      <c r="DX29" s="94">
        <f t="shared" si="26"/>
        <v>0.15000000000000002</v>
      </c>
      <c r="DY29" s="94">
        <f t="shared" si="26"/>
        <v>0.15000000000000002</v>
      </c>
      <c r="DZ29" s="94">
        <f t="shared" si="26"/>
        <v>0.15000000000000002</v>
      </c>
      <c r="EA29" s="94">
        <f t="shared" si="26"/>
        <v>0.15000000000000002</v>
      </c>
      <c r="EB29" s="94">
        <f t="shared" si="26"/>
        <v>0.15000000000000002</v>
      </c>
      <c r="EC29" s="94">
        <f t="shared" ref="EC29:FB29" si="27">EC28-EC27</f>
        <v>0.15000000000000002</v>
      </c>
      <c r="ED29" s="94">
        <f t="shared" si="27"/>
        <v>0.15000000000000002</v>
      </c>
      <c r="EE29" s="94">
        <f t="shared" si="27"/>
        <v>0.15000000000000002</v>
      </c>
      <c r="EF29" s="94">
        <f t="shared" si="27"/>
        <v>0.15000000000000002</v>
      </c>
      <c r="EG29" s="94">
        <f t="shared" si="27"/>
        <v>0.15000000000000002</v>
      </c>
      <c r="EH29" s="94">
        <f t="shared" si="27"/>
        <v>0.15000000000000002</v>
      </c>
      <c r="EI29" s="94">
        <f t="shared" si="27"/>
        <v>0.15000000000000002</v>
      </c>
      <c r="EJ29" s="94">
        <f t="shared" si="27"/>
        <v>0.15000000000000002</v>
      </c>
      <c r="EK29" s="94">
        <f t="shared" si="27"/>
        <v>0.15000000000000002</v>
      </c>
      <c r="EL29" s="94">
        <f t="shared" si="27"/>
        <v>0.15000000000000002</v>
      </c>
      <c r="EM29" s="94">
        <f t="shared" si="27"/>
        <v>0.15000000000000002</v>
      </c>
      <c r="EN29" s="94">
        <f t="shared" si="27"/>
        <v>0.15000000000000002</v>
      </c>
      <c r="EO29" s="94">
        <f t="shared" si="27"/>
        <v>0.15000000000000002</v>
      </c>
      <c r="EP29" s="94">
        <f t="shared" si="27"/>
        <v>0.15000000000000002</v>
      </c>
      <c r="EQ29" s="94">
        <f t="shared" si="27"/>
        <v>0.15000000000000002</v>
      </c>
      <c r="ER29" s="94">
        <f t="shared" si="27"/>
        <v>0.15000000000000002</v>
      </c>
      <c r="ES29" s="94">
        <f t="shared" si="27"/>
        <v>0.15000000000000002</v>
      </c>
      <c r="ET29" s="94">
        <f t="shared" si="27"/>
        <v>0.15000000000000002</v>
      </c>
      <c r="EU29" s="94">
        <f t="shared" si="27"/>
        <v>0.15000000000000002</v>
      </c>
      <c r="EV29" s="94">
        <f t="shared" si="27"/>
        <v>0.15000000000000002</v>
      </c>
      <c r="EW29" s="94">
        <f t="shared" si="27"/>
        <v>0.15000000000000002</v>
      </c>
      <c r="EX29" s="94">
        <f t="shared" si="27"/>
        <v>0.15000000000000002</v>
      </c>
      <c r="EY29" s="94">
        <f t="shared" si="27"/>
        <v>0.15000000000000002</v>
      </c>
      <c r="EZ29" s="94">
        <f t="shared" si="27"/>
        <v>0.15000000000000002</v>
      </c>
      <c r="FA29" s="94">
        <f t="shared" si="27"/>
        <v>0</v>
      </c>
      <c r="FB29" s="94">
        <f t="shared" si="27"/>
        <v>0.15000000000000002</v>
      </c>
      <c r="FC29" s="94">
        <f t="shared" ref="FC29:FD29" si="28">FC28-FC27</f>
        <v>0</v>
      </c>
      <c r="FD29" s="94">
        <f t="shared" si="28"/>
        <v>0.15000000000000002</v>
      </c>
      <c r="FE29" s="94">
        <f t="shared" ref="FE29:GL29" si="29">FE28-FE27</f>
        <v>0.15000000000000002</v>
      </c>
      <c r="FF29" s="94">
        <f t="shared" si="29"/>
        <v>0.15000000000000002</v>
      </c>
      <c r="FG29" s="94">
        <f t="shared" si="29"/>
        <v>0.15000000000000002</v>
      </c>
      <c r="FH29" s="94">
        <f t="shared" si="29"/>
        <v>0</v>
      </c>
      <c r="FI29" s="94">
        <f t="shared" si="29"/>
        <v>0.15000000000000002</v>
      </c>
      <c r="FJ29" s="94">
        <f t="shared" si="29"/>
        <v>0.15000000000000002</v>
      </c>
      <c r="FK29" s="94">
        <f t="shared" si="29"/>
        <v>0.15000000000000002</v>
      </c>
      <c r="FL29" s="94">
        <f t="shared" si="29"/>
        <v>0.15000000000000002</v>
      </c>
      <c r="FM29" s="94">
        <f t="shared" si="29"/>
        <v>0.15000000000000002</v>
      </c>
      <c r="FN29" s="94">
        <f t="shared" si="29"/>
        <v>0.15000000000000002</v>
      </c>
      <c r="FO29" s="94">
        <f t="shared" si="29"/>
        <v>0.15000000000000002</v>
      </c>
      <c r="FP29" s="94">
        <f t="shared" si="29"/>
        <v>0.15000000000000002</v>
      </c>
      <c r="FQ29" s="94">
        <f t="shared" si="29"/>
        <v>0.15000000000000002</v>
      </c>
      <c r="FR29" s="94">
        <f t="shared" si="29"/>
        <v>0.15000000000000002</v>
      </c>
      <c r="FS29" s="94">
        <f t="shared" si="29"/>
        <v>0.15000000000000002</v>
      </c>
      <c r="FT29" s="94">
        <f t="shared" si="29"/>
        <v>0.15000000000000002</v>
      </c>
      <c r="FU29" s="94">
        <f t="shared" si="29"/>
        <v>0</v>
      </c>
      <c r="FV29" s="94">
        <f t="shared" si="29"/>
        <v>0.15000000000000002</v>
      </c>
      <c r="FW29" s="94">
        <f t="shared" si="29"/>
        <v>0.15000000000000002</v>
      </c>
      <c r="FX29" s="94">
        <f t="shared" si="29"/>
        <v>0.15000000000000002</v>
      </c>
      <c r="FY29" s="94">
        <f t="shared" si="29"/>
        <v>0.15000000000000002</v>
      </c>
      <c r="FZ29" s="94">
        <f t="shared" si="29"/>
        <v>0.15000000000000002</v>
      </c>
      <c r="GA29" s="94">
        <f t="shared" si="29"/>
        <v>0.15000000000000002</v>
      </c>
      <c r="GB29" s="94">
        <f t="shared" si="29"/>
        <v>0.15000000000000002</v>
      </c>
      <c r="GC29" s="94">
        <f t="shared" si="29"/>
        <v>0</v>
      </c>
      <c r="GD29" s="94">
        <f t="shared" si="29"/>
        <v>0.15000000000000002</v>
      </c>
      <c r="GE29" s="94">
        <f t="shared" si="29"/>
        <v>0.15000000000000002</v>
      </c>
      <c r="GF29" s="94">
        <f t="shared" si="29"/>
        <v>0.15000000000000002</v>
      </c>
      <c r="GG29" s="94">
        <f t="shared" si="29"/>
        <v>0.15000000000000002</v>
      </c>
      <c r="GH29" s="94">
        <f t="shared" si="29"/>
        <v>0.15000000000000002</v>
      </c>
      <c r="GI29" s="94">
        <f t="shared" si="29"/>
        <v>0.15000000000000002</v>
      </c>
      <c r="GJ29" s="94">
        <f t="shared" si="29"/>
        <v>0.15000000000000002</v>
      </c>
      <c r="GK29" s="94">
        <f t="shared" si="29"/>
        <v>0.15000000000000002</v>
      </c>
      <c r="GL29" s="94">
        <f t="shared" si="29"/>
        <v>0.15000000000000002</v>
      </c>
      <c r="GM29" s="94">
        <f t="shared" ref="GM29:GV29" si="30">GM28-GM27</f>
        <v>9.9999999999999978E-2</v>
      </c>
      <c r="GN29" s="94">
        <f t="shared" si="30"/>
        <v>0.15000000000000002</v>
      </c>
      <c r="GO29" s="94">
        <f t="shared" si="30"/>
        <v>0.15000000000000002</v>
      </c>
      <c r="GP29" s="94">
        <f t="shared" si="30"/>
        <v>0.15000000000000002</v>
      </c>
      <c r="GQ29" s="94">
        <f t="shared" si="30"/>
        <v>0</v>
      </c>
      <c r="GR29" s="94">
        <f t="shared" si="30"/>
        <v>0.15000000000000002</v>
      </c>
      <c r="GS29" s="94">
        <f t="shared" si="30"/>
        <v>0.15000000000000002</v>
      </c>
      <c r="GT29" s="94">
        <f t="shared" si="30"/>
        <v>0.15000000000000002</v>
      </c>
      <c r="GU29" s="94">
        <f t="shared" si="30"/>
        <v>0.15000000000000002</v>
      </c>
      <c r="GV29" s="94">
        <f t="shared" si="30"/>
        <v>0.15000000000000002</v>
      </c>
    </row>
    <row r="30" spans="1:204" ht="14.45" thickBot="1">
      <c r="A30" s="95" t="s">
        <v>363</v>
      </c>
      <c r="B30" s="244">
        <f>SUM(D30:GV30)</f>
        <v>7079.2000000000016</v>
      </c>
      <c r="C30" s="245"/>
      <c r="D30" s="93">
        <f>(D29*D2+D29*D3+D29*D4+D29*D5+D29*D6+D29*D8+D29*D9+D10*D29+D11*D29+D12*D29+D13*D29+D14*D29+D15*D29+D16*D29+D17*D29+D18*D29+D29*D19+D29*D20+D29*D21+D29*D22+D29*D23+D29*D24)+D7*$B$7</f>
        <v>0</v>
      </c>
      <c r="E30" s="93">
        <f t="shared" ref="E30:BP30" si="31">(E29*E2+E29*E3+E29*E4+E29*E5+E29*E6+E29*E8+E29*E9+E10*E29+E11*E29+E12*E29+E13*E29+E14*E29+E15*E29+E16*E29+E17*E29+E18*E29+E29*E19+E29*E20+E29*E21+E29*E22+E29*E23+E29*E24)+E7*$B$7</f>
        <v>56.35</v>
      </c>
      <c r="F30" s="93">
        <f t="shared" si="31"/>
        <v>0</v>
      </c>
      <c r="G30" s="93">
        <f t="shared" si="31"/>
        <v>2.4000000000000004</v>
      </c>
      <c r="H30" s="93">
        <f t="shared" si="31"/>
        <v>0</v>
      </c>
      <c r="I30" s="93">
        <f t="shared" si="31"/>
        <v>0</v>
      </c>
      <c r="J30" s="93">
        <f t="shared" si="31"/>
        <v>0</v>
      </c>
      <c r="K30" s="93">
        <f t="shared" si="31"/>
        <v>0</v>
      </c>
      <c r="L30" s="93">
        <f t="shared" si="31"/>
        <v>0</v>
      </c>
      <c r="M30" s="93">
        <f t="shared" si="31"/>
        <v>0</v>
      </c>
      <c r="N30" s="93">
        <f t="shared" si="31"/>
        <v>63.150000000000006</v>
      </c>
      <c r="O30" s="93">
        <f t="shared" si="31"/>
        <v>100.80000000000003</v>
      </c>
      <c r="P30" s="93">
        <f t="shared" si="31"/>
        <v>0</v>
      </c>
      <c r="Q30" s="93">
        <f t="shared" si="31"/>
        <v>0</v>
      </c>
      <c r="R30" s="93">
        <f t="shared" si="31"/>
        <v>0</v>
      </c>
      <c r="S30" s="93">
        <f t="shared" si="31"/>
        <v>126.30000000000001</v>
      </c>
      <c r="T30" s="93">
        <f t="shared" si="31"/>
        <v>150.15000000000012</v>
      </c>
      <c r="U30" s="93">
        <f t="shared" si="31"/>
        <v>3.0000000000000004</v>
      </c>
      <c r="V30" s="93">
        <f t="shared" si="31"/>
        <v>0</v>
      </c>
      <c r="W30" s="93">
        <f t="shared" si="31"/>
        <v>0</v>
      </c>
      <c r="X30" s="93">
        <f t="shared" si="31"/>
        <v>0</v>
      </c>
      <c r="Y30" s="93">
        <f t="shared" si="31"/>
        <v>0</v>
      </c>
      <c r="Z30" s="93">
        <f t="shared" si="31"/>
        <v>122.10000000000001</v>
      </c>
      <c r="AA30" s="93">
        <f t="shared" si="31"/>
        <v>0</v>
      </c>
      <c r="AB30" s="93">
        <f t="shared" si="31"/>
        <v>0</v>
      </c>
      <c r="AC30" s="93">
        <f t="shared" si="31"/>
        <v>0</v>
      </c>
      <c r="AD30" s="93">
        <f t="shared" si="31"/>
        <v>153.15000000000003</v>
      </c>
      <c r="AE30" s="93">
        <f t="shared" si="31"/>
        <v>18.450000000000003</v>
      </c>
      <c r="AF30" s="93">
        <f t="shared" si="31"/>
        <v>0</v>
      </c>
      <c r="AG30" s="93">
        <f t="shared" si="31"/>
        <v>0</v>
      </c>
      <c r="AH30" s="93">
        <f t="shared" si="31"/>
        <v>7.3500000000000014</v>
      </c>
      <c r="AI30" s="93">
        <f t="shared" si="31"/>
        <v>0</v>
      </c>
      <c r="AJ30" s="93">
        <f t="shared" si="31"/>
        <v>0</v>
      </c>
      <c r="AK30" s="93">
        <f t="shared" si="31"/>
        <v>15.600000000000001</v>
      </c>
      <c r="AL30" s="93">
        <f t="shared" si="31"/>
        <v>0</v>
      </c>
      <c r="AM30" s="93">
        <f t="shared" si="31"/>
        <v>0</v>
      </c>
      <c r="AN30" s="93">
        <f t="shared" si="31"/>
        <v>0</v>
      </c>
      <c r="AO30" s="93">
        <f t="shared" si="31"/>
        <v>4.9500000000000011</v>
      </c>
      <c r="AP30" s="93">
        <f t="shared" si="31"/>
        <v>0</v>
      </c>
      <c r="AQ30" s="93">
        <f t="shared" si="31"/>
        <v>0</v>
      </c>
      <c r="AR30" s="93">
        <f t="shared" si="31"/>
        <v>0</v>
      </c>
      <c r="AS30" s="93">
        <f t="shared" si="31"/>
        <v>0</v>
      </c>
      <c r="AT30" s="93">
        <f t="shared" si="31"/>
        <v>0</v>
      </c>
      <c r="AU30" s="93">
        <f t="shared" si="31"/>
        <v>25.650000000000006</v>
      </c>
      <c r="AV30" s="93">
        <f t="shared" si="31"/>
        <v>10.8</v>
      </c>
      <c r="AW30" s="93">
        <f t="shared" si="31"/>
        <v>123.90000000000002</v>
      </c>
      <c r="AX30" s="93">
        <f t="shared" si="31"/>
        <v>169.65000000000003</v>
      </c>
      <c r="AY30" s="93">
        <f t="shared" si="31"/>
        <v>8.7000000000000011</v>
      </c>
      <c r="AZ30" s="93">
        <f t="shared" si="31"/>
        <v>0</v>
      </c>
      <c r="BA30" s="93">
        <f t="shared" si="31"/>
        <v>206.10000000000002</v>
      </c>
      <c r="BB30" s="93">
        <f t="shared" si="31"/>
        <v>0</v>
      </c>
      <c r="BC30" s="93">
        <f t="shared" si="31"/>
        <v>47.100000000000009</v>
      </c>
      <c r="BD30" s="93">
        <f t="shared" si="31"/>
        <v>487.59999999999997</v>
      </c>
      <c r="BE30" s="93">
        <f t="shared" si="31"/>
        <v>127.1</v>
      </c>
      <c r="BF30" s="93">
        <f t="shared" si="31"/>
        <v>0</v>
      </c>
      <c r="BG30" s="93">
        <f t="shared" si="31"/>
        <v>0</v>
      </c>
      <c r="BH30" s="93">
        <f t="shared" si="31"/>
        <v>15.450000000000003</v>
      </c>
      <c r="BI30" s="93">
        <f t="shared" si="31"/>
        <v>120.00000000000001</v>
      </c>
      <c r="BJ30" s="93">
        <f t="shared" si="31"/>
        <v>0</v>
      </c>
      <c r="BK30" s="93">
        <f t="shared" si="31"/>
        <v>0</v>
      </c>
      <c r="BL30" s="93">
        <f t="shared" si="31"/>
        <v>0</v>
      </c>
      <c r="BM30" s="93">
        <f t="shared" si="31"/>
        <v>0</v>
      </c>
      <c r="BN30" s="93">
        <f t="shared" si="31"/>
        <v>73.800000000000011</v>
      </c>
      <c r="BO30" s="93">
        <f t="shared" si="31"/>
        <v>0</v>
      </c>
      <c r="BP30" s="93">
        <f t="shared" si="31"/>
        <v>0</v>
      </c>
      <c r="BQ30" s="93">
        <f t="shared" ref="BQ30:EB30" si="32">(BQ29*BQ2+BQ29*BQ3+BQ29*BQ4+BQ29*BQ5+BQ29*BQ6+BQ29*BQ8+BQ29*BQ9+BQ10*BQ29+BQ11*BQ29+BQ12*BQ29+BQ13*BQ29+BQ14*BQ29+BQ15*BQ29+BQ16*BQ29+BQ17*BQ29+BQ18*BQ29+BQ29*BQ19+BQ29*BQ20+BQ29*BQ21+BQ29*BQ22+BQ29*BQ23+BQ29*BQ24)+BQ7*$B$7</f>
        <v>0</v>
      </c>
      <c r="BR30" s="93">
        <f t="shared" si="32"/>
        <v>0</v>
      </c>
      <c r="BS30" s="93">
        <f t="shared" si="32"/>
        <v>51.000000000000007</v>
      </c>
      <c r="BT30" s="93">
        <f t="shared" si="32"/>
        <v>0</v>
      </c>
      <c r="BU30" s="93">
        <f t="shared" si="32"/>
        <v>0</v>
      </c>
      <c r="BV30" s="93">
        <f t="shared" si="32"/>
        <v>0</v>
      </c>
      <c r="BW30" s="93">
        <f t="shared" si="32"/>
        <v>0</v>
      </c>
      <c r="BX30" s="93">
        <f t="shared" si="32"/>
        <v>0</v>
      </c>
      <c r="BY30" s="93">
        <f t="shared" si="32"/>
        <v>0</v>
      </c>
      <c r="BZ30" s="93">
        <f t="shared" si="32"/>
        <v>13.200000000000003</v>
      </c>
      <c r="CA30" s="93">
        <f t="shared" si="32"/>
        <v>0</v>
      </c>
      <c r="CB30" s="93">
        <f t="shared" si="32"/>
        <v>0</v>
      </c>
      <c r="CC30" s="93">
        <f t="shared" si="32"/>
        <v>72.150000000000006</v>
      </c>
      <c r="CD30" s="93">
        <f t="shared" si="32"/>
        <v>284.2</v>
      </c>
      <c r="CE30" s="93">
        <f t="shared" si="32"/>
        <v>0</v>
      </c>
      <c r="CF30" s="93">
        <f t="shared" si="32"/>
        <v>25.500000000000004</v>
      </c>
      <c r="CG30" s="93">
        <f t="shared" si="32"/>
        <v>0</v>
      </c>
      <c r="CH30" s="93">
        <f t="shared" si="32"/>
        <v>144.75000000000003</v>
      </c>
      <c r="CI30" s="93">
        <f t="shared" si="32"/>
        <v>0</v>
      </c>
      <c r="CJ30" s="93">
        <f t="shared" si="32"/>
        <v>0</v>
      </c>
      <c r="CK30" s="93">
        <f t="shared" si="32"/>
        <v>0</v>
      </c>
      <c r="CL30" s="93">
        <f t="shared" si="32"/>
        <v>0</v>
      </c>
      <c r="CM30" s="93">
        <f t="shared" si="32"/>
        <v>0</v>
      </c>
      <c r="CN30" s="93">
        <f t="shared" si="32"/>
        <v>120.90000000000002</v>
      </c>
      <c r="CO30" s="93">
        <f t="shared" si="32"/>
        <v>3.6000000000000005</v>
      </c>
      <c r="CP30" s="93">
        <f t="shared" si="32"/>
        <v>0</v>
      </c>
      <c r="CQ30" s="93">
        <f t="shared" si="32"/>
        <v>0</v>
      </c>
      <c r="CR30" s="93">
        <f t="shared" si="32"/>
        <v>0</v>
      </c>
      <c r="CS30" s="93">
        <f t="shared" si="32"/>
        <v>16.05</v>
      </c>
      <c r="CT30" s="93">
        <f t="shared" si="32"/>
        <v>149.4</v>
      </c>
      <c r="CU30" s="93">
        <f t="shared" si="32"/>
        <v>0</v>
      </c>
      <c r="CV30" s="93">
        <f t="shared" si="32"/>
        <v>17.100000000000001</v>
      </c>
      <c r="CW30" s="93">
        <f t="shared" si="32"/>
        <v>0</v>
      </c>
      <c r="CX30" s="93">
        <f t="shared" si="32"/>
        <v>0</v>
      </c>
      <c r="CY30" s="93">
        <f t="shared" si="32"/>
        <v>16.350000000000001</v>
      </c>
      <c r="CZ30" s="93">
        <f t="shared" si="32"/>
        <v>85.050000000000011</v>
      </c>
      <c r="DA30" s="93">
        <f t="shared" si="32"/>
        <v>111.90000000000002</v>
      </c>
      <c r="DB30" s="93">
        <f t="shared" si="32"/>
        <v>0</v>
      </c>
      <c r="DC30" s="93">
        <f t="shared" si="32"/>
        <v>0</v>
      </c>
      <c r="DD30" s="93">
        <f t="shared" si="32"/>
        <v>74.40000000000002</v>
      </c>
      <c r="DE30" s="93">
        <f t="shared" si="32"/>
        <v>4.5000000000000009</v>
      </c>
      <c r="DF30" s="93">
        <f t="shared" si="32"/>
        <v>0</v>
      </c>
      <c r="DG30" s="93">
        <f t="shared" si="32"/>
        <v>0</v>
      </c>
      <c r="DH30" s="93">
        <f t="shared" si="32"/>
        <v>0</v>
      </c>
      <c r="DI30" s="93">
        <f t="shared" si="32"/>
        <v>0</v>
      </c>
      <c r="DJ30" s="93">
        <f t="shared" si="32"/>
        <v>0</v>
      </c>
      <c r="DK30" s="93">
        <f t="shared" si="32"/>
        <v>0</v>
      </c>
      <c r="DL30" s="93">
        <f t="shared" si="32"/>
        <v>37.95000000000001</v>
      </c>
      <c r="DM30" s="93">
        <f t="shared" si="32"/>
        <v>0</v>
      </c>
      <c r="DN30" s="93">
        <f t="shared" si="32"/>
        <v>220.05000000000004</v>
      </c>
      <c r="DO30" s="93">
        <f t="shared" si="32"/>
        <v>20.100000000000001</v>
      </c>
      <c r="DP30" s="93">
        <f t="shared" si="32"/>
        <v>6.4500000000000011</v>
      </c>
      <c r="DQ30" s="93">
        <f t="shared" si="32"/>
        <v>0</v>
      </c>
      <c r="DR30" s="93">
        <f t="shared" si="32"/>
        <v>0</v>
      </c>
      <c r="DS30" s="93">
        <f t="shared" si="32"/>
        <v>146.70000000000002</v>
      </c>
      <c r="DT30" s="93">
        <f t="shared" si="32"/>
        <v>0</v>
      </c>
      <c r="DU30" s="93">
        <f t="shared" si="32"/>
        <v>57.750000000000007</v>
      </c>
      <c r="DV30" s="93">
        <f t="shared" si="32"/>
        <v>0</v>
      </c>
      <c r="DW30" s="93">
        <f t="shared" si="32"/>
        <v>0</v>
      </c>
      <c r="DX30" s="93">
        <f t="shared" si="32"/>
        <v>91.050000000000026</v>
      </c>
      <c r="DY30" s="93">
        <f t="shared" si="32"/>
        <v>119.85000000000002</v>
      </c>
      <c r="DZ30" s="93">
        <f t="shared" si="32"/>
        <v>79.350000000000009</v>
      </c>
      <c r="EA30" s="93">
        <f t="shared" si="32"/>
        <v>0</v>
      </c>
      <c r="EB30" s="93">
        <f t="shared" si="32"/>
        <v>128.65</v>
      </c>
      <c r="EC30" s="93">
        <f t="shared" ref="EC30:GN30" si="33">(EC29*EC2+EC29*EC3+EC29*EC4+EC29*EC5+EC29*EC6+EC29*EC8+EC29*EC9+EC10*EC29+EC11*EC29+EC12*EC29+EC13*EC29+EC14*EC29+EC15*EC29+EC16*EC29+EC17*EC29+EC18*EC29+EC29*EC19+EC29*EC20+EC29*EC21+EC29*EC22+EC29*EC23+EC29*EC24)+EC7*$B$7</f>
        <v>0</v>
      </c>
      <c r="ED30" s="93">
        <f t="shared" si="33"/>
        <v>0</v>
      </c>
      <c r="EE30" s="93">
        <f t="shared" si="33"/>
        <v>0</v>
      </c>
      <c r="EF30" s="93">
        <f t="shared" si="33"/>
        <v>0</v>
      </c>
      <c r="EG30" s="93">
        <f t="shared" si="33"/>
        <v>0</v>
      </c>
      <c r="EH30" s="93">
        <f t="shared" si="33"/>
        <v>23.55</v>
      </c>
      <c r="EI30" s="93">
        <f t="shared" si="33"/>
        <v>0</v>
      </c>
      <c r="EJ30" s="93">
        <f t="shared" si="33"/>
        <v>96.750000000000014</v>
      </c>
      <c r="EK30" s="93">
        <f t="shared" si="33"/>
        <v>154</v>
      </c>
      <c r="EL30" s="93">
        <f t="shared" si="33"/>
        <v>0</v>
      </c>
      <c r="EM30" s="93">
        <f t="shared" si="33"/>
        <v>0</v>
      </c>
      <c r="EN30" s="93">
        <f t="shared" si="33"/>
        <v>0</v>
      </c>
      <c r="EO30" s="93">
        <f t="shared" si="33"/>
        <v>109.35000000000002</v>
      </c>
      <c r="EP30" s="93">
        <f t="shared" si="33"/>
        <v>0</v>
      </c>
      <c r="EQ30" s="93">
        <f t="shared" si="33"/>
        <v>0</v>
      </c>
      <c r="ER30" s="93">
        <f t="shared" si="33"/>
        <v>58.350000000000009</v>
      </c>
      <c r="ES30" s="93">
        <f t="shared" si="33"/>
        <v>0</v>
      </c>
      <c r="ET30" s="93">
        <f t="shared" si="33"/>
        <v>0</v>
      </c>
      <c r="EU30" s="93">
        <f t="shared" si="33"/>
        <v>204.3</v>
      </c>
      <c r="EV30" s="93">
        <f t="shared" si="33"/>
        <v>204.60000000000002</v>
      </c>
      <c r="EW30" s="93">
        <f t="shared" si="33"/>
        <v>59.550000000000011</v>
      </c>
      <c r="EX30" s="93">
        <f t="shared" si="33"/>
        <v>79.500000000000014</v>
      </c>
      <c r="EY30" s="93">
        <f t="shared" si="33"/>
        <v>76.200000000000017</v>
      </c>
      <c r="EZ30" s="93">
        <f t="shared" si="33"/>
        <v>38.100000000000009</v>
      </c>
      <c r="FA30" s="93">
        <f t="shared" si="33"/>
        <v>0</v>
      </c>
      <c r="FB30" s="93">
        <f t="shared" si="33"/>
        <v>121.69999999999999</v>
      </c>
      <c r="FC30" s="93">
        <f t="shared" si="33"/>
        <v>0</v>
      </c>
      <c r="FD30" s="93">
        <f t="shared" si="33"/>
        <v>14.700000000000003</v>
      </c>
      <c r="FE30" s="93">
        <f t="shared" si="33"/>
        <v>0</v>
      </c>
      <c r="FF30" s="93">
        <f t="shared" si="33"/>
        <v>25.800000000000004</v>
      </c>
      <c r="FG30" s="93">
        <f t="shared" si="33"/>
        <v>0</v>
      </c>
      <c r="FH30" s="93">
        <f t="shared" si="33"/>
        <v>0</v>
      </c>
      <c r="FI30" s="93">
        <f t="shared" si="33"/>
        <v>0</v>
      </c>
      <c r="FJ30" s="93">
        <f t="shared" si="33"/>
        <v>0</v>
      </c>
      <c r="FK30" s="93">
        <f t="shared" si="33"/>
        <v>0</v>
      </c>
      <c r="FL30" s="93">
        <f t="shared" si="33"/>
        <v>0</v>
      </c>
      <c r="FM30" s="93">
        <f t="shared" si="33"/>
        <v>0</v>
      </c>
      <c r="FN30" s="93">
        <f t="shared" si="33"/>
        <v>0</v>
      </c>
      <c r="FO30" s="93">
        <f t="shared" si="33"/>
        <v>126.9</v>
      </c>
      <c r="FP30" s="93">
        <f t="shared" si="33"/>
        <v>0</v>
      </c>
      <c r="FQ30" s="93">
        <f t="shared" si="33"/>
        <v>245.40000000000003</v>
      </c>
      <c r="FR30" s="93">
        <f t="shared" si="33"/>
        <v>0</v>
      </c>
      <c r="FS30" s="93">
        <f t="shared" si="33"/>
        <v>137.69999999999999</v>
      </c>
      <c r="FT30" s="93">
        <f t="shared" si="33"/>
        <v>117.75000000000001</v>
      </c>
      <c r="FU30" s="93">
        <f t="shared" si="33"/>
        <v>0</v>
      </c>
      <c r="FV30" s="93">
        <f t="shared" si="33"/>
        <v>0</v>
      </c>
      <c r="FW30" s="93">
        <f t="shared" si="33"/>
        <v>0</v>
      </c>
      <c r="FX30" s="93">
        <f t="shared" si="33"/>
        <v>0</v>
      </c>
      <c r="FY30" s="93">
        <f t="shared" si="33"/>
        <v>0</v>
      </c>
      <c r="FZ30" s="93">
        <f t="shared" si="33"/>
        <v>120.60000000000002</v>
      </c>
      <c r="GA30" s="93">
        <f t="shared" si="33"/>
        <v>4.8000000000000007</v>
      </c>
      <c r="GB30" s="93">
        <f t="shared" si="33"/>
        <v>0.75000000000000011</v>
      </c>
      <c r="GC30" s="93">
        <f t="shared" si="33"/>
        <v>0</v>
      </c>
      <c r="GD30" s="93">
        <f t="shared" si="33"/>
        <v>0</v>
      </c>
      <c r="GE30" s="93">
        <f t="shared" si="33"/>
        <v>184.05000000000004</v>
      </c>
      <c r="GF30" s="93">
        <f t="shared" si="33"/>
        <v>97.050000000000011</v>
      </c>
      <c r="GG30" s="93">
        <f t="shared" si="33"/>
        <v>0</v>
      </c>
      <c r="GH30" s="93">
        <f t="shared" si="33"/>
        <v>0</v>
      </c>
      <c r="GI30" s="93">
        <f t="shared" si="33"/>
        <v>25.15</v>
      </c>
      <c r="GJ30" s="93">
        <f t="shared" si="33"/>
        <v>0</v>
      </c>
      <c r="GK30" s="93">
        <f t="shared" si="33"/>
        <v>162.15000000000003</v>
      </c>
      <c r="GL30" s="93">
        <f t="shared" si="33"/>
        <v>108.45000000000002</v>
      </c>
      <c r="GM30" s="93">
        <f t="shared" si="33"/>
        <v>0</v>
      </c>
      <c r="GN30" s="93">
        <f t="shared" si="33"/>
        <v>0</v>
      </c>
      <c r="GO30" s="93">
        <f t="shared" ref="GO30:GV30" si="34">(GO29*GO2+GO29*GO3+GO29*GO4+GO29*GO5+GO29*GO6+GO29*GO8+GO29*GO9+GO10*GO29+GO11*GO29+GO12*GO29+GO13*GO29+GO14*GO29+GO15*GO29+GO16*GO29+GO17*GO29+GO18*GO29+GO29*GO19+GO29*GO20+GO29*GO21+GO29*GO22+GO29*GO23+GO29*GO24)+GO7*$B$7</f>
        <v>144.45000000000002</v>
      </c>
      <c r="GP30" s="93">
        <f t="shared" si="34"/>
        <v>0</v>
      </c>
      <c r="GQ30" s="93">
        <f t="shared" si="34"/>
        <v>0</v>
      </c>
      <c r="GR30" s="93">
        <f t="shared" si="34"/>
        <v>0</v>
      </c>
      <c r="GS30" s="93">
        <f t="shared" si="34"/>
        <v>0</v>
      </c>
      <c r="GT30" s="93">
        <f t="shared" si="34"/>
        <v>0</v>
      </c>
      <c r="GU30" s="93">
        <f t="shared" si="34"/>
        <v>0</v>
      </c>
      <c r="GV30" s="93">
        <f t="shared" si="34"/>
        <v>0</v>
      </c>
    </row>
  </sheetData>
  <mergeCells count="5">
    <mergeCell ref="A26:C26"/>
    <mergeCell ref="A27:C27"/>
    <mergeCell ref="A28:C28"/>
    <mergeCell ref="B30:C30"/>
    <mergeCell ref="A29:C29"/>
  </mergeCells>
  <conditionalFormatting sqref="B2:B24">
    <cfRule type="cellIs" dxfId="8" priority="5" operator="greaterThan">
      <formula>0.65</formula>
    </cfRule>
  </conditionalFormatting>
  <conditionalFormatting sqref="D2:GV24">
    <cfRule type="cellIs" dxfId="7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EBE1-FEA2-459D-BBE4-1D86E541D773}">
  <dimension ref="A1:M43"/>
  <sheetViews>
    <sheetView workbookViewId="0">
      <pane xSplit="2" ySplit="1" topLeftCell="C23" activePane="bottomRight" state="frozen"/>
      <selection pane="bottomRight" activeCell="G39" sqref="G39"/>
      <selection pane="bottomLeft" activeCell="A2" sqref="A2"/>
      <selection pane="topRight" activeCell="C1" sqref="C1"/>
    </sheetView>
  </sheetViews>
  <sheetFormatPr defaultRowHeight="14.45"/>
  <cols>
    <col min="1" max="1" width="15.85546875" bestFit="1" customWidth="1"/>
    <col min="2" max="2" width="7.7109375" bestFit="1" customWidth="1"/>
    <col min="3" max="3" width="15.5703125" bestFit="1" customWidth="1"/>
    <col min="4" max="4" width="10.140625" bestFit="1" customWidth="1"/>
    <col min="5" max="5" width="10.85546875" bestFit="1" customWidth="1"/>
    <col min="6" max="6" width="20.28515625" bestFit="1" customWidth="1"/>
    <col min="7" max="7" width="12.5703125" bestFit="1" customWidth="1"/>
    <col min="8" max="8" width="13.42578125" bestFit="1" customWidth="1"/>
    <col min="9" max="9" width="11.28515625" bestFit="1" customWidth="1"/>
    <col min="10" max="10" width="11.7109375" bestFit="1" customWidth="1"/>
    <col min="11" max="11" width="27.42578125" bestFit="1" customWidth="1"/>
    <col min="12" max="12" width="11.7109375" bestFit="1" customWidth="1"/>
    <col min="13" max="13" width="10.7109375" bestFit="1" customWidth="1"/>
  </cols>
  <sheetData>
    <row r="1" spans="1:13">
      <c r="A1" s="17" t="s">
        <v>206</v>
      </c>
      <c r="B1" s="17" t="s">
        <v>207</v>
      </c>
      <c r="C1" s="113" t="s">
        <v>364</v>
      </c>
      <c r="D1" s="17" t="s">
        <v>228</v>
      </c>
      <c r="E1" s="17" t="s">
        <v>46</v>
      </c>
      <c r="F1" s="17" t="s">
        <v>365</v>
      </c>
      <c r="G1" s="17" t="s">
        <v>366</v>
      </c>
      <c r="H1" s="17" t="s">
        <v>94</v>
      </c>
      <c r="I1" s="17" t="s">
        <v>367</v>
      </c>
      <c r="J1" s="17" t="s">
        <v>130</v>
      </c>
      <c r="K1" s="17" t="s">
        <v>134</v>
      </c>
      <c r="L1" s="17" t="s">
        <v>178</v>
      </c>
      <c r="M1" s="17" t="s">
        <v>209</v>
      </c>
    </row>
    <row r="2" spans="1:13">
      <c r="A2" s="115">
        <v>45720</v>
      </c>
      <c r="B2" s="115" t="str">
        <f>TEXT(A2,"DDD")</f>
        <v>Tue</v>
      </c>
      <c r="C2" s="39">
        <v>106</v>
      </c>
      <c r="D2" s="39">
        <v>1</v>
      </c>
      <c r="E2" s="39">
        <v>51</v>
      </c>
      <c r="F2" s="39"/>
      <c r="G2" s="39">
        <v>50</v>
      </c>
      <c r="H2" s="39">
        <v>54</v>
      </c>
      <c r="I2" s="39">
        <v>50</v>
      </c>
      <c r="J2" s="39">
        <v>50</v>
      </c>
      <c r="K2" s="39"/>
      <c r="L2" s="39"/>
      <c r="M2" s="39">
        <f t="shared" ref="M2:M24" si="0">SUM(C2:L2)</f>
        <v>362</v>
      </c>
    </row>
    <row r="3" spans="1:13">
      <c r="A3" s="115">
        <v>45721</v>
      </c>
      <c r="B3" s="115" t="str">
        <f t="shared" ref="B3:B24" si="1">TEXT(A3,"DDD")</f>
        <v>Wed</v>
      </c>
      <c r="C3" s="39">
        <v>92</v>
      </c>
      <c r="D3" s="39">
        <v>50</v>
      </c>
      <c r="E3" s="39">
        <v>49</v>
      </c>
      <c r="F3" s="39"/>
      <c r="G3" s="39">
        <v>53</v>
      </c>
      <c r="H3" s="39">
        <v>50</v>
      </c>
      <c r="I3" s="39">
        <v>25</v>
      </c>
      <c r="J3" s="39">
        <v>100</v>
      </c>
      <c r="K3" s="39">
        <v>100</v>
      </c>
      <c r="L3" s="39">
        <v>250</v>
      </c>
      <c r="M3" s="39">
        <f t="shared" si="0"/>
        <v>769</v>
      </c>
    </row>
    <row r="4" spans="1:13">
      <c r="A4" s="115">
        <v>45722</v>
      </c>
      <c r="B4" s="115" t="str">
        <f t="shared" si="1"/>
        <v>Thu</v>
      </c>
      <c r="C4" s="39">
        <v>101</v>
      </c>
      <c r="D4" s="39">
        <v>100</v>
      </c>
      <c r="E4" s="39"/>
      <c r="F4" s="39">
        <v>30</v>
      </c>
      <c r="G4" s="39"/>
      <c r="H4" s="39"/>
      <c r="I4" s="39">
        <v>81</v>
      </c>
      <c r="J4" s="39"/>
      <c r="K4" s="39">
        <v>100</v>
      </c>
      <c r="L4" s="39"/>
      <c r="M4" s="39">
        <f t="shared" si="0"/>
        <v>412</v>
      </c>
    </row>
    <row r="5" spans="1:13">
      <c r="A5" s="115">
        <v>45723</v>
      </c>
      <c r="B5" s="115" t="str">
        <f t="shared" si="1"/>
        <v>Fri</v>
      </c>
      <c r="C5" s="39"/>
      <c r="D5" s="39">
        <v>100</v>
      </c>
      <c r="E5" s="39">
        <v>50</v>
      </c>
      <c r="F5" s="39">
        <v>50</v>
      </c>
      <c r="G5" s="39">
        <v>100</v>
      </c>
      <c r="H5" s="39">
        <v>50</v>
      </c>
      <c r="I5" s="39">
        <v>100</v>
      </c>
      <c r="J5" s="39"/>
      <c r="K5" s="39">
        <v>100</v>
      </c>
      <c r="L5" s="39"/>
      <c r="M5" s="39">
        <f t="shared" si="0"/>
        <v>550</v>
      </c>
    </row>
    <row r="6" spans="1:13">
      <c r="A6" s="115">
        <v>45724</v>
      </c>
      <c r="B6" s="116" t="str">
        <f t="shared" si="1"/>
        <v>Sat</v>
      </c>
      <c r="C6" s="117"/>
      <c r="D6" s="117"/>
      <c r="E6" s="117"/>
      <c r="F6" s="117"/>
      <c r="G6" s="117"/>
      <c r="H6" s="118"/>
      <c r="I6" s="117"/>
      <c r="J6" s="117"/>
      <c r="K6" s="117"/>
      <c r="L6" s="117"/>
      <c r="M6" s="39">
        <f t="shared" si="0"/>
        <v>0</v>
      </c>
    </row>
    <row r="7" spans="1:13">
      <c r="A7" s="115">
        <v>45725</v>
      </c>
      <c r="B7" s="116" t="str">
        <f t="shared" si="1"/>
        <v>Sun</v>
      </c>
      <c r="C7" s="117"/>
      <c r="D7" s="117"/>
      <c r="E7" s="119"/>
      <c r="F7" s="118"/>
      <c r="G7" s="117"/>
      <c r="H7" s="117"/>
      <c r="I7" s="117"/>
      <c r="J7" s="118"/>
      <c r="K7" s="118"/>
      <c r="L7" s="117"/>
      <c r="M7" s="39">
        <f t="shared" si="0"/>
        <v>0</v>
      </c>
    </row>
    <row r="8" spans="1:13">
      <c r="A8" s="115">
        <v>45726</v>
      </c>
      <c r="B8" s="115" t="str">
        <f t="shared" si="1"/>
        <v>Mon</v>
      </c>
      <c r="C8" s="39">
        <v>278</v>
      </c>
      <c r="D8" s="39">
        <v>100</v>
      </c>
      <c r="E8" s="39">
        <v>50</v>
      </c>
      <c r="F8" s="117">
        <v>100</v>
      </c>
      <c r="G8" s="39">
        <v>62</v>
      </c>
      <c r="H8" s="117">
        <v>100</v>
      </c>
      <c r="I8" s="39"/>
      <c r="J8" s="117">
        <v>101</v>
      </c>
      <c r="K8" s="117">
        <v>100</v>
      </c>
      <c r="L8" s="39"/>
      <c r="M8" s="39">
        <f t="shared" si="0"/>
        <v>891</v>
      </c>
    </row>
    <row r="9" spans="1:13">
      <c r="A9" s="115">
        <v>45727</v>
      </c>
      <c r="B9" s="115" t="str">
        <f t="shared" si="1"/>
        <v>Tue</v>
      </c>
      <c r="C9" s="39"/>
      <c r="D9" s="39">
        <v>166</v>
      </c>
      <c r="E9" s="39"/>
      <c r="F9" s="39"/>
      <c r="G9" s="39"/>
      <c r="H9" s="39"/>
      <c r="I9" s="39"/>
      <c r="J9" s="39"/>
      <c r="K9" s="39"/>
      <c r="L9" s="39"/>
      <c r="M9" s="39">
        <f t="shared" si="0"/>
        <v>166</v>
      </c>
    </row>
    <row r="10" spans="1:13">
      <c r="A10" s="115">
        <v>45728</v>
      </c>
      <c r="B10" s="115" t="str">
        <f t="shared" si="1"/>
        <v>Wed</v>
      </c>
      <c r="C10" s="39"/>
      <c r="D10" s="39">
        <v>59</v>
      </c>
      <c r="E10" s="39"/>
      <c r="F10" s="39"/>
      <c r="G10" s="39"/>
      <c r="H10" s="39"/>
      <c r="I10" s="39"/>
      <c r="J10" s="39"/>
      <c r="K10" s="39"/>
      <c r="L10" s="39"/>
      <c r="M10" s="39">
        <f t="shared" si="0"/>
        <v>59</v>
      </c>
    </row>
    <row r="11" spans="1:13">
      <c r="A11" s="115">
        <v>45733</v>
      </c>
      <c r="B11" s="115" t="str">
        <f t="shared" si="1"/>
        <v>Mon</v>
      </c>
      <c r="C11" s="39">
        <v>200</v>
      </c>
      <c r="D11" s="39"/>
      <c r="E11" s="39"/>
      <c r="F11" s="39">
        <v>200</v>
      </c>
      <c r="G11" s="39"/>
      <c r="H11" s="39">
        <v>200</v>
      </c>
      <c r="I11" s="39"/>
      <c r="J11" s="39"/>
      <c r="K11" s="39">
        <v>200</v>
      </c>
      <c r="L11" s="39"/>
      <c r="M11" s="39">
        <f t="shared" si="0"/>
        <v>800</v>
      </c>
    </row>
    <row r="12" spans="1:13">
      <c r="A12" s="115">
        <v>45734</v>
      </c>
      <c r="B12" s="115" t="str">
        <f t="shared" si="1"/>
        <v>Tue</v>
      </c>
      <c r="C12" s="39"/>
      <c r="D12" s="39">
        <v>264</v>
      </c>
      <c r="E12" s="39"/>
      <c r="F12" s="39">
        <v>200</v>
      </c>
      <c r="G12" s="39"/>
      <c r="H12" s="39">
        <v>200</v>
      </c>
      <c r="I12" s="39"/>
      <c r="J12" s="39"/>
      <c r="K12" s="39">
        <v>200</v>
      </c>
      <c r="L12" s="39"/>
      <c r="M12" s="39">
        <f t="shared" si="0"/>
        <v>864</v>
      </c>
    </row>
    <row r="13" spans="1:13">
      <c r="A13" s="115">
        <v>45735</v>
      </c>
      <c r="B13" s="115" t="str">
        <f t="shared" si="1"/>
        <v>Wed</v>
      </c>
      <c r="C13" s="39"/>
      <c r="D13" s="39">
        <v>136</v>
      </c>
      <c r="E13" s="39"/>
      <c r="F13" s="39">
        <v>200</v>
      </c>
      <c r="G13" s="39"/>
      <c r="H13" s="39">
        <v>300</v>
      </c>
      <c r="I13" s="39"/>
      <c r="J13" s="39"/>
      <c r="K13" s="39"/>
      <c r="L13" s="39"/>
      <c r="M13" s="39">
        <f t="shared" si="0"/>
        <v>636</v>
      </c>
    </row>
    <row r="14" spans="1:13">
      <c r="A14" s="115">
        <v>45736</v>
      </c>
      <c r="B14" s="115" t="str">
        <f t="shared" si="1"/>
        <v>Thu</v>
      </c>
      <c r="C14" s="39"/>
      <c r="D14" s="39">
        <v>200</v>
      </c>
      <c r="E14" s="39"/>
      <c r="F14" s="39">
        <v>100</v>
      </c>
      <c r="G14" s="39"/>
      <c r="H14" s="39"/>
      <c r="I14" s="39"/>
      <c r="J14" s="39"/>
      <c r="K14" s="39"/>
      <c r="L14" s="39"/>
      <c r="M14" s="39">
        <f t="shared" si="0"/>
        <v>300</v>
      </c>
    </row>
    <row r="15" spans="1:13">
      <c r="A15" s="115">
        <v>45737</v>
      </c>
      <c r="B15" s="115" t="str">
        <f t="shared" si="1"/>
        <v>Fri</v>
      </c>
      <c r="C15" s="39"/>
      <c r="D15" s="39">
        <v>300</v>
      </c>
      <c r="E15" s="39"/>
      <c r="F15" s="39"/>
      <c r="G15" s="39"/>
      <c r="H15" s="39"/>
      <c r="I15" s="39"/>
      <c r="J15" s="39"/>
      <c r="K15" s="39"/>
      <c r="L15" s="39">
        <v>200</v>
      </c>
      <c r="M15" s="39">
        <f t="shared" si="0"/>
        <v>500</v>
      </c>
    </row>
    <row r="16" spans="1:13">
      <c r="A16" s="115">
        <v>45739</v>
      </c>
      <c r="B16" s="116" t="str">
        <f t="shared" si="1"/>
        <v>Sun</v>
      </c>
      <c r="C16" s="117"/>
      <c r="D16" s="119"/>
      <c r="E16" s="117"/>
      <c r="F16" s="117"/>
      <c r="G16" s="117"/>
      <c r="H16" s="117"/>
      <c r="I16" s="117"/>
      <c r="J16" s="117"/>
      <c r="K16" s="117"/>
      <c r="L16" s="117"/>
      <c r="M16" s="39">
        <f t="shared" si="0"/>
        <v>0</v>
      </c>
    </row>
    <row r="17" spans="1:13">
      <c r="A17" s="115">
        <v>45740</v>
      </c>
      <c r="B17" s="115" t="str">
        <f t="shared" si="1"/>
        <v>Mon</v>
      </c>
      <c r="C17" s="39">
        <v>537</v>
      </c>
      <c r="D17" s="39"/>
      <c r="E17" s="39"/>
      <c r="F17" s="39"/>
      <c r="G17" s="39">
        <v>200</v>
      </c>
      <c r="H17" s="39"/>
      <c r="I17" s="39"/>
      <c r="J17" s="39">
        <v>299</v>
      </c>
      <c r="K17" s="39"/>
      <c r="L17" s="39">
        <v>387</v>
      </c>
      <c r="M17" s="39">
        <f t="shared" si="0"/>
        <v>1423</v>
      </c>
    </row>
    <row r="18" spans="1:13">
      <c r="A18" s="115">
        <v>45741</v>
      </c>
      <c r="B18" s="115" t="str">
        <f t="shared" si="1"/>
        <v>Tue</v>
      </c>
      <c r="C18" s="39"/>
      <c r="D18" s="39">
        <v>550</v>
      </c>
      <c r="E18" s="39"/>
      <c r="F18" s="39"/>
      <c r="G18" s="39">
        <v>171</v>
      </c>
      <c r="H18" s="39"/>
      <c r="I18" s="39"/>
      <c r="J18" s="39"/>
      <c r="K18" s="39"/>
      <c r="L18" s="39"/>
      <c r="M18" s="39">
        <f t="shared" si="0"/>
        <v>721</v>
      </c>
    </row>
    <row r="19" spans="1:13">
      <c r="A19" s="115">
        <v>45742</v>
      </c>
      <c r="B19" s="115" t="str">
        <f t="shared" si="1"/>
        <v>Wed</v>
      </c>
      <c r="C19" s="39"/>
      <c r="D19" s="39">
        <v>150</v>
      </c>
      <c r="E19" s="39"/>
      <c r="F19" s="39"/>
      <c r="G19" s="39"/>
      <c r="H19" s="39"/>
      <c r="I19" s="39"/>
      <c r="J19" s="39">
        <v>300</v>
      </c>
      <c r="K19" s="39"/>
      <c r="L19" s="39">
        <v>500</v>
      </c>
      <c r="M19" s="39">
        <f t="shared" si="0"/>
        <v>950</v>
      </c>
    </row>
    <row r="20" spans="1:13">
      <c r="A20" s="115">
        <v>45743</v>
      </c>
      <c r="B20" s="115" t="str">
        <f t="shared" si="1"/>
        <v>Thu</v>
      </c>
      <c r="C20" s="39"/>
      <c r="D20" s="39">
        <v>141</v>
      </c>
      <c r="E20" s="39"/>
      <c r="F20" s="39"/>
      <c r="G20" s="39"/>
      <c r="H20" s="39"/>
      <c r="I20" s="39"/>
      <c r="J20" s="39">
        <v>200</v>
      </c>
      <c r="K20" s="39"/>
      <c r="L20" s="39"/>
      <c r="M20" s="39">
        <f t="shared" si="0"/>
        <v>341</v>
      </c>
    </row>
    <row r="21" spans="1:13">
      <c r="A21" s="115">
        <v>45744</v>
      </c>
      <c r="B21" s="115" t="str">
        <f t="shared" si="1"/>
        <v>Fri</v>
      </c>
      <c r="C21" s="39"/>
      <c r="D21" s="39">
        <v>359</v>
      </c>
      <c r="E21" s="39"/>
      <c r="F21" s="39"/>
      <c r="G21" s="39">
        <v>500</v>
      </c>
      <c r="H21" s="39"/>
      <c r="I21" s="39"/>
      <c r="J21" s="39">
        <v>200</v>
      </c>
      <c r="K21" s="39"/>
      <c r="L21" s="39">
        <v>568</v>
      </c>
      <c r="M21" s="39">
        <f t="shared" si="0"/>
        <v>1627</v>
      </c>
    </row>
    <row r="22" spans="1:13">
      <c r="A22" s="115">
        <v>45745</v>
      </c>
      <c r="B22" s="116" t="str">
        <f t="shared" si="1"/>
        <v>Sat</v>
      </c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39">
        <f t="shared" si="0"/>
        <v>0</v>
      </c>
    </row>
    <row r="23" spans="1:13">
      <c r="A23" s="115">
        <v>45746</v>
      </c>
      <c r="B23" s="116" t="str">
        <f t="shared" si="1"/>
        <v>Sun</v>
      </c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39">
        <f t="shared" si="0"/>
        <v>0</v>
      </c>
    </row>
    <row r="24" spans="1:13">
      <c r="A24" s="115">
        <v>45747</v>
      </c>
      <c r="B24" s="115" t="str">
        <f t="shared" si="1"/>
        <v>Mon</v>
      </c>
      <c r="C24" s="39"/>
      <c r="D24" s="39"/>
      <c r="E24" s="39"/>
      <c r="F24" s="39"/>
      <c r="G24" s="39"/>
      <c r="H24" s="39"/>
      <c r="I24" s="39"/>
      <c r="J24" s="39">
        <v>400</v>
      </c>
      <c r="K24" s="39"/>
      <c r="L24" s="39"/>
      <c r="M24" s="39">
        <f t="shared" si="0"/>
        <v>400</v>
      </c>
    </row>
    <row r="25" spans="1:13">
      <c r="A25" s="120" t="s">
        <v>209</v>
      </c>
      <c r="B25" s="120"/>
      <c r="C25" s="17">
        <f>SUM(C2:C24)</f>
        <v>1314</v>
      </c>
      <c r="D25" s="17">
        <f t="shared" ref="D25:L25" si="2">SUM(D2:D24)</f>
        <v>2676</v>
      </c>
      <c r="E25" s="17">
        <f t="shared" si="2"/>
        <v>200</v>
      </c>
      <c r="F25" s="17">
        <f t="shared" si="2"/>
        <v>880</v>
      </c>
      <c r="G25" s="17">
        <f t="shared" si="2"/>
        <v>1136</v>
      </c>
      <c r="H25" s="17">
        <f t="shared" si="2"/>
        <v>954</v>
      </c>
      <c r="I25" s="17">
        <f t="shared" si="2"/>
        <v>256</v>
      </c>
      <c r="J25" s="17">
        <f t="shared" si="2"/>
        <v>1650</v>
      </c>
      <c r="K25" s="17">
        <f t="shared" si="2"/>
        <v>800</v>
      </c>
      <c r="L25" s="17">
        <f t="shared" si="2"/>
        <v>1905</v>
      </c>
      <c r="M25" s="17">
        <v>11775</v>
      </c>
    </row>
    <row r="26" spans="1:13">
      <c r="A26" s="118"/>
      <c r="B26" s="118"/>
      <c r="C26" s="39">
        <f>COUNTA(C2:C24)</f>
        <v>6</v>
      </c>
      <c r="D26" s="39">
        <f t="shared" ref="D26:K26" si="3">COUNTA(D2:D24)</f>
        <v>15</v>
      </c>
      <c r="E26" s="39">
        <f t="shared" si="3"/>
        <v>4</v>
      </c>
      <c r="F26" s="39">
        <f t="shared" si="3"/>
        <v>7</v>
      </c>
      <c r="G26" s="39">
        <f t="shared" si="3"/>
        <v>7</v>
      </c>
      <c r="H26" s="39">
        <f t="shared" si="3"/>
        <v>7</v>
      </c>
      <c r="I26" s="39">
        <f t="shared" si="3"/>
        <v>4</v>
      </c>
      <c r="J26" s="39">
        <f t="shared" si="3"/>
        <v>8</v>
      </c>
      <c r="K26" s="39">
        <f t="shared" si="3"/>
        <v>6</v>
      </c>
      <c r="L26" s="39">
        <f>COUNTA(L2:L24)</f>
        <v>5</v>
      </c>
      <c r="M26" s="118"/>
    </row>
    <row r="27" spans="1:13">
      <c r="A27" s="126" t="s">
        <v>241</v>
      </c>
      <c r="B27" s="121">
        <f>SUM(C34:C49)</f>
        <v>1431.6</v>
      </c>
      <c r="C27" s="130">
        <f>C25</f>
        <v>1314</v>
      </c>
      <c r="D27" s="130">
        <f t="shared" ref="D27:L27" si="4">D25</f>
        <v>2676</v>
      </c>
      <c r="E27" s="130">
        <f t="shared" si="4"/>
        <v>200</v>
      </c>
      <c r="F27" s="130">
        <f t="shared" si="4"/>
        <v>880</v>
      </c>
      <c r="G27" s="130">
        <f t="shared" si="4"/>
        <v>1136</v>
      </c>
      <c r="H27" s="130">
        <f t="shared" si="4"/>
        <v>954</v>
      </c>
      <c r="I27" s="130">
        <f t="shared" si="4"/>
        <v>256</v>
      </c>
      <c r="J27" s="130">
        <f t="shared" si="4"/>
        <v>1650</v>
      </c>
      <c r="K27" s="130">
        <f t="shared" si="4"/>
        <v>800</v>
      </c>
      <c r="L27" s="130">
        <f t="shared" si="4"/>
        <v>1905</v>
      </c>
    </row>
    <row r="28" spans="1:13">
      <c r="A28" s="20" t="s">
        <v>242</v>
      </c>
      <c r="B28" s="127">
        <f>COUNTA(#REF!,#REF!,C34:C34,C38:C42,C45:C49)</f>
        <v>8</v>
      </c>
      <c r="C28" s="135">
        <f>COUNTA(C2:C24)</f>
        <v>6</v>
      </c>
      <c r="D28" s="135">
        <f t="shared" ref="D28:L28" si="5">COUNTA(D2:D24)</f>
        <v>15</v>
      </c>
      <c r="E28" s="135">
        <f t="shared" si="5"/>
        <v>4</v>
      </c>
      <c r="F28" s="135">
        <f t="shared" si="5"/>
        <v>7</v>
      </c>
      <c r="G28" s="135">
        <f t="shared" si="5"/>
        <v>7</v>
      </c>
      <c r="H28" s="135">
        <f t="shared" si="5"/>
        <v>7</v>
      </c>
      <c r="I28" s="135">
        <f t="shared" si="5"/>
        <v>4</v>
      </c>
      <c r="J28" s="135">
        <f t="shared" si="5"/>
        <v>8</v>
      </c>
      <c r="K28" s="135">
        <f t="shared" si="5"/>
        <v>6</v>
      </c>
      <c r="L28" s="135">
        <f t="shared" si="5"/>
        <v>5</v>
      </c>
    </row>
    <row r="29" spans="1:13">
      <c r="A29" s="127" t="s">
        <v>244</v>
      </c>
      <c r="B29" s="127"/>
      <c r="C29" s="131">
        <v>12.3</v>
      </c>
      <c r="D29" s="131">
        <v>54.22</v>
      </c>
      <c r="E29" s="131">
        <v>3.4</v>
      </c>
      <c r="F29" s="131">
        <v>76</v>
      </c>
      <c r="G29" s="131">
        <v>19.350000000000001</v>
      </c>
      <c r="H29" s="131">
        <v>71</v>
      </c>
      <c r="I29" s="131">
        <v>6.4</v>
      </c>
      <c r="J29" s="131">
        <v>69</v>
      </c>
      <c r="K29" s="132">
        <v>22.3</v>
      </c>
      <c r="L29" s="132">
        <v>40</v>
      </c>
    </row>
    <row r="30" spans="1:13">
      <c r="A30" s="127" t="s">
        <v>245</v>
      </c>
      <c r="B30" s="127"/>
      <c r="C30" s="122">
        <f t="shared" ref="C30:L30" si="6">IFERROR(C27/C29,"0")</f>
        <v>106.82926829268293</v>
      </c>
      <c r="D30" s="122">
        <f t="shared" si="6"/>
        <v>49.354481741054961</v>
      </c>
      <c r="E30" s="122">
        <f t="shared" si="6"/>
        <v>58.82352941176471</v>
      </c>
      <c r="F30" s="122">
        <f t="shared" si="6"/>
        <v>11.578947368421053</v>
      </c>
      <c r="G30" s="122">
        <f t="shared" si="6"/>
        <v>58.708010335917308</v>
      </c>
      <c r="H30" s="122">
        <f t="shared" si="6"/>
        <v>13.43661971830986</v>
      </c>
      <c r="I30" s="122">
        <f t="shared" si="6"/>
        <v>40</v>
      </c>
      <c r="J30" s="122">
        <f t="shared" si="6"/>
        <v>23.913043478260871</v>
      </c>
      <c r="K30" s="122">
        <f t="shared" si="6"/>
        <v>35.874439461883405</v>
      </c>
      <c r="L30" s="122">
        <f t="shared" si="6"/>
        <v>47.625</v>
      </c>
    </row>
    <row r="31" spans="1:13" ht="15" thickBot="1">
      <c r="A31" s="123"/>
      <c r="B31" s="124"/>
      <c r="C31" s="125">
        <v>15</v>
      </c>
      <c r="D31" s="125">
        <v>15</v>
      </c>
      <c r="E31" s="125">
        <v>15</v>
      </c>
      <c r="F31" s="125">
        <v>15</v>
      </c>
      <c r="G31" s="125">
        <v>15</v>
      </c>
      <c r="H31" s="125">
        <v>15</v>
      </c>
      <c r="I31" s="125">
        <v>15</v>
      </c>
      <c r="J31" s="125">
        <v>15</v>
      </c>
      <c r="K31" s="125">
        <v>15</v>
      </c>
      <c r="L31" s="125">
        <v>15</v>
      </c>
    </row>
    <row r="32" spans="1:13" ht="15" thickBot="1">
      <c r="A32" s="128" t="s">
        <v>1</v>
      </c>
      <c r="B32" s="129"/>
      <c r="C32" s="133">
        <v>657</v>
      </c>
      <c r="D32" s="133">
        <v>1338</v>
      </c>
      <c r="E32" s="133">
        <v>100</v>
      </c>
      <c r="F32" s="133">
        <v>440</v>
      </c>
      <c r="G32" s="133">
        <v>568</v>
      </c>
      <c r="H32" s="133">
        <v>477</v>
      </c>
      <c r="I32" s="133">
        <v>128</v>
      </c>
      <c r="J32" s="133">
        <v>825</v>
      </c>
      <c r="K32" s="133">
        <v>400</v>
      </c>
      <c r="L32" s="133">
        <v>952.5</v>
      </c>
      <c r="M32" s="110">
        <f>SUM(C32:L32)</f>
        <v>5885.5</v>
      </c>
    </row>
    <row r="34" spans="1:12">
      <c r="C34" t="s">
        <v>368</v>
      </c>
    </row>
    <row r="35" spans="1:12">
      <c r="C35">
        <f>C27/30</f>
        <v>43.8</v>
      </c>
    </row>
    <row r="36" spans="1:12">
      <c r="C36">
        <v>30</v>
      </c>
      <c r="D36">
        <v>30</v>
      </c>
      <c r="E36">
        <v>30</v>
      </c>
      <c r="F36">
        <v>30</v>
      </c>
      <c r="G36">
        <v>30</v>
      </c>
      <c r="H36">
        <v>30</v>
      </c>
      <c r="I36">
        <v>30</v>
      </c>
      <c r="J36">
        <v>30</v>
      </c>
      <c r="K36">
        <v>30</v>
      </c>
      <c r="L36">
        <v>30</v>
      </c>
    </row>
    <row r="37" spans="1:12">
      <c r="C37" s="136">
        <f>C27/C36</f>
        <v>43.8</v>
      </c>
      <c r="D37" s="136">
        <f t="shared" ref="D37:L37" si="7">D27/D36</f>
        <v>89.2</v>
      </c>
      <c r="E37" s="136">
        <f t="shared" si="7"/>
        <v>6.666666666666667</v>
      </c>
      <c r="F37" s="136">
        <f t="shared" si="7"/>
        <v>29.333333333333332</v>
      </c>
      <c r="G37" s="136">
        <f t="shared" si="7"/>
        <v>37.866666666666667</v>
      </c>
      <c r="H37" s="136">
        <f t="shared" si="7"/>
        <v>31.8</v>
      </c>
      <c r="I37" s="136">
        <f t="shared" si="7"/>
        <v>8.5333333333333332</v>
      </c>
      <c r="J37" s="136">
        <f t="shared" si="7"/>
        <v>55</v>
      </c>
      <c r="K37" s="136">
        <f t="shared" si="7"/>
        <v>26.666666666666668</v>
      </c>
      <c r="L37" s="136">
        <f t="shared" si="7"/>
        <v>63.5</v>
      </c>
    </row>
    <row r="38" spans="1:12">
      <c r="C38" s="110">
        <f>C37*C31</f>
        <v>657</v>
      </c>
      <c r="D38" s="110">
        <f t="shared" ref="D38:L38" si="8">D37*D31</f>
        <v>1338</v>
      </c>
      <c r="E38" s="110">
        <f t="shared" si="8"/>
        <v>100</v>
      </c>
      <c r="F38" s="110">
        <f t="shared" si="8"/>
        <v>440</v>
      </c>
      <c r="G38" s="110">
        <f t="shared" si="8"/>
        <v>568</v>
      </c>
      <c r="H38" s="110">
        <f t="shared" si="8"/>
        <v>477</v>
      </c>
      <c r="I38" s="110">
        <f t="shared" si="8"/>
        <v>128</v>
      </c>
      <c r="J38" s="110">
        <f t="shared" si="8"/>
        <v>825</v>
      </c>
      <c r="K38" s="110">
        <f t="shared" si="8"/>
        <v>400</v>
      </c>
      <c r="L38" s="110">
        <f t="shared" si="8"/>
        <v>952.5</v>
      </c>
    </row>
    <row r="39" spans="1:12">
      <c r="C39" s="110">
        <f>C27*0.5</f>
        <v>657</v>
      </c>
      <c r="D39" s="110">
        <f t="shared" ref="D39:L39" si="9">D27*0.5</f>
        <v>1338</v>
      </c>
      <c r="E39" s="110">
        <f t="shared" si="9"/>
        <v>100</v>
      </c>
      <c r="F39" s="110">
        <f t="shared" si="9"/>
        <v>440</v>
      </c>
      <c r="G39" s="110">
        <f t="shared" si="9"/>
        <v>568</v>
      </c>
      <c r="H39" s="110">
        <f t="shared" si="9"/>
        <v>477</v>
      </c>
      <c r="I39" s="110">
        <f t="shared" si="9"/>
        <v>128</v>
      </c>
      <c r="J39" s="110">
        <f t="shared" si="9"/>
        <v>825</v>
      </c>
      <c r="K39" s="110">
        <f t="shared" si="9"/>
        <v>400</v>
      </c>
      <c r="L39" s="110">
        <f t="shared" si="9"/>
        <v>952.5</v>
      </c>
    </row>
    <row r="40" spans="1:12">
      <c r="A40" t="s">
        <v>369</v>
      </c>
      <c r="B40" t="s">
        <v>370</v>
      </c>
      <c r="C40" t="s">
        <v>371</v>
      </c>
    </row>
    <row r="41" spans="1:12">
      <c r="A41" t="s">
        <v>372</v>
      </c>
      <c r="B41" t="s">
        <v>373</v>
      </c>
      <c r="C41" t="s">
        <v>374</v>
      </c>
    </row>
    <row r="42" spans="1:12">
      <c r="A42" t="s">
        <v>375</v>
      </c>
      <c r="B42" t="s">
        <v>376</v>
      </c>
      <c r="C42" t="s">
        <v>377</v>
      </c>
      <c r="F42">
        <v>300</v>
      </c>
    </row>
    <row r="43" spans="1:12">
      <c r="A43" t="s">
        <v>378</v>
      </c>
      <c r="B43" t="s">
        <v>379</v>
      </c>
      <c r="C43" t="s">
        <v>380</v>
      </c>
      <c r="F43" s="136">
        <f>F42/8</f>
        <v>37.5</v>
      </c>
    </row>
  </sheetData>
  <phoneticPr fontId="27" type="noConversion"/>
  <conditionalFormatting sqref="C30:L31">
    <cfRule type="cellIs" dxfId="6" priority="1" operator="greaterThan">
      <formula>20.99</formula>
    </cfRule>
    <cfRule type="cellIs" dxfId="5" priority="2" operator="between">
      <formula>15.99</formula>
      <formula>21</formula>
    </cfRule>
    <cfRule type="cellIs" dxfId="4" priority="3" operator="between">
      <formula>15.99</formula>
      <formula>21</formula>
    </cfRule>
    <cfRule type="cellIs" dxfId="3" priority="4" operator="between">
      <formula>12.99</formula>
      <formula>16</formula>
    </cfRule>
    <cfRule type="cellIs" dxfId="2" priority="5" operator="lessThan">
      <formula>13</formula>
    </cfRule>
    <cfRule type="cellIs" dxfId="1" priority="6" operator="greaterThan">
      <formula>21</formula>
    </cfRule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86F2-7651-4447-9C05-75D89FF1CA68}">
  <dimension ref="A1:CM46"/>
  <sheetViews>
    <sheetView workbookViewId="0">
      <pane xSplit="3" ySplit="1" topLeftCell="D2" activePane="bottomRight" state="frozen"/>
      <selection pane="bottomRight" activeCell="K32" sqref="K32:M36"/>
      <selection pane="bottomLeft" activeCell="A2" sqref="A2"/>
      <selection pane="topRight" activeCell="C1" sqref="C1"/>
    </sheetView>
  </sheetViews>
  <sheetFormatPr defaultColWidth="19.42578125" defaultRowHeight="13.9"/>
  <cols>
    <col min="1" max="1" width="22.42578125" style="23" bestFit="1" customWidth="1"/>
    <col min="2" max="2" width="6.7109375" style="23" bestFit="1" customWidth="1"/>
    <col min="3" max="3" width="10.28515625" style="23" bestFit="1" customWidth="1"/>
    <col min="4" max="4" width="7.7109375" style="23" bestFit="1" customWidth="1"/>
    <col min="5" max="5" width="8.7109375" style="23" bestFit="1" customWidth="1"/>
    <col min="6" max="6" width="8" style="23" bestFit="1" customWidth="1"/>
    <col min="7" max="7" width="8.5703125" style="23" bestFit="1" customWidth="1"/>
    <col min="8" max="8" width="13.5703125" style="23" bestFit="1" customWidth="1"/>
    <col min="9" max="9" width="10.140625" style="23" bestFit="1" customWidth="1"/>
    <col min="10" max="10" width="9.5703125" style="23" bestFit="1" customWidth="1"/>
    <col min="11" max="11" width="21.7109375" style="23" bestFit="1" customWidth="1"/>
    <col min="12" max="12" width="16.28515625" style="23" bestFit="1" customWidth="1"/>
    <col min="13" max="13" width="18.28515625" style="23" bestFit="1" customWidth="1"/>
    <col min="14" max="14" width="15.85546875" style="23" bestFit="1" customWidth="1"/>
    <col min="15" max="15" width="7.42578125" style="23" bestFit="1" customWidth="1"/>
    <col min="16" max="16" width="9.7109375" style="23" bestFit="1" customWidth="1"/>
    <col min="17" max="17" width="4.7109375" style="23" bestFit="1" customWidth="1"/>
    <col min="18" max="18" width="11.7109375" style="23" bestFit="1" customWidth="1"/>
    <col min="19" max="19" width="8.7109375" style="23" bestFit="1" customWidth="1"/>
    <col min="20" max="20" width="6.5703125" style="23" bestFit="1" customWidth="1"/>
    <col min="21" max="21" width="9.85546875" style="23" bestFit="1" customWidth="1"/>
    <col min="22" max="22" width="9.28515625" style="23" bestFit="1" customWidth="1"/>
    <col min="23" max="23" width="7.85546875" style="23" bestFit="1" customWidth="1"/>
    <col min="24" max="24" width="9.85546875" style="23" bestFit="1" customWidth="1"/>
    <col min="25" max="25" width="10.28515625" style="23" bestFit="1" customWidth="1"/>
    <col min="26" max="26" width="9.28515625" style="23" bestFit="1" customWidth="1"/>
    <col min="27" max="27" width="7.28515625" style="23" bestFit="1" customWidth="1"/>
    <col min="28" max="28" width="10.140625" style="23" bestFit="1" customWidth="1"/>
    <col min="29" max="29" width="8" style="23" bestFit="1" customWidth="1"/>
    <col min="30" max="30" width="8.140625" style="23" bestFit="1" customWidth="1"/>
    <col min="31" max="31" width="10.140625" style="23" bestFit="1" customWidth="1"/>
    <col min="32" max="32" width="8.28515625" style="23" bestFit="1" customWidth="1"/>
    <col min="33" max="33" width="12.85546875" style="23" bestFit="1" customWidth="1"/>
    <col min="34" max="34" width="8" style="23" bestFit="1" customWidth="1"/>
    <col min="35" max="35" width="16.28515625" style="23" bestFit="1" customWidth="1"/>
    <col min="36" max="36" width="15" style="23" bestFit="1" customWidth="1"/>
    <col min="37" max="37" width="7" style="23" bestFit="1" customWidth="1"/>
    <col min="38" max="38" width="8.42578125" style="23" bestFit="1" customWidth="1"/>
    <col min="39" max="39" width="11.85546875" style="23" bestFit="1" customWidth="1"/>
    <col min="40" max="40" width="11.140625" style="23" bestFit="1" customWidth="1"/>
    <col min="41" max="41" width="13.28515625" style="23" bestFit="1" customWidth="1"/>
    <col min="42" max="42" width="15.7109375" style="23" bestFit="1" customWidth="1"/>
    <col min="43" max="43" width="6.28515625" style="23" bestFit="1" customWidth="1"/>
    <col min="44" max="44" width="6.7109375" style="23" bestFit="1" customWidth="1"/>
    <col min="45" max="45" width="7.140625" style="23" bestFit="1" customWidth="1"/>
    <col min="46" max="46" width="9.5703125" style="23" bestFit="1" customWidth="1"/>
    <col min="47" max="47" width="6.7109375" style="23" bestFit="1" customWidth="1"/>
    <col min="48" max="48" width="9.28515625" style="23" bestFit="1" customWidth="1"/>
    <col min="49" max="49" width="10.42578125" style="23" bestFit="1" customWidth="1"/>
    <col min="50" max="50" width="7.28515625" style="23" bestFit="1" customWidth="1"/>
    <col min="51" max="51" width="5.42578125" style="23" bestFit="1" customWidth="1"/>
    <col min="52" max="52" width="12" style="23" bestFit="1" customWidth="1"/>
    <col min="53" max="53" width="12.140625" style="23" bestFit="1" customWidth="1"/>
    <col min="54" max="55" width="10.28515625" style="23" bestFit="1" customWidth="1"/>
    <col min="56" max="56" width="8.5703125" style="23" bestFit="1" customWidth="1"/>
    <col min="57" max="57" width="14.5703125" style="23" bestFit="1" customWidth="1"/>
    <col min="58" max="58" width="7.28515625" style="23" bestFit="1" customWidth="1"/>
    <col min="59" max="59" width="8.5703125" style="23" bestFit="1" customWidth="1"/>
    <col min="60" max="60" width="8.7109375" style="23" bestFit="1" customWidth="1"/>
    <col min="61" max="61" width="6.140625" style="23" bestFit="1" customWidth="1"/>
    <col min="62" max="62" width="11" style="23" bestFit="1" customWidth="1"/>
    <col min="63" max="63" width="11.7109375" style="23" bestFit="1" customWidth="1"/>
    <col min="64" max="64" width="14" style="23" bestFit="1" customWidth="1"/>
    <col min="65" max="65" width="5.7109375" style="23" bestFit="1" customWidth="1"/>
    <col min="66" max="66" width="8" style="23" bestFit="1" customWidth="1"/>
    <col min="67" max="67" width="16.7109375" style="23" bestFit="1" customWidth="1"/>
    <col min="68" max="68" width="10.140625" style="23" bestFit="1" customWidth="1"/>
    <col min="69" max="69" width="9.85546875" style="23" bestFit="1" customWidth="1"/>
    <col min="70" max="70" width="10.85546875" style="23" bestFit="1" customWidth="1"/>
    <col min="71" max="71" width="7.28515625" style="23" bestFit="1" customWidth="1"/>
    <col min="72" max="72" width="6.7109375" style="23" bestFit="1" customWidth="1"/>
    <col min="73" max="73" width="10.7109375" style="23" bestFit="1" customWidth="1"/>
    <col min="74" max="74" width="11.28515625" style="23" bestFit="1" customWidth="1"/>
    <col min="75" max="75" width="9.140625" style="23" bestFit="1" customWidth="1"/>
    <col min="76" max="76" width="10.28515625" style="23" bestFit="1" customWidth="1"/>
    <col min="77" max="77" width="8.28515625" style="23" bestFit="1" customWidth="1"/>
    <col min="78" max="78" width="8.7109375" style="23" bestFit="1" customWidth="1"/>
    <col min="79" max="79" width="9.28515625" style="23" bestFit="1" customWidth="1"/>
    <col min="80" max="80" width="9.85546875" style="23" bestFit="1" customWidth="1"/>
    <col min="81" max="81" width="8.140625" style="23" bestFit="1" customWidth="1"/>
    <col min="82" max="82" width="10.28515625" style="23" bestFit="1" customWidth="1"/>
    <col min="83" max="83" width="6.85546875" style="23" bestFit="1" customWidth="1"/>
    <col min="84" max="84" width="7.7109375" style="23" bestFit="1" customWidth="1"/>
    <col min="85" max="85" width="18.28515625" style="23" bestFit="1" customWidth="1"/>
    <col min="86" max="86" width="17" style="23" bestFit="1" customWidth="1"/>
    <col min="87" max="87" width="8.85546875" style="23" bestFit="1" customWidth="1"/>
    <col min="88" max="88" width="15.42578125" style="23" bestFit="1" customWidth="1"/>
    <col min="89" max="89" width="11.5703125" style="23" bestFit="1" customWidth="1"/>
    <col min="90" max="90" width="20.28515625" style="23" bestFit="1" customWidth="1"/>
    <col min="91" max="91" width="20" style="23" bestFit="1" customWidth="1"/>
    <col min="92" max="16384" width="19.42578125" style="23"/>
  </cols>
  <sheetData>
    <row r="1" spans="1:91" ht="17.45">
      <c r="A1" s="35" t="s">
        <v>276</v>
      </c>
      <c r="B1" s="43" t="s">
        <v>277</v>
      </c>
      <c r="C1" s="40" t="s">
        <v>202</v>
      </c>
      <c r="D1" s="37" t="s">
        <v>4</v>
      </c>
      <c r="E1" s="42" t="s">
        <v>381</v>
      </c>
      <c r="F1" s="42" t="s">
        <v>382</v>
      </c>
      <c r="G1" s="42" t="s">
        <v>383</v>
      </c>
      <c r="H1" s="42" t="s">
        <v>384</v>
      </c>
      <c r="I1" s="42" t="s">
        <v>385</v>
      </c>
      <c r="J1" s="42" t="s">
        <v>386</v>
      </c>
      <c r="K1" s="42" t="s">
        <v>228</v>
      </c>
      <c r="L1" s="42" t="s">
        <v>387</v>
      </c>
      <c r="M1" s="42" t="s">
        <v>388</v>
      </c>
      <c r="N1" s="42" t="s">
        <v>389</v>
      </c>
      <c r="O1" s="42" t="s">
        <v>390</v>
      </c>
      <c r="P1" s="42" t="s">
        <v>391</v>
      </c>
      <c r="Q1" s="42" t="s">
        <v>392</v>
      </c>
      <c r="R1" s="42" t="s">
        <v>393</v>
      </c>
      <c r="S1" s="42" t="s">
        <v>394</v>
      </c>
      <c r="T1" s="42" t="s">
        <v>395</v>
      </c>
      <c r="U1" s="42" t="s">
        <v>396</v>
      </c>
      <c r="V1" s="42" t="s">
        <v>397</v>
      </c>
      <c r="W1" s="42" t="s">
        <v>398</v>
      </c>
      <c r="X1" s="42" t="s">
        <v>399</v>
      </c>
      <c r="Y1" s="42" t="s">
        <v>400</v>
      </c>
      <c r="Z1" s="42" t="s">
        <v>401</v>
      </c>
      <c r="AA1" s="42" t="s">
        <v>402</v>
      </c>
      <c r="AB1" s="42" t="s">
        <v>403</v>
      </c>
      <c r="AC1" s="42" t="s">
        <v>404</v>
      </c>
      <c r="AD1" s="42" t="s">
        <v>405</v>
      </c>
      <c r="AE1" s="42" t="s">
        <v>406</v>
      </c>
      <c r="AF1" s="42" t="s">
        <v>407</v>
      </c>
      <c r="AG1" s="42" t="s">
        <v>91</v>
      </c>
      <c r="AH1" s="42" t="s">
        <v>408</v>
      </c>
      <c r="AI1" s="42" t="s">
        <v>409</v>
      </c>
      <c r="AJ1" s="42" t="s">
        <v>410</v>
      </c>
      <c r="AK1" s="42" t="s">
        <v>411</v>
      </c>
      <c r="AL1" s="42" t="s">
        <v>412</v>
      </c>
      <c r="AM1" s="42" t="s">
        <v>413</v>
      </c>
      <c r="AN1" s="42" t="s">
        <v>414</v>
      </c>
      <c r="AO1" s="42" t="s">
        <v>415</v>
      </c>
      <c r="AP1" s="42" t="s">
        <v>416</v>
      </c>
      <c r="AQ1" s="42" t="s">
        <v>417</v>
      </c>
      <c r="AR1" s="42" t="s">
        <v>418</v>
      </c>
      <c r="AS1" s="42" t="s">
        <v>419</v>
      </c>
      <c r="AT1" s="42" t="s">
        <v>420</v>
      </c>
      <c r="AU1" s="42" t="s">
        <v>421</v>
      </c>
      <c r="AV1" s="42" t="s">
        <v>422</v>
      </c>
      <c r="AW1" s="42" t="s">
        <v>423</v>
      </c>
      <c r="AX1" s="42" t="s">
        <v>424</v>
      </c>
      <c r="AY1" s="42" t="s">
        <v>425</v>
      </c>
      <c r="AZ1" s="42" t="s">
        <v>426</v>
      </c>
      <c r="BA1" s="42" t="s">
        <v>427</v>
      </c>
      <c r="BB1" s="42" t="s">
        <v>428</v>
      </c>
      <c r="BC1" s="42" t="s">
        <v>429</v>
      </c>
      <c r="BD1" s="42" t="s">
        <v>430</v>
      </c>
      <c r="BE1" s="42" t="s">
        <v>130</v>
      </c>
      <c r="BF1" s="42" t="s">
        <v>431</v>
      </c>
      <c r="BG1" s="42" t="s">
        <v>432</v>
      </c>
      <c r="BH1" s="42" t="s">
        <v>433</v>
      </c>
      <c r="BI1" s="42" t="s">
        <v>434</v>
      </c>
      <c r="BJ1" s="42" t="s">
        <v>435</v>
      </c>
      <c r="BK1" s="42" t="s">
        <v>436</v>
      </c>
      <c r="BL1" s="42" t="s">
        <v>437</v>
      </c>
      <c r="BM1" s="42" t="s">
        <v>438</v>
      </c>
      <c r="BN1" s="42" t="s">
        <v>439</v>
      </c>
      <c r="BO1" s="42" t="s">
        <v>440</v>
      </c>
      <c r="BP1" s="42" t="s">
        <v>441</v>
      </c>
      <c r="BQ1" s="42" t="s">
        <v>442</v>
      </c>
      <c r="BR1" s="42" t="s">
        <v>443</v>
      </c>
      <c r="BS1" s="42" t="s">
        <v>444</v>
      </c>
      <c r="BT1" s="42" t="s">
        <v>445</v>
      </c>
      <c r="BU1" s="42" t="s">
        <v>446</v>
      </c>
      <c r="BV1" s="42" t="s">
        <v>447</v>
      </c>
      <c r="BW1" s="42" t="s">
        <v>448</v>
      </c>
      <c r="BX1" s="42" t="s">
        <v>449</v>
      </c>
      <c r="BY1" s="42" t="s">
        <v>278</v>
      </c>
      <c r="BZ1" s="42" t="s">
        <v>450</v>
      </c>
      <c r="CA1" s="42" t="s">
        <v>451</v>
      </c>
      <c r="CB1" s="42" t="s">
        <v>452</v>
      </c>
      <c r="CC1" s="42" t="s">
        <v>453</v>
      </c>
      <c r="CD1" s="42" t="s">
        <v>454</v>
      </c>
      <c r="CE1" s="42" t="s">
        <v>455</v>
      </c>
      <c r="CF1" s="42" t="s">
        <v>456</v>
      </c>
      <c r="CG1" s="42" t="s">
        <v>457</v>
      </c>
      <c r="CH1" s="42" t="s">
        <v>458</v>
      </c>
      <c r="CI1" s="42" t="s">
        <v>459</v>
      </c>
      <c r="CJ1" s="42" t="s">
        <v>460</v>
      </c>
      <c r="CK1" s="42" t="s">
        <v>461</v>
      </c>
    </row>
    <row r="2" spans="1:91">
      <c r="A2" s="34" t="s">
        <v>281</v>
      </c>
      <c r="B2" s="45">
        <v>2</v>
      </c>
      <c r="C2" s="44">
        <f t="shared" ref="C2:C17" si="0">SUM(D2:CK2)</f>
        <v>0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18" t="s">
        <v>281</v>
      </c>
    </row>
    <row r="3" spans="1:91">
      <c r="A3" s="34" t="s">
        <v>335</v>
      </c>
      <c r="B3" s="45">
        <v>0.65</v>
      </c>
      <c r="C3" s="44">
        <f t="shared" si="0"/>
        <v>0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18" t="s">
        <v>335</v>
      </c>
    </row>
    <row r="4" spans="1:91">
      <c r="A4" s="34" t="s">
        <v>282</v>
      </c>
      <c r="B4" s="45">
        <v>2</v>
      </c>
      <c r="C4" s="44">
        <f t="shared" si="0"/>
        <v>0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18" t="s">
        <v>282</v>
      </c>
    </row>
    <row r="5" spans="1:91">
      <c r="A5" s="34" t="s">
        <v>284</v>
      </c>
      <c r="B5" s="45">
        <v>0.5</v>
      </c>
      <c r="C5" s="44">
        <f t="shared" si="0"/>
        <v>0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18" t="s">
        <v>284</v>
      </c>
      <c r="CM5" s="23" t="s">
        <v>462</v>
      </c>
    </row>
    <row r="6" spans="1:91">
      <c r="A6" s="34" t="s">
        <v>463</v>
      </c>
      <c r="B6" s="45">
        <v>2</v>
      </c>
      <c r="C6" s="44">
        <f t="shared" si="0"/>
        <v>0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18" t="s">
        <v>463</v>
      </c>
    </row>
    <row r="7" spans="1:91">
      <c r="A7" s="34" t="s">
        <v>286</v>
      </c>
      <c r="B7" s="45">
        <v>2</v>
      </c>
      <c r="C7" s="44">
        <f t="shared" si="0"/>
        <v>0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18" t="s">
        <v>464</v>
      </c>
    </row>
    <row r="8" spans="1:91">
      <c r="A8" s="34" t="s">
        <v>465</v>
      </c>
      <c r="B8" s="45">
        <v>2</v>
      </c>
      <c r="C8" s="44">
        <f t="shared" si="0"/>
        <v>0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18" t="s">
        <v>465</v>
      </c>
    </row>
    <row r="9" spans="1:91">
      <c r="A9" s="34" t="s">
        <v>288</v>
      </c>
      <c r="B9" s="45">
        <v>2</v>
      </c>
      <c r="C9" s="44">
        <f t="shared" si="0"/>
        <v>0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18" t="s">
        <v>466</v>
      </c>
    </row>
    <row r="10" spans="1:91">
      <c r="A10" s="34" t="s">
        <v>467</v>
      </c>
      <c r="B10" s="45">
        <v>0.65</v>
      </c>
      <c r="C10" s="44">
        <f t="shared" si="0"/>
        <v>0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18" t="s">
        <v>468</v>
      </c>
    </row>
    <row r="11" spans="1:91">
      <c r="A11" s="34" t="s">
        <v>469</v>
      </c>
      <c r="B11" s="45">
        <v>0.2</v>
      </c>
      <c r="C11" s="44">
        <f t="shared" si="0"/>
        <v>0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18" t="s">
        <v>470</v>
      </c>
    </row>
    <row r="12" spans="1:91">
      <c r="A12" s="34" t="s">
        <v>471</v>
      </c>
      <c r="B12" s="45">
        <v>0.65</v>
      </c>
      <c r="C12" s="44">
        <f t="shared" si="0"/>
        <v>0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18" t="s">
        <v>472</v>
      </c>
    </row>
    <row r="13" spans="1:91" ht="14.45">
      <c r="A13" s="34" t="s">
        <v>473</v>
      </c>
      <c r="B13" s="45">
        <v>2</v>
      </c>
      <c r="C13" s="44">
        <f t="shared" si="0"/>
        <v>0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18" t="s">
        <v>474</v>
      </c>
      <c r="CM13" s="46" t="s">
        <v>473</v>
      </c>
    </row>
    <row r="14" spans="1:91">
      <c r="A14" s="34" t="s">
        <v>290</v>
      </c>
      <c r="B14" s="45">
        <v>2</v>
      </c>
      <c r="C14" s="44">
        <f t="shared" si="0"/>
        <v>0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18" t="s">
        <v>290</v>
      </c>
    </row>
    <row r="15" spans="1:91">
      <c r="A15" s="34" t="s">
        <v>475</v>
      </c>
      <c r="B15" s="45">
        <v>1.25</v>
      </c>
      <c r="C15" s="44">
        <f t="shared" si="0"/>
        <v>0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18" t="s">
        <v>475</v>
      </c>
    </row>
    <row r="16" spans="1:91">
      <c r="A16" s="34" t="s">
        <v>476</v>
      </c>
      <c r="B16" s="45">
        <v>5</v>
      </c>
      <c r="C16" s="44">
        <f t="shared" si="0"/>
        <v>0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18" t="s">
        <v>477</v>
      </c>
    </row>
    <row r="17" spans="1:90">
      <c r="A17" s="55" t="s">
        <v>478</v>
      </c>
      <c r="B17" s="56">
        <v>0.5</v>
      </c>
      <c r="C17" s="44">
        <f t="shared" si="0"/>
        <v>0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18"/>
    </row>
    <row r="18" spans="1:90">
      <c r="A18" s="36"/>
      <c r="B18" s="36"/>
      <c r="C18" s="36">
        <f t="shared" ref="C18:AH18" si="1">SUM(C2:C17)</f>
        <v>0</v>
      </c>
      <c r="D18" s="20">
        <f t="shared" si="1"/>
        <v>0</v>
      </c>
      <c r="E18" s="20">
        <f t="shared" si="1"/>
        <v>0</v>
      </c>
      <c r="F18" s="20">
        <f t="shared" si="1"/>
        <v>0</v>
      </c>
      <c r="G18" s="20">
        <f t="shared" si="1"/>
        <v>0</v>
      </c>
      <c r="H18" s="20">
        <f t="shared" si="1"/>
        <v>0</v>
      </c>
      <c r="I18" s="20">
        <f t="shared" si="1"/>
        <v>0</v>
      </c>
      <c r="J18" s="20">
        <f t="shared" si="1"/>
        <v>0</v>
      </c>
      <c r="K18" s="20">
        <f t="shared" si="1"/>
        <v>0</v>
      </c>
      <c r="L18" s="20">
        <f t="shared" si="1"/>
        <v>0</v>
      </c>
      <c r="M18" s="20">
        <f t="shared" si="1"/>
        <v>0</v>
      </c>
      <c r="N18" s="20">
        <f t="shared" si="1"/>
        <v>0</v>
      </c>
      <c r="O18" s="20">
        <f t="shared" si="1"/>
        <v>0</v>
      </c>
      <c r="P18" s="20">
        <f t="shared" si="1"/>
        <v>0</v>
      </c>
      <c r="Q18" s="20">
        <f t="shared" si="1"/>
        <v>0</v>
      </c>
      <c r="R18" s="20">
        <f t="shared" si="1"/>
        <v>0</v>
      </c>
      <c r="S18" s="20">
        <f t="shared" si="1"/>
        <v>0</v>
      </c>
      <c r="T18" s="20">
        <f t="shared" si="1"/>
        <v>0</v>
      </c>
      <c r="U18" s="20">
        <f t="shared" si="1"/>
        <v>0</v>
      </c>
      <c r="V18" s="20">
        <f t="shared" si="1"/>
        <v>0</v>
      </c>
      <c r="W18" s="20">
        <f t="shared" si="1"/>
        <v>0</v>
      </c>
      <c r="X18" s="20">
        <f t="shared" si="1"/>
        <v>0</v>
      </c>
      <c r="Y18" s="20">
        <f t="shared" si="1"/>
        <v>0</v>
      </c>
      <c r="Z18" s="20">
        <f t="shared" si="1"/>
        <v>0</v>
      </c>
      <c r="AA18" s="20">
        <f t="shared" si="1"/>
        <v>0</v>
      </c>
      <c r="AB18" s="20">
        <f t="shared" si="1"/>
        <v>0</v>
      </c>
      <c r="AC18" s="20">
        <f t="shared" si="1"/>
        <v>0</v>
      </c>
      <c r="AD18" s="20">
        <f t="shared" si="1"/>
        <v>0</v>
      </c>
      <c r="AE18" s="20">
        <f t="shared" si="1"/>
        <v>0</v>
      </c>
      <c r="AF18" s="20">
        <f t="shared" si="1"/>
        <v>0</v>
      </c>
      <c r="AG18" s="20">
        <f t="shared" si="1"/>
        <v>0</v>
      </c>
      <c r="AH18" s="20">
        <f t="shared" si="1"/>
        <v>0</v>
      </c>
      <c r="AI18" s="20">
        <f t="shared" ref="AI18:BN18" si="2">SUM(AI2:AI17)</f>
        <v>0</v>
      </c>
      <c r="AJ18" s="20">
        <f t="shared" si="2"/>
        <v>0</v>
      </c>
      <c r="AK18" s="20">
        <f t="shared" si="2"/>
        <v>0</v>
      </c>
      <c r="AL18" s="20">
        <f t="shared" si="2"/>
        <v>0</v>
      </c>
      <c r="AM18" s="20">
        <f t="shared" si="2"/>
        <v>0</v>
      </c>
      <c r="AN18" s="20">
        <f t="shared" si="2"/>
        <v>0</v>
      </c>
      <c r="AO18" s="20">
        <f t="shared" si="2"/>
        <v>0</v>
      </c>
      <c r="AP18" s="20">
        <f t="shared" si="2"/>
        <v>0</v>
      </c>
      <c r="AQ18" s="20">
        <f t="shared" si="2"/>
        <v>0</v>
      </c>
      <c r="AR18" s="20">
        <f t="shared" si="2"/>
        <v>0</v>
      </c>
      <c r="AS18" s="20">
        <f t="shared" si="2"/>
        <v>0</v>
      </c>
      <c r="AT18" s="20">
        <f t="shared" si="2"/>
        <v>0</v>
      </c>
      <c r="AU18" s="20">
        <f t="shared" si="2"/>
        <v>0</v>
      </c>
      <c r="AV18" s="20">
        <f t="shared" si="2"/>
        <v>0</v>
      </c>
      <c r="AW18" s="20">
        <f t="shared" si="2"/>
        <v>0</v>
      </c>
      <c r="AX18" s="20">
        <f t="shared" si="2"/>
        <v>0</v>
      </c>
      <c r="AY18" s="20">
        <f t="shared" si="2"/>
        <v>0</v>
      </c>
      <c r="AZ18" s="20">
        <f t="shared" si="2"/>
        <v>0</v>
      </c>
      <c r="BA18" s="20">
        <f t="shared" si="2"/>
        <v>0</v>
      </c>
      <c r="BB18" s="20">
        <f t="shared" si="2"/>
        <v>0</v>
      </c>
      <c r="BC18" s="20">
        <f t="shared" si="2"/>
        <v>0</v>
      </c>
      <c r="BD18" s="20">
        <f t="shared" si="2"/>
        <v>0</v>
      </c>
      <c r="BE18" s="20">
        <f t="shared" si="2"/>
        <v>0</v>
      </c>
      <c r="BF18" s="20">
        <f t="shared" si="2"/>
        <v>0</v>
      </c>
      <c r="BG18" s="20">
        <f t="shared" si="2"/>
        <v>0</v>
      </c>
      <c r="BH18" s="20">
        <f t="shared" si="2"/>
        <v>0</v>
      </c>
      <c r="BI18" s="20">
        <f t="shared" si="2"/>
        <v>0</v>
      </c>
      <c r="BJ18" s="20">
        <f t="shared" si="2"/>
        <v>0</v>
      </c>
      <c r="BK18" s="20">
        <f t="shared" si="2"/>
        <v>0</v>
      </c>
      <c r="BL18" s="20">
        <f t="shared" si="2"/>
        <v>0</v>
      </c>
      <c r="BM18" s="20">
        <f t="shared" si="2"/>
        <v>0</v>
      </c>
      <c r="BN18" s="20">
        <f t="shared" si="2"/>
        <v>0</v>
      </c>
      <c r="BO18" s="20">
        <f t="shared" ref="BO18:CK18" si="3">SUM(BO2:BO17)</f>
        <v>0</v>
      </c>
      <c r="BP18" s="20">
        <f t="shared" si="3"/>
        <v>0</v>
      </c>
      <c r="BQ18" s="20">
        <f t="shared" si="3"/>
        <v>0</v>
      </c>
      <c r="BR18" s="20">
        <f t="shared" si="3"/>
        <v>0</v>
      </c>
      <c r="BS18" s="20">
        <f t="shared" si="3"/>
        <v>0</v>
      </c>
      <c r="BT18" s="20">
        <f t="shared" si="3"/>
        <v>0</v>
      </c>
      <c r="BU18" s="20">
        <f t="shared" si="3"/>
        <v>0</v>
      </c>
      <c r="BV18" s="20">
        <f t="shared" si="3"/>
        <v>0</v>
      </c>
      <c r="BW18" s="20">
        <f t="shared" si="3"/>
        <v>0</v>
      </c>
      <c r="BX18" s="20">
        <f t="shared" si="3"/>
        <v>0</v>
      </c>
      <c r="BY18" s="20">
        <f t="shared" si="3"/>
        <v>0</v>
      </c>
      <c r="BZ18" s="20">
        <f t="shared" si="3"/>
        <v>0</v>
      </c>
      <c r="CA18" s="20">
        <f t="shared" si="3"/>
        <v>0</v>
      </c>
      <c r="CB18" s="20">
        <f t="shared" si="3"/>
        <v>0</v>
      </c>
      <c r="CC18" s="20">
        <f t="shared" si="3"/>
        <v>0</v>
      </c>
      <c r="CD18" s="20">
        <f t="shared" si="3"/>
        <v>0</v>
      </c>
      <c r="CE18" s="20">
        <f t="shared" si="3"/>
        <v>0</v>
      </c>
      <c r="CF18" s="20">
        <f t="shared" si="3"/>
        <v>0</v>
      </c>
      <c r="CG18" s="20">
        <f t="shared" si="3"/>
        <v>0</v>
      </c>
      <c r="CH18" s="20">
        <f t="shared" si="3"/>
        <v>0</v>
      </c>
      <c r="CI18" s="20">
        <f t="shared" si="3"/>
        <v>0</v>
      </c>
      <c r="CJ18" s="20">
        <f t="shared" si="3"/>
        <v>0</v>
      </c>
      <c r="CK18" s="20">
        <f t="shared" si="3"/>
        <v>0</v>
      </c>
      <c r="CL18" s="18"/>
    </row>
    <row r="19" spans="1:90">
      <c r="A19" s="36"/>
      <c r="B19" s="36"/>
      <c r="C19" s="36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  <c r="BZ19" s="61"/>
      <c r="CA19" s="61"/>
      <c r="CB19" s="61"/>
      <c r="CC19" s="61"/>
      <c r="CD19" s="61"/>
      <c r="CE19" s="61"/>
      <c r="CF19" s="61"/>
      <c r="CG19" s="61"/>
      <c r="CH19" s="61"/>
      <c r="CI19" s="61"/>
      <c r="CJ19" s="61"/>
      <c r="CK19" s="61"/>
      <c r="CL19" s="62"/>
    </row>
    <row r="20" spans="1:90">
      <c r="A20" s="36"/>
      <c r="B20" s="36"/>
      <c r="C20" s="36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1"/>
      <c r="CD20" s="61"/>
      <c r="CE20" s="61"/>
      <c r="CF20" s="61"/>
      <c r="CG20" s="61"/>
      <c r="CH20" s="61"/>
      <c r="CI20" s="61"/>
      <c r="CJ20" s="61"/>
      <c r="CK20" s="61"/>
      <c r="CL20" s="62"/>
    </row>
    <row r="21" spans="1:90" ht="14.45">
      <c r="A21" s="48" t="s">
        <v>276</v>
      </c>
      <c r="B21" s="48"/>
      <c r="C21" s="48" t="s">
        <v>4</v>
      </c>
      <c r="D21" s="48" t="s">
        <v>381</v>
      </c>
      <c r="E21" s="48" t="s">
        <v>385</v>
      </c>
      <c r="F21" s="48" t="s">
        <v>386</v>
      </c>
      <c r="G21" s="48" t="s">
        <v>228</v>
      </c>
      <c r="H21" s="48" t="s">
        <v>387</v>
      </c>
      <c r="I21" s="48" t="s">
        <v>391</v>
      </c>
      <c r="J21" s="48" t="s">
        <v>393</v>
      </c>
      <c r="K21" s="48" t="s">
        <v>394</v>
      </c>
      <c r="L21" s="48" t="s">
        <v>402</v>
      </c>
      <c r="M21" s="48" t="s">
        <v>404</v>
      </c>
      <c r="N21" s="48" t="s">
        <v>406</v>
      </c>
      <c r="O21" s="48" t="s">
        <v>407</v>
      </c>
      <c r="P21" s="48" t="s">
        <v>413</v>
      </c>
      <c r="Q21" s="48" t="s">
        <v>425</v>
      </c>
      <c r="R21" s="48" t="s">
        <v>429</v>
      </c>
      <c r="S21" s="48" t="s">
        <v>430</v>
      </c>
      <c r="T21" s="48" t="s">
        <v>434</v>
      </c>
      <c r="U21" s="48" t="s">
        <v>436</v>
      </c>
      <c r="V21" s="48" t="s">
        <v>443</v>
      </c>
      <c r="W21" s="48" t="s">
        <v>448</v>
      </c>
      <c r="X21" s="48" t="s">
        <v>450</v>
      </c>
      <c r="Y21" s="48" t="s">
        <v>202</v>
      </c>
    </row>
    <row r="22" spans="1:90" ht="14.45">
      <c r="A22" s="49" t="s">
        <v>303</v>
      </c>
      <c r="B22" s="49">
        <f>SUM(C22:X22)</f>
        <v>0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8"/>
      <c r="W22" s="38"/>
      <c r="X22" s="38"/>
      <c r="Y22" s="38"/>
    </row>
    <row r="23" spans="1:90" ht="14.45">
      <c r="A23" s="49" t="s">
        <v>304</v>
      </c>
      <c r="B23" s="49">
        <f t="shared" ref="B23:B27" si="4">SUM(C23:X23)</f>
        <v>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8"/>
      <c r="W23" s="38"/>
      <c r="X23" s="38"/>
      <c r="Y23" s="38"/>
    </row>
    <row r="24" spans="1:90" ht="14.45">
      <c r="A24" s="49" t="s">
        <v>305</v>
      </c>
      <c r="B24" s="49">
        <f t="shared" si="4"/>
        <v>0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8"/>
      <c r="W24" s="38"/>
      <c r="X24" s="38"/>
      <c r="Y24" s="38"/>
    </row>
    <row r="25" spans="1:90" ht="14.45">
      <c r="A25" s="49" t="s">
        <v>306</v>
      </c>
      <c r="B25" s="49">
        <f t="shared" si="4"/>
        <v>0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8"/>
      <c r="W25" s="38"/>
      <c r="X25" s="38"/>
      <c r="Y25" s="38"/>
    </row>
    <row r="26" spans="1:90" ht="14.45">
      <c r="A26" s="49" t="s">
        <v>307</v>
      </c>
      <c r="B26" s="49">
        <f t="shared" si="4"/>
        <v>0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8"/>
      <c r="W26" s="38"/>
      <c r="X26" s="38"/>
      <c r="Y26" s="38"/>
    </row>
    <row r="27" spans="1:90" ht="14.45">
      <c r="A27" s="49" t="s">
        <v>310</v>
      </c>
      <c r="B27" s="49">
        <f t="shared" si="4"/>
        <v>0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8"/>
      <c r="W27" s="38"/>
      <c r="X27" s="38"/>
      <c r="Y27" s="38"/>
    </row>
    <row r="28" spans="1:90" ht="14.45">
      <c r="A28" s="17" t="s">
        <v>209</v>
      </c>
      <c r="B28" s="17">
        <f>SUM(B22:B26)</f>
        <v>0</v>
      </c>
      <c r="C28" s="17">
        <f>SUM(C22:C27)</f>
        <v>0</v>
      </c>
      <c r="D28" s="17">
        <f t="shared" ref="D28:Y28" si="5">SUM(D22:D26)</f>
        <v>0</v>
      </c>
      <c r="E28" s="17">
        <f t="shared" si="5"/>
        <v>0</v>
      </c>
      <c r="F28" s="17">
        <f t="shared" si="5"/>
        <v>0</v>
      </c>
      <c r="G28" s="17">
        <f t="shared" si="5"/>
        <v>0</v>
      </c>
      <c r="H28" s="17">
        <f t="shared" si="5"/>
        <v>0</v>
      </c>
      <c r="I28" s="17">
        <f t="shared" si="5"/>
        <v>0</v>
      </c>
      <c r="J28" s="17">
        <f t="shared" si="5"/>
        <v>0</v>
      </c>
      <c r="K28" s="17">
        <f t="shared" si="5"/>
        <v>0</v>
      </c>
      <c r="L28" s="17">
        <f t="shared" si="5"/>
        <v>0</v>
      </c>
      <c r="M28" s="17">
        <f t="shared" si="5"/>
        <v>0</v>
      </c>
      <c r="N28" s="17">
        <f t="shared" si="5"/>
        <v>0</v>
      </c>
      <c r="O28" s="17">
        <f t="shared" si="5"/>
        <v>0</v>
      </c>
      <c r="P28" s="17">
        <f t="shared" si="5"/>
        <v>0</v>
      </c>
      <c r="Q28" s="17">
        <f t="shared" si="5"/>
        <v>0</v>
      </c>
      <c r="R28" s="17">
        <f t="shared" si="5"/>
        <v>0</v>
      </c>
      <c r="S28" s="17">
        <f t="shared" si="5"/>
        <v>0</v>
      </c>
      <c r="T28" s="17">
        <f t="shared" si="5"/>
        <v>0</v>
      </c>
      <c r="U28" s="17">
        <f t="shared" si="5"/>
        <v>0</v>
      </c>
      <c r="V28" s="17">
        <f t="shared" si="5"/>
        <v>0</v>
      </c>
      <c r="W28" s="17">
        <f t="shared" si="5"/>
        <v>0</v>
      </c>
      <c r="X28" s="17">
        <f t="shared" si="5"/>
        <v>0</v>
      </c>
      <c r="Y28" s="17">
        <f t="shared" si="5"/>
        <v>0</v>
      </c>
    </row>
    <row r="31" spans="1:90">
      <c r="A31" s="23" t="s">
        <v>479</v>
      </c>
    </row>
    <row r="32" spans="1:90" ht="14.45">
      <c r="A32" s="39" t="s">
        <v>276</v>
      </c>
      <c r="B32" s="39" t="s">
        <v>278</v>
      </c>
      <c r="C32" s="39" t="s">
        <v>279</v>
      </c>
    </row>
    <row r="33" spans="1:13" ht="14.45">
      <c r="A33" s="39" t="s">
        <v>480</v>
      </c>
      <c r="B33" s="39" t="s">
        <v>481</v>
      </c>
      <c r="C33" s="39" t="s">
        <v>482</v>
      </c>
      <c r="K33" s="58"/>
      <c r="L33" s="58"/>
      <c r="M33" s="59"/>
    </row>
    <row r="34" spans="1:13" ht="14.45">
      <c r="A34" s="39" t="s">
        <v>483</v>
      </c>
      <c r="B34" s="39" t="s">
        <v>482</v>
      </c>
      <c r="C34" s="39" t="s">
        <v>481</v>
      </c>
      <c r="K34" s="58"/>
      <c r="L34" s="58"/>
      <c r="M34" s="59"/>
    </row>
    <row r="35" spans="1:13" ht="14.45">
      <c r="A35" s="39" t="s">
        <v>484</v>
      </c>
      <c r="B35" s="39" t="s">
        <v>482</v>
      </c>
      <c r="C35" s="39" t="s">
        <v>481</v>
      </c>
      <c r="K35" s="58"/>
      <c r="L35" s="58"/>
      <c r="M35" s="59"/>
    </row>
    <row r="36" spans="1:13" ht="14.45">
      <c r="A36" s="39" t="s">
        <v>485</v>
      </c>
      <c r="B36" s="39" t="s">
        <v>481</v>
      </c>
      <c r="C36" s="39" t="s">
        <v>482</v>
      </c>
    </row>
    <row r="37" spans="1:13" ht="14.45">
      <c r="A37" s="39" t="s">
        <v>486</v>
      </c>
      <c r="B37" s="39" t="s">
        <v>482</v>
      </c>
      <c r="C37" s="39" t="s">
        <v>481</v>
      </c>
    </row>
    <row r="38" spans="1:13" ht="14.45">
      <c r="A38" s="39" t="s">
        <v>487</v>
      </c>
      <c r="B38" s="39" t="s">
        <v>482</v>
      </c>
      <c r="C38" s="39" t="s">
        <v>481</v>
      </c>
    </row>
    <row r="39" spans="1:13" ht="14.45">
      <c r="A39" s="39" t="s">
        <v>488</v>
      </c>
      <c r="B39" s="39" t="s">
        <v>481</v>
      </c>
      <c r="C39" s="39" t="s">
        <v>482</v>
      </c>
    </row>
    <row r="40" spans="1:13" ht="14.45">
      <c r="A40" s="39" t="s">
        <v>489</v>
      </c>
      <c r="B40" s="39" t="s">
        <v>481</v>
      </c>
      <c r="C40" s="39" t="s">
        <v>482</v>
      </c>
    </row>
    <row r="41" spans="1:13">
      <c r="A41" s="38" t="s">
        <v>490</v>
      </c>
      <c r="B41" s="38" t="s">
        <v>481</v>
      </c>
      <c r="C41" s="38" t="s">
        <v>482</v>
      </c>
    </row>
    <row r="42" spans="1:13">
      <c r="A42" s="38" t="s">
        <v>491</v>
      </c>
      <c r="B42" s="38" t="s">
        <v>481</v>
      </c>
      <c r="C42" s="38" t="s">
        <v>482</v>
      </c>
    </row>
    <row r="43" spans="1:13">
      <c r="A43" s="38" t="s">
        <v>492</v>
      </c>
      <c r="B43" s="38" t="s">
        <v>481</v>
      </c>
      <c r="C43" s="38" t="s">
        <v>482</v>
      </c>
    </row>
    <row r="44" spans="1:13">
      <c r="A44" s="38" t="s">
        <v>493</v>
      </c>
      <c r="B44" s="38" t="s">
        <v>482</v>
      </c>
      <c r="C44" s="38" t="s">
        <v>481</v>
      </c>
    </row>
    <row r="45" spans="1:13">
      <c r="A45" s="38" t="s">
        <v>494</v>
      </c>
      <c r="B45" s="38" t="s">
        <v>482</v>
      </c>
      <c r="C45" s="38" t="s">
        <v>481</v>
      </c>
    </row>
    <row r="46" spans="1:13">
      <c r="A46" s="38" t="s">
        <v>495</v>
      </c>
      <c r="B46" s="38" t="s">
        <v>482</v>
      </c>
      <c r="C46" s="38" t="s">
        <v>481</v>
      </c>
    </row>
  </sheetData>
  <conditionalFormatting sqref="D2:CK17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7B86-9952-4A8C-A4C2-C9244A9A1156}">
  <dimension ref="A1:AX26"/>
  <sheetViews>
    <sheetView workbookViewId="0">
      <pane xSplit="1" ySplit="1" topLeftCell="AD2" activePane="bottomRight" state="frozen"/>
      <selection pane="bottomRight" activeCell="AI20" sqref="AI20"/>
      <selection pane="bottomLeft" activeCell="A2" sqref="A2"/>
      <selection pane="topRight" activeCell="B1" sqref="B1"/>
    </sheetView>
  </sheetViews>
  <sheetFormatPr defaultRowHeight="14.45"/>
  <cols>
    <col min="1" max="1" width="21.5703125" bestFit="1" customWidth="1"/>
    <col min="2" max="2" width="5.28515625" bestFit="1" customWidth="1"/>
    <col min="3" max="3" width="7.140625" bestFit="1" customWidth="1"/>
    <col min="4" max="4" width="8.7109375" bestFit="1" customWidth="1"/>
    <col min="5" max="5" width="10.7109375" bestFit="1" customWidth="1"/>
    <col min="6" max="6" width="9.42578125" bestFit="1" customWidth="1"/>
    <col min="7" max="7" width="19" bestFit="1" customWidth="1"/>
    <col min="8" max="8" width="5.7109375" bestFit="1" customWidth="1"/>
    <col min="9" max="9" width="6.140625" bestFit="1" customWidth="1"/>
    <col min="10" max="10" width="12" bestFit="1" customWidth="1"/>
    <col min="11" max="11" width="6" bestFit="1" customWidth="1"/>
    <col min="12" max="12" width="15.140625" bestFit="1" customWidth="1"/>
    <col min="13" max="13" width="8.42578125" bestFit="1" customWidth="1"/>
    <col min="14" max="14" width="9.140625" bestFit="1" customWidth="1"/>
    <col min="15" max="15" width="7.42578125" bestFit="1" customWidth="1"/>
    <col min="16" max="16" width="6.85546875" bestFit="1" customWidth="1"/>
    <col min="17" max="17" width="13.42578125" bestFit="1" customWidth="1"/>
    <col min="18" max="18" width="12.7109375" bestFit="1" customWidth="1"/>
    <col min="19" max="19" width="5.7109375" bestFit="1" customWidth="1"/>
    <col min="20" max="20" width="9.7109375" bestFit="1" customWidth="1"/>
    <col min="21" max="21" width="9.42578125" bestFit="1" customWidth="1"/>
    <col min="22" max="22" width="13.5703125" bestFit="1" customWidth="1"/>
    <col min="23" max="23" width="13.7109375" bestFit="1" customWidth="1"/>
    <col min="24" max="24" width="5.5703125" bestFit="1" customWidth="1"/>
    <col min="25" max="25" width="6" bestFit="1" customWidth="1"/>
    <col min="26" max="26" width="8" bestFit="1" customWidth="1"/>
    <col min="27" max="27" width="5.85546875" bestFit="1" customWidth="1"/>
    <col min="28" max="28" width="7.85546875" bestFit="1" customWidth="1"/>
    <col min="30" max="30" width="5" bestFit="1" customWidth="1"/>
    <col min="31" max="31" width="10" bestFit="1" customWidth="1"/>
    <col min="32" max="32" width="8.7109375" bestFit="1" customWidth="1"/>
    <col min="33" max="33" width="7.140625" bestFit="1" customWidth="1"/>
    <col min="34" max="34" width="11.7109375" bestFit="1" customWidth="1"/>
    <col min="35" max="35" width="9.28515625" bestFit="1" customWidth="1"/>
    <col min="36" max="36" width="6.7109375" bestFit="1" customWidth="1"/>
    <col min="37" max="37" width="8.28515625" bestFit="1" customWidth="1"/>
    <col min="38" max="38" width="8" bestFit="1" customWidth="1"/>
    <col min="39" max="39" width="9.28515625" bestFit="1" customWidth="1"/>
    <col min="40" max="40" width="6.140625" bestFit="1" customWidth="1"/>
    <col min="41" max="41" width="5.7109375" bestFit="1" customWidth="1"/>
    <col min="42" max="42" width="9.28515625" bestFit="1" customWidth="1"/>
    <col min="43" max="43" width="8.7109375" bestFit="1" customWidth="1"/>
    <col min="44" max="44" width="7.42578125" bestFit="1" customWidth="1"/>
    <col min="45" max="45" width="7.7109375" bestFit="1" customWidth="1"/>
    <col min="46" max="46" width="5.5703125" bestFit="1" customWidth="1"/>
    <col min="47" max="47" width="14.28515625" bestFit="1" customWidth="1"/>
    <col min="48" max="48" width="12.7109375" bestFit="1" customWidth="1"/>
    <col min="49" max="49" width="10.7109375" bestFit="1" customWidth="1"/>
  </cols>
  <sheetData>
    <row r="1" spans="1:50">
      <c r="A1" s="17" t="s">
        <v>223</v>
      </c>
      <c r="B1" s="17" t="s">
        <v>381</v>
      </c>
      <c r="C1" s="17" t="s">
        <v>384</v>
      </c>
      <c r="D1" s="17" t="s">
        <v>385</v>
      </c>
      <c r="E1" s="17" t="s">
        <v>496</v>
      </c>
      <c r="F1" s="17" t="s">
        <v>388</v>
      </c>
      <c r="G1" s="17" t="s">
        <v>34</v>
      </c>
      <c r="H1" s="17" t="s">
        <v>390</v>
      </c>
      <c r="I1" s="17" t="s">
        <v>396</v>
      </c>
      <c r="J1" s="17" t="s">
        <v>497</v>
      </c>
      <c r="K1" s="17" t="s">
        <v>398</v>
      </c>
      <c r="L1" s="17" t="s">
        <v>498</v>
      </c>
      <c r="M1" s="17" t="s">
        <v>400</v>
      </c>
      <c r="N1" s="17" t="s">
        <v>403</v>
      </c>
      <c r="O1" s="17" t="s">
        <v>407</v>
      </c>
      <c r="P1" s="17" t="s">
        <v>408</v>
      </c>
      <c r="Q1" s="17" t="s">
        <v>409</v>
      </c>
      <c r="R1" s="17" t="s">
        <v>410</v>
      </c>
      <c r="S1" s="17" t="s">
        <v>411</v>
      </c>
      <c r="T1" s="17" t="s">
        <v>413</v>
      </c>
      <c r="U1" s="17" t="s">
        <v>414</v>
      </c>
      <c r="V1" s="17" t="s">
        <v>416</v>
      </c>
      <c r="W1" s="17" t="s">
        <v>100</v>
      </c>
      <c r="X1" s="17" t="s">
        <v>499</v>
      </c>
      <c r="Y1" s="17" t="s">
        <v>419</v>
      </c>
      <c r="Z1" s="17" t="s">
        <v>420</v>
      </c>
      <c r="AA1" s="17" t="s">
        <v>421</v>
      </c>
      <c r="AB1" s="17" t="s">
        <v>422</v>
      </c>
      <c r="AC1" s="17" t="s">
        <v>423</v>
      </c>
      <c r="AD1" s="17" t="s">
        <v>425</v>
      </c>
      <c r="AE1" s="17" t="s">
        <v>427</v>
      </c>
      <c r="AF1" s="17" t="s">
        <v>428</v>
      </c>
      <c r="AG1" s="17" t="s">
        <v>430</v>
      </c>
      <c r="AH1" s="17" t="s">
        <v>130</v>
      </c>
      <c r="AI1" s="17" t="s">
        <v>435</v>
      </c>
      <c r="AJ1" s="17" t="s">
        <v>439</v>
      </c>
      <c r="AK1" s="17" t="s">
        <v>441</v>
      </c>
      <c r="AL1" s="17" t="s">
        <v>442</v>
      </c>
      <c r="AM1" s="17" t="s">
        <v>443</v>
      </c>
      <c r="AN1" s="17" t="s">
        <v>444</v>
      </c>
      <c r="AO1" s="17" t="s">
        <v>445</v>
      </c>
      <c r="AP1" s="17" t="s">
        <v>446</v>
      </c>
      <c r="AQ1" s="17" t="s">
        <v>449</v>
      </c>
      <c r="AR1" s="17" t="s">
        <v>450</v>
      </c>
      <c r="AS1" s="17" t="s">
        <v>451</v>
      </c>
      <c r="AT1" s="17" t="s">
        <v>455</v>
      </c>
      <c r="AU1" s="17" t="s">
        <v>458</v>
      </c>
      <c r="AV1" s="17" t="s">
        <v>460</v>
      </c>
      <c r="AW1" s="17" t="s">
        <v>209</v>
      </c>
      <c r="AX1" s="41" t="s">
        <v>500</v>
      </c>
    </row>
    <row r="2" spans="1:50">
      <c r="A2" s="39" t="s">
        <v>281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>
        <v>17</v>
      </c>
      <c r="AU2" s="39"/>
      <c r="AV2" s="39"/>
      <c r="AW2" s="39">
        <v>17</v>
      </c>
      <c r="AX2" t="e">
        <f>VLOOKUP(A2,'Logging Payout count'!A1:A5,1,0)</f>
        <v>#N/A</v>
      </c>
    </row>
    <row r="3" spans="1:50">
      <c r="A3" s="39" t="s">
        <v>501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>
        <v>216</v>
      </c>
      <c r="AJ3" s="39"/>
      <c r="AK3" s="39"/>
      <c r="AL3" s="39"/>
      <c r="AM3" s="39"/>
      <c r="AN3" s="39">
        <v>105</v>
      </c>
      <c r="AO3" s="39"/>
      <c r="AP3" s="39"/>
      <c r="AQ3" s="39"/>
      <c r="AR3" s="39"/>
      <c r="AS3" s="39"/>
      <c r="AT3" s="39"/>
      <c r="AU3" s="39"/>
      <c r="AV3" s="39"/>
      <c r="AW3" s="39">
        <v>321</v>
      </c>
      <c r="AX3" t="e">
        <f>VLOOKUP(A3,'Logging Payout count'!A2:A5,1,0)</f>
        <v>#N/A</v>
      </c>
    </row>
    <row r="4" spans="1:50">
      <c r="A4" s="39" t="s">
        <v>502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>
        <v>152</v>
      </c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>
        <v>152</v>
      </c>
      <c r="AX4" t="e">
        <f>VLOOKUP(A4,'Logging Payout count'!A2:A5,1,0)</f>
        <v>#N/A</v>
      </c>
    </row>
    <row r="5" spans="1:50">
      <c r="A5" s="39" t="s">
        <v>337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>
        <v>53</v>
      </c>
      <c r="N5" s="39">
        <v>535</v>
      </c>
      <c r="O5" s="39"/>
      <c r="P5" s="39"/>
      <c r="Q5" s="39"/>
      <c r="R5" s="39"/>
      <c r="S5" s="39">
        <v>202</v>
      </c>
      <c r="T5" s="39"/>
      <c r="U5" s="39">
        <v>134</v>
      </c>
      <c r="V5" s="39"/>
      <c r="W5" s="39"/>
      <c r="X5" s="39"/>
      <c r="Y5" s="39"/>
      <c r="Z5" s="39"/>
      <c r="AA5" s="39"/>
      <c r="AB5" s="39">
        <v>164</v>
      </c>
      <c r="AC5" s="39"/>
      <c r="AD5" s="39"/>
      <c r="AE5" s="39">
        <v>103</v>
      </c>
      <c r="AF5" s="39"/>
      <c r="AG5" s="39">
        <v>26</v>
      </c>
      <c r="AH5" s="39"/>
      <c r="AI5" s="39">
        <v>44</v>
      </c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>
        <v>1261</v>
      </c>
      <c r="AX5" t="str">
        <f>VLOOKUP(A5,'Logging Payout count'!A2:A5,1,0)</f>
        <v>Bronx-Care</v>
      </c>
    </row>
    <row r="6" spans="1:50">
      <c r="A6" s="39" t="s">
        <v>283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>
        <v>29</v>
      </c>
      <c r="T6" s="39"/>
      <c r="U6" s="39">
        <v>37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>
        <v>8</v>
      </c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>
        <v>69</v>
      </c>
      <c r="AU6" s="39"/>
      <c r="AV6" s="39"/>
      <c r="AW6" s="39">
        <v>143</v>
      </c>
      <c r="AX6" t="e">
        <f>VLOOKUP(A6,'Logging Payout count'!A3:A5,1,0)</f>
        <v>#N/A</v>
      </c>
    </row>
    <row r="7" spans="1:50">
      <c r="A7" s="39" t="s">
        <v>338</v>
      </c>
      <c r="B7" s="39"/>
      <c r="C7" s="39"/>
      <c r="D7" s="39"/>
      <c r="E7" s="39"/>
      <c r="F7" s="39"/>
      <c r="G7" s="39"/>
      <c r="H7" s="39"/>
      <c r="I7" s="39">
        <v>82</v>
      </c>
      <c r="J7" s="39"/>
      <c r="K7" s="39"/>
      <c r="L7" s="39"/>
      <c r="M7" s="39"/>
      <c r="N7" s="39"/>
      <c r="O7" s="39"/>
      <c r="P7" s="39"/>
      <c r="Q7" s="39"/>
      <c r="R7" s="39">
        <v>304</v>
      </c>
      <c r="S7" s="39"/>
      <c r="T7" s="39"/>
      <c r="U7" s="39"/>
      <c r="V7" s="39"/>
      <c r="W7" s="39"/>
      <c r="X7" s="39"/>
      <c r="Y7" s="39"/>
      <c r="Z7" s="39"/>
      <c r="AA7" s="39"/>
      <c r="AB7" s="39">
        <v>279</v>
      </c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>
        <v>842</v>
      </c>
      <c r="AU7" s="39"/>
      <c r="AV7" s="39"/>
      <c r="AW7" s="39">
        <v>1507</v>
      </c>
      <c r="AX7" t="str">
        <f>VLOOKUP(A7,'Logging Payout count'!A3:A5,1,0)</f>
        <v>Children-National</v>
      </c>
    </row>
    <row r="8" spans="1:50">
      <c r="A8" s="39" t="s">
        <v>347</v>
      </c>
      <c r="B8" s="39"/>
      <c r="C8" s="39"/>
      <c r="D8" s="39"/>
      <c r="E8" s="39"/>
      <c r="F8" s="39"/>
      <c r="G8" s="39"/>
      <c r="H8" s="39">
        <v>45</v>
      </c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>
        <v>1</v>
      </c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>
        <v>46</v>
      </c>
      <c r="AX8" t="e">
        <f>VLOOKUP(A8,'Logging Payout count'!A4:A5,1,0)</f>
        <v>#N/A</v>
      </c>
    </row>
    <row r="9" spans="1:50">
      <c r="A9" s="39" t="s">
        <v>284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>
        <v>148</v>
      </c>
      <c r="Y9" s="39"/>
      <c r="Z9" s="39"/>
      <c r="AA9" s="39"/>
      <c r="AB9" s="39"/>
      <c r="AC9" s="39"/>
      <c r="AD9" s="39"/>
      <c r="AE9" s="39"/>
      <c r="AF9" s="39">
        <v>115</v>
      </c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>
        <v>263</v>
      </c>
      <c r="AX9" t="e">
        <f>VLOOKUP(A9,'Logging Payout count'!A5:A5,1,0)</f>
        <v>#N/A</v>
      </c>
    </row>
    <row r="10" spans="1:50">
      <c r="A10" s="39" t="s">
        <v>463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>
        <v>130</v>
      </c>
      <c r="Y10" s="39"/>
      <c r="Z10" s="39"/>
      <c r="AA10" s="39"/>
      <c r="AB10" s="39"/>
      <c r="AC10" s="39"/>
      <c r="AD10" s="39"/>
      <c r="AE10" s="39"/>
      <c r="AF10" s="39">
        <v>120</v>
      </c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>
        <v>250</v>
      </c>
      <c r="AX10" t="e">
        <f>VLOOKUP(A10,'Logging Payout count'!A5:A5,1,0)</f>
        <v>#N/A</v>
      </c>
    </row>
    <row r="11" spans="1:50">
      <c r="A11" s="39" t="s">
        <v>503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>
        <v>24</v>
      </c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>
        <v>24</v>
      </c>
      <c r="AX11" t="e">
        <f>VLOOKUP(A11,'Logging Payout count'!A5:A5,1,0)</f>
        <v>#N/A</v>
      </c>
    </row>
    <row r="12" spans="1:50">
      <c r="A12" s="39" t="s">
        <v>286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>
        <v>674</v>
      </c>
      <c r="AM12" s="39"/>
      <c r="AN12" s="39">
        <v>755</v>
      </c>
      <c r="AO12" s="39"/>
      <c r="AP12" s="39"/>
      <c r="AQ12" s="39"/>
      <c r="AR12" s="39"/>
      <c r="AS12" s="39"/>
      <c r="AT12" s="39"/>
      <c r="AU12" s="39"/>
      <c r="AV12" s="39"/>
      <c r="AW12" s="39">
        <v>1429</v>
      </c>
      <c r="AX12" t="e">
        <f>VLOOKUP(A12,'Logging Payout count'!#REF!,1,0)</f>
        <v>#REF!</v>
      </c>
    </row>
    <row r="13" spans="1:50">
      <c r="A13" s="39" t="s">
        <v>465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>
        <v>145</v>
      </c>
      <c r="AM13" s="39"/>
      <c r="AN13" s="39">
        <v>57</v>
      </c>
      <c r="AO13" s="39"/>
      <c r="AP13" s="39"/>
      <c r="AQ13" s="39"/>
      <c r="AR13" s="39"/>
      <c r="AS13" s="39"/>
      <c r="AT13" s="39"/>
      <c r="AU13" s="39"/>
      <c r="AV13" s="39"/>
      <c r="AW13" s="39">
        <v>202</v>
      </c>
      <c r="AX13" t="e">
        <f>VLOOKUP(A13,'Logging Payout count'!#REF!,1,0)</f>
        <v>#REF!</v>
      </c>
    </row>
    <row r="14" spans="1:50">
      <c r="A14" s="39" t="s">
        <v>288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>
        <v>32</v>
      </c>
      <c r="AI14" s="39"/>
      <c r="AJ14" s="39"/>
      <c r="AK14" s="39"/>
      <c r="AL14" s="39"/>
      <c r="AM14" s="39"/>
      <c r="AN14" s="39"/>
      <c r="AO14" s="39"/>
      <c r="AP14" s="39"/>
      <c r="AQ14" s="39"/>
      <c r="AR14" s="39">
        <v>36</v>
      </c>
      <c r="AS14" s="39"/>
      <c r="AT14" s="39"/>
      <c r="AU14" s="39"/>
      <c r="AV14" s="39"/>
      <c r="AW14" s="39">
        <v>68</v>
      </c>
      <c r="AX14" t="e">
        <f>VLOOKUP(A14,'Logging Payout count'!#REF!,1,0)</f>
        <v>#REF!</v>
      </c>
    </row>
    <row r="15" spans="1:50">
      <c r="A15" s="39" t="s">
        <v>293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>
        <v>29</v>
      </c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>
        <v>29</v>
      </c>
      <c r="AX15" t="e">
        <f>VLOOKUP(A15,'Logging Payout count'!#REF!,1,0)</f>
        <v>#REF!</v>
      </c>
    </row>
    <row r="16" spans="1:50">
      <c r="A16" s="39" t="s">
        <v>504</v>
      </c>
      <c r="B16" s="39">
        <v>525</v>
      </c>
      <c r="C16" s="39"/>
      <c r="D16" s="39"/>
      <c r="E16" s="39"/>
      <c r="F16" s="39"/>
      <c r="G16" s="39"/>
      <c r="H16" s="39">
        <v>138</v>
      </c>
      <c r="I16" s="39"/>
      <c r="J16" s="39"/>
      <c r="K16" s="39"/>
      <c r="L16" s="39"/>
      <c r="M16" s="39"/>
      <c r="N16" s="39"/>
      <c r="O16" s="39"/>
      <c r="P16" s="39"/>
      <c r="Q16" s="39"/>
      <c r="R16" s="39">
        <v>500</v>
      </c>
      <c r="S16" s="39"/>
      <c r="T16" s="39"/>
      <c r="U16" s="39"/>
      <c r="V16" s="39"/>
      <c r="W16" s="39"/>
      <c r="X16" s="39"/>
      <c r="Y16" s="39"/>
      <c r="Z16" s="39"/>
      <c r="AA16" s="39">
        <v>609</v>
      </c>
      <c r="AB16" s="39">
        <v>453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>
        <v>2225</v>
      </c>
      <c r="AX16" t="e">
        <f>VLOOKUP(A16,'Logging Payout count'!#REF!,1,0)</f>
        <v>#REF!</v>
      </c>
    </row>
    <row r="17" spans="1:50">
      <c r="A17" s="39" t="s">
        <v>467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>
        <v>409</v>
      </c>
      <c r="O17" s="39"/>
      <c r="P17" s="39"/>
      <c r="Q17" s="39"/>
      <c r="R17" s="39"/>
      <c r="S17" s="39"/>
      <c r="T17" s="39"/>
      <c r="U17" s="39"/>
      <c r="V17" s="39"/>
      <c r="W17" s="39"/>
      <c r="X17" s="39">
        <v>490</v>
      </c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>
        <v>899</v>
      </c>
      <c r="AX17" t="e">
        <f>VLOOKUP(A17,'Logging Payout count'!#REF!,1,0)</f>
        <v>#REF!</v>
      </c>
    </row>
    <row r="18" spans="1:50">
      <c r="A18" s="39" t="s">
        <v>505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>
        <v>175</v>
      </c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>
        <v>175</v>
      </c>
      <c r="AX18" t="e">
        <f>VLOOKUP(A18,'Logging Payout count'!A2:A5,1,0)</f>
        <v>#N/A</v>
      </c>
    </row>
    <row r="19" spans="1:50">
      <c r="A19" s="39" t="s">
        <v>469</v>
      </c>
      <c r="B19" s="39">
        <v>16</v>
      </c>
      <c r="C19" s="39"/>
      <c r="D19" s="39"/>
      <c r="E19" s="39"/>
      <c r="F19" s="39">
        <v>543</v>
      </c>
      <c r="G19" s="39"/>
      <c r="H19" s="39">
        <v>161</v>
      </c>
      <c r="I19" s="39"/>
      <c r="J19" s="39"/>
      <c r="K19" s="39">
        <v>411</v>
      </c>
      <c r="L19" s="39"/>
      <c r="M19" s="39"/>
      <c r="N19" s="39"/>
      <c r="O19" s="39">
        <v>42</v>
      </c>
      <c r="P19" s="39"/>
      <c r="Q19" s="39"/>
      <c r="R19" s="39"/>
      <c r="S19" s="39"/>
      <c r="T19" s="39">
        <v>33</v>
      </c>
      <c r="U19" s="39"/>
      <c r="V19" s="39"/>
      <c r="W19" s="39"/>
      <c r="X19" s="39"/>
      <c r="Y19" s="39"/>
      <c r="Z19" s="39"/>
      <c r="AA19" s="39"/>
      <c r="AB19" s="39"/>
      <c r="AC19" s="39">
        <v>1000</v>
      </c>
      <c r="AD19" s="39"/>
      <c r="AE19" s="39"/>
      <c r="AF19" s="39"/>
      <c r="AG19" s="39">
        <v>3</v>
      </c>
      <c r="AH19" s="39">
        <v>51</v>
      </c>
      <c r="AI19" s="39"/>
      <c r="AJ19" s="39"/>
      <c r="AK19" s="39"/>
      <c r="AL19" s="39">
        <v>92</v>
      </c>
      <c r="AM19" s="39"/>
      <c r="AN19" s="39">
        <v>215</v>
      </c>
      <c r="AO19" s="39"/>
      <c r="AP19" s="39"/>
      <c r="AQ19" s="39">
        <v>2894</v>
      </c>
      <c r="AR19" s="39">
        <v>66</v>
      </c>
      <c r="AS19" s="39"/>
      <c r="AT19" s="39"/>
      <c r="AU19" s="39"/>
      <c r="AV19" s="39">
        <v>606</v>
      </c>
      <c r="AW19" s="39">
        <v>6133</v>
      </c>
      <c r="AX19" t="e">
        <f>VLOOKUP(A19,'Logging Payout count'!A2:A5,1,0)</f>
        <v>#N/A</v>
      </c>
    </row>
    <row r="20" spans="1:50">
      <c r="A20" s="39" t="s">
        <v>506</v>
      </c>
      <c r="B20" s="39"/>
      <c r="C20" s="39"/>
      <c r="D20" s="39"/>
      <c r="E20" s="39">
        <v>22</v>
      </c>
      <c r="F20" s="39"/>
      <c r="G20" s="39">
        <v>240</v>
      </c>
      <c r="H20" s="39"/>
      <c r="I20" s="39"/>
      <c r="J20" s="39"/>
      <c r="K20" s="39"/>
      <c r="L20" s="39">
        <v>9</v>
      </c>
      <c r="M20" s="39">
        <v>349</v>
      </c>
      <c r="N20" s="39">
        <v>208</v>
      </c>
      <c r="O20" s="39"/>
      <c r="P20" s="39">
        <v>66</v>
      </c>
      <c r="Q20" s="39">
        <v>691</v>
      </c>
      <c r="R20" s="39">
        <v>169</v>
      </c>
      <c r="S20" s="39"/>
      <c r="T20" s="39"/>
      <c r="U20" s="39">
        <v>323</v>
      </c>
      <c r="V20" s="39">
        <v>34</v>
      </c>
      <c r="W20" s="39">
        <v>58</v>
      </c>
      <c r="X20" s="39">
        <v>5</v>
      </c>
      <c r="Y20" s="39">
        <v>2537</v>
      </c>
      <c r="Z20" s="39">
        <v>437</v>
      </c>
      <c r="AA20" s="39">
        <v>63</v>
      </c>
      <c r="AB20" s="39">
        <v>38</v>
      </c>
      <c r="AC20" s="39"/>
      <c r="AD20" s="39"/>
      <c r="AE20" s="39">
        <v>411</v>
      </c>
      <c r="AF20" s="39">
        <v>643</v>
      </c>
      <c r="AG20" s="39">
        <v>260</v>
      </c>
      <c r="AH20" s="39"/>
      <c r="AI20" s="39">
        <v>528</v>
      </c>
      <c r="AJ20" s="39">
        <v>812</v>
      </c>
      <c r="AK20" s="39">
        <v>112</v>
      </c>
      <c r="AL20" s="39"/>
      <c r="AM20" s="39">
        <v>118</v>
      </c>
      <c r="AN20" s="39"/>
      <c r="AO20" s="39"/>
      <c r="AP20" s="39">
        <v>5971</v>
      </c>
      <c r="AQ20" s="39">
        <v>51</v>
      </c>
      <c r="AR20" s="39"/>
      <c r="AS20" s="39">
        <v>314</v>
      </c>
      <c r="AT20" s="39">
        <v>224</v>
      </c>
      <c r="AU20" s="39">
        <v>361</v>
      </c>
      <c r="AV20" s="39"/>
      <c r="AW20" s="39">
        <v>15054</v>
      </c>
      <c r="AX20" t="e">
        <f>VLOOKUP(A20,'Logging Payout count'!A3:A5,1,0)</f>
        <v>#N/A</v>
      </c>
    </row>
    <row r="21" spans="1:50">
      <c r="A21" s="39" t="s">
        <v>507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>
        <v>614</v>
      </c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>
        <v>78</v>
      </c>
      <c r="AT21" s="39"/>
      <c r="AU21" s="39">
        <v>1313</v>
      </c>
      <c r="AV21" s="39"/>
      <c r="AW21" s="39">
        <v>2005</v>
      </c>
      <c r="AX21" t="e">
        <f>VLOOKUP(A21,'Logging Payout count'!A3:A5,1,0)</f>
        <v>#N/A</v>
      </c>
    </row>
    <row r="22" spans="1:50">
      <c r="A22" s="39" t="s">
        <v>471</v>
      </c>
      <c r="B22" s="39"/>
      <c r="C22" s="39">
        <v>76</v>
      </c>
      <c r="D22" s="39">
        <v>94</v>
      </c>
      <c r="E22" s="39">
        <v>17</v>
      </c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>
        <v>241</v>
      </c>
      <c r="W22" s="39"/>
      <c r="X22" s="39">
        <v>353</v>
      </c>
      <c r="Y22" s="39"/>
      <c r="Z22" s="39">
        <v>387</v>
      </c>
      <c r="AA22" s="39"/>
      <c r="AB22" s="39"/>
      <c r="AC22" s="39"/>
      <c r="AD22" s="39"/>
      <c r="AE22" s="39"/>
      <c r="AF22" s="39"/>
      <c r="AG22" s="39"/>
      <c r="AH22" s="39"/>
      <c r="AI22" s="39"/>
      <c r="AJ22" s="39">
        <v>823</v>
      </c>
      <c r="AK22" s="39"/>
      <c r="AL22" s="39"/>
      <c r="AM22" s="39"/>
      <c r="AN22" s="39"/>
      <c r="AO22" s="39">
        <v>1726</v>
      </c>
      <c r="AP22" s="39"/>
      <c r="AQ22" s="39"/>
      <c r="AR22" s="39"/>
      <c r="AS22" s="39"/>
      <c r="AT22" s="39"/>
      <c r="AU22" s="39"/>
      <c r="AV22" s="39"/>
      <c r="AW22" s="39">
        <v>3717</v>
      </c>
      <c r="AX22" t="e">
        <f>VLOOKUP(A22,'Logging Payout count'!A3:A5,1,0)</f>
        <v>#N/A</v>
      </c>
    </row>
    <row r="23" spans="1:50">
      <c r="A23" s="39" t="s">
        <v>473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>
        <v>1056</v>
      </c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>
        <v>1056</v>
      </c>
      <c r="AX23" t="e">
        <f>VLOOKUP(A23,'Logging Payout count'!#REF!,1,0)</f>
        <v>#REF!</v>
      </c>
    </row>
    <row r="24" spans="1:50">
      <c r="A24" s="39" t="s">
        <v>508</v>
      </c>
      <c r="B24" s="39"/>
      <c r="C24" s="39"/>
      <c r="D24" s="39"/>
      <c r="E24" s="39"/>
      <c r="F24" s="39"/>
      <c r="G24" s="39"/>
      <c r="H24" s="39">
        <v>33</v>
      </c>
      <c r="I24" s="39">
        <v>38</v>
      </c>
      <c r="J24" s="39">
        <v>31</v>
      </c>
      <c r="K24" s="39"/>
      <c r="L24" s="39">
        <v>9</v>
      </c>
      <c r="M24" s="39"/>
      <c r="N24" s="39"/>
      <c r="O24" s="39"/>
      <c r="P24" s="39">
        <v>85</v>
      </c>
      <c r="Q24" s="39"/>
      <c r="R24" s="39">
        <v>50</v>
      </c>
      <c r="S24" s="39"/>
      <c r="T24" s="39"/>
      <c r="U24" s="39">
        <v>571</v>
      </c>
      <c r="V24" s="39"/>
      <c r="W24" s="39"/>
      <c r="X24" s="39">
        <v>100</v>
      </c>
      <c r="Y24" s="39"/>
      <c r="Z24" s="39"/>
      <c r="AA24" s="39">
        <v>55</v>
      </c>
      <c r="AB24" s="39">
        <v>45</v>
      </c>
      <c r="AC24" s="39"/>
      <c r="AD24" s="39"/>
      <c r="AE24" s="39">
        <v>187</v>
      </c>
      <c r="AF24" s="39">
        <v>86</v>
      </c>
      <c r="AG24" s="39">
        <v>6</v>
      </c>
      <c r="AH24" s="39"/>
      <c r="AI24" s="39"/>
      <c r="AJ24" s="39">
        <v>267</v>
      </c>
      <c r="AK24" s="39">
        <v>686</v>
      </c>
      <c r="AL24" s="39"/>
      <c r="AM24" s="39">
        <v>40</v>
      </c>
      <c r="AN24" s="39"/>
      <c r="AO24" s="39">
        <v>58</v>
      </c>
      <c r="AP24" s="39"/>
      <c r="AQ24" s="39"/>
      <c r="AR24" s="39"/>
      <c r="AS24" s="39">
        <v>234</v>
      </c>
      <c r="AT24" s="39"/>
      <c r="AU24" s="39"/>
      <c r="AV24" s="39"/>
      <c r="AW24" s="39">
        <v>2581</v>
      </c>
      <c r="AX24" t="e">
        <f>VLOOKUP(A24,'Logging Payout count'!#REF!,1,0)</f>
        <v>#REF!</v>
      </c>
    </row>
    <row r="25" spans="1:50">
      <c r="A25" s="39" t="s">
        <v>476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>
        <v>40</v>
      </c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>
        <v>15</v>
      </c>
      <c r="AS25" s="39"/>
      <c r="AT25" s="39"/>
      <c r="AU25" s="39"/>
      <c r="AV25" s="39"/>
      <c r="AW25" s="39">
        <v>55</v>
      </c>
      <c r="AX25" t="e">
        <f>VLOOKUP(A25,'Logging Payout count'!#REF!,1,0)</f>
        <v>#REF!</v>
      </c>
    </row>
    <row r="26" spans="1:50">
      <c r="A26" s="17" t="s">
        <v>209</v>
      </c>
      <c r="B26" s="17">
        <v>541</v>
      </c>
      <c r="C26" s="17">
        <v>76</v>
      </c>
      <c r="D26" s="17">
        <v>94</v>
      </c>
      <c r="E26" s="17">
        <v>39</v>
      </c>
      <c r="F26" s="17">
        <v>543</v>
      </c>
      <c r="G26" s="17">
        <v>240</v>
      </c>
      <c r="H26" s="17">
        <v>377</v>
      </c>
      <c r="I26" s="17">
        <v>120</v>
      </c>
      <c r="J26" s="17">
        <v>31</v>
      </c>
      <c r="K26" s="17">
        <v>411</v>
      </c>
      <c r="L26" s="17">
        <v>18</v>
      </c>
      <c r="M26" s="17">
        <v>402</v>
      </c>
      <c r="N26" s="17">
        <v>1152</v>
      </c>
      <c r="O26" s="17">
        <v>42</v>
      </c>
      <c r="P26" s="17">
        <v>151</v>
      </c>
      <c r="Q26" s="17">
        <v>691</v>
      </c>
      <c r="R26" s="17">
        <v>1023</v>
      </c>
      <c r="S26" s="17">
        <v>231</v>
      </c>
      <c r="T26" s="17">
        <v>33</v>
      </c>
      <c r="U26" s="17">
        <v>1065</v>
      </c>
      <c r="V26" s="17">
        <v>275</v>
      </c>
      <c r="W26" s="17">
        <v>58</v>
      </c>
      <c r="X26" s="17">
        <v>1226</v>
      </c>
      <c r="Y26" s="17">
        <v>2537</v>
      </c>
      <c r="Z26" s="17">
        <v>824</v>
      </c>
      <c r="AA26" s="17">
        <v>727</v>
      </c>
      <c r="AB26" s="17">
        <v>1154</v>
      </c>
      <c r="AC26" s="17">
        <v>1000</v>
      </c>
      <c r="AD26" s="17">
        <v>1056</v>
      </c>
      <c r="AE26" s="17">
        <v>730</v>
      </c>
      <c r="AF26" s="17">
        <v>964</v>
      </c>
      <c r="AG26" s="17">
        <v>950</v>
      </c>
      <c r="AH26" s="17">
        <v>83</v>
      </c>
      <c r="AI26" s="17">
        <v>948</v>
      </c>
      <c r="AJ26" s="17">
        <v>1902</v>
      </c>
      <c r="AK26" s="17">
        <v>822</v>
      </c>
      <c r="AL26" s="17">
        <v>911</v>
      </c>
      <c r="AM26" s="17">
        <v>158</v>
      </c>
      <c r="AN26" s="17">
        <v>1132</v>
      </c>
      <c r="AO26" s="17">
        <v>1784</v>
      </c>
      <c r="AP26" s="17">
        <v>5971</v>
      </c>
      <c r="AQ26" s="17">
        <v>2945</v>
      </c>
      <c r="AR26" s="17">
        <v>117</v>
      </c>
      <c r="AS26" s="17">
        <v>626</v>
      </c>
      <c r="AT26" s="17">
        <v>1152</v>
      </c>
      <c r="AU26" s="17">
        <v>1674</v>
      </c>
      <c r="AV26" s="17">
        <v>606</v>
      </c>
      <c r="AW26" s="17">
        <v>39612</v>
      </c>
      <c r="AX26" t="e">
        <f>VLOOKUP(A26,'Logging Payout count'!#REF!,1,0)</f>
        <v>#REF!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970734-CCC8-4854-B1A5-0170A7D05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Debartha Sengupta</dc:creator>
  <cp:keywords/>
  <dc:description/>
  <cp:lastModifiedBy>manas</cp:lastModifiedBy>
  <cp:revision/>
  <dcterms:created xsi:type="dcterms:W3CDTF">2023-05-16T17:11:07Z</dcterms:created>
  <dcterms:modified xsi:type="dcterms:W3CDTF">2026-02-19T10:59:33Z</dcterms:modified>
  <cp:category/>
  <cp:contentStatus/>
</cp:coreProperties>
</file>